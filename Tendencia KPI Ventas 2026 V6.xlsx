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arcoAlfaro\Downloads\"/>
    </mc:Choice>
  </mc:AlternateContent>
  <xr:revisionPtr revIDLastSave="0" documentId="13_ncr:1_{D34ED091-658E-4846-A9DD-1951F7DDD8AC}" xr6:coauthVersionLast="47" xr6:coauthVersionMax="47" xr10:uidLastSave="{00000000-0000-0000-0000-000000000000}"/>
  <bookViews>
    <workbookView xWindow="-108" yWindow="-108" windowWidth="23256" windowHeight="13896" tabRatio="503" activeTab="3" xr2:uid="{313BE580-F951-46C0-A396-CB64CA643292}"/>
  </bookViews>
  <sheets>
    <sheet name="Parámetros" sheetId="2" r:id="rId1"/>
    <sheet name="Evaluación" sheetId="1" r:id="rId2"/>
    <sheet name="Agrupacion" sheetId="14" state="hidden" r:id="rId3"/>
    <sheet name="Resumen" sheetId="10" r:id="rId4"/>
    <sheet name="5 enero" sheetId="11" state="hidden" r:id="rId5"/>
    <sheet name="TOP 10" sheetId="12" state="hidden" r:id="rId6"/>
    <sheet name="COMPARABLES" sheetId="13" state="hidden" r:id="rId7"/>
    <sheet name="Resultados" sheetId="9" state="hidden" r:id="rId8"/>
    <sheet name="DefAgruapaciones" sheetId="8" state="hidden" r:id="rId9"/>
    <sheet name="DATA_KPI" sheetId="5" state="hidden" r:id="rId10"/>
    <sheet name="DATA_KPI_PRE" sheetId="7" state="hidden" r:id="rId11"/>
  </sheets>
  <definedNames>
    <definedName name="DatosExternos_1" localSheetId="9" hidden="1">DATA_KPI!$A$1:$H$1177</definedName>
    <definedName name="DatosExternos_2" localSheetId="10" hidden="1">DATA_KPI_PRE!$A$1:$H$1377</definedName>
    <definedName name="FechaFinal">Parámetros!$G$4</definedName>
    <definedName name="FechaInicial">Parámetros!$G$3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82" i="14" l="1"/>
  <c r="AU54" i="14"/>
  <c r="Y71" i="14"/>
  <c r="Y74" i="14"/>
  <c r="W71" i="14"/>
  <c r="D54" i="14"/>
  <c r="I62" i="1"/>
  <c r="I30" i="1"/>
  <c r="L30" i="1"/>
  <c r="J30" i="1"/>
  <c r="B73" i="14" l="1"/>
  <c r="F71" i="14"/>
  <c r="D71" i="14"/>
  <c r="C71" i="14"/>
  <c r="B70" i="14"/>
  <c r="C70" i="14" s="1"/>
  <c r="B69" i="14"/>
  <c r="C69" i="14" s="1"/>
  <c r="B68" i="14"/>
  <c r="B67" i="14"/>
  <c r="B66" i="14"/>
  <c r="C66" i="14" s="1"/>
  <c r="B65" i="14"/>
  <c r="B64" i="14"/>
  <c r="D64" i="14" s="1"/>
  <c r="B63" i="14"/>
  <c r="D63" i="14" s="1"/>
  <c r="B62" i="14"/>
  <c r="C62" i="14" s="1"/>
  <c r="B61" i="14"/>
  <c r="B60" i="14"/>
  <c r="F80" i="14"/>
  <c r="D80" i="14"/>
  <c r="C80" i="14"/>
  <c r="F79" i="14"/>
  <c r="D79" i="14"/>
  <c r="C79" i="14"/>
  <c r="B78" i="14"/>
  <c r="B77" i="14"/>
  <c r="D77" i="14" s="1"/>
  <c r="B57" i="14"/>
  <c r="D57" i="14" s="1"/>
  <c r="F54" i="14"/>
  <c r="C54" i="14"/>
  <c r="B6" i="14"/>
  <c r="B49" i="14"/>
  <c r="D49" i="14" s="1"/>
  <c r="B33" i="14"/>
  <c r="B14" i="14"/>
  <c r="D14" i="14" s="1"/>
  <c r="F20" i="14"/>
  <c r="D20" i="14"/>
  <c r="C20" i="14"/>
  <c r="B31" i="14"/>
  <c r="F31" i="14" s="1"/>
  <c r="B19" i="14"/>
  <c r="D19" i="14" s="1"/>
  <c r="B40" i="14"/>
  <c r="F41" i="14"/>
  <c r="D41" i="14"/>
  <c r="C41" i="14"/>
  <c r="B45" i="14"/>
  <c r="C45" i="14" s="1"/>
  <c r="B24" i="14"/>
  <c r="D24" i="14" s="1"/>
  <c r="B17" i="14"/>
  <c r="B32" i="14"/>
  <c r="D32" i="14" s="1"/>
  <c r="B12" i="14"/>
  <c r="C12" i="14" s="1"/>
  <c r="B7" i="14"/>
  <c r="F7" i="14" s="1"/>
  <c r="B18" i="14"/>
  <c r="D18" i="14" s="1"/>
  <c r="B9" i="14"/>
  <c r="D9" i="14" s="1"/>
  <c r="B23" i="14"/>
  <c r="C23" i="14" s="1"/>
  <c r="B34" i="14"/>
  <c r="B13" i="14"/>
  <c r="F13" i="14" s="1"/>
  <c r="B44" i="14"/>
  <c r="B8" i="14"/>
  <c r="C8" i="14" s="1"/>
  <c r="B39" i="14"/>
  <c r="D39" i="14" s="1"/>
  <c r="B48" i="14"/>
  <c r="D48" i="14" s="1"/>
  <c r="F35" i="14"/>
  <c r="D35" i="14"/>
  <c r="C35" i="14"/>
  <c r="B38" i="14"/>
  <c r="D38" i="14" s="1"/>
  <c r="J3" i="14"/>
  <c r="I3" i="14"/>
  <c r="I24" i="13"/>
  <c r="F24" i="13"/>
  <c r="C24" i="13"/>
  <c r="C20" i="13"/>
  <c r="C4" i="2"/>
  <c r="A1" i="14" s="1"/>
  <c r="F20" i="13"/>
  <c r="I20" i="13"/>
  <c r="G14" i="13"/>
  <c r="D82" i="14" l="1"/>
  <c r="X71" i="14"/>
  <c r="I41" i="14"/>
  <c r="I57" i="14"/>
  <c r="E35" i="14"/>
  <c r="G41" i="14"/>
  <c r="E41" i="14"/>
  <c r="D74" i="14"/>
  <c r="D50" i="14"/>
  <c r="G71" i="14"/>
  <c r="F38" i="14"/>
  <c r="G38" i="14" s="1"/>
  <c r="E80" i="14"/>
  <c r="J60" i="14"/>
  <c r="E71" i="14"/>
  <c r="X61" i="14"/>
  <c r="L38" i="14"/>
  <c r="G80" i="14"/>
  <c r="I17" i="14"/>
  <c r="F57" i="14"/>
  <c r="G57" i="14" s="1"/>
  <c r="L8" i="14"/>
  <c r="C48" i="14"/>
  <c r="E48" i="14" s="1"/>
  <c r="F48" i="14"/>
  <c r="G48" i="14" s="1"/>
  <c r="F64" i="14"/>
  <c r="G64" i="14" s="1"/>
  <c r="L34" i="14"/>
  <c r="F45" i="14"/>
  <c r="J64" i="14"/>
  <c r="I8" i="14"/>
  <c r="F32" i="14"/>
  <c r="G32" i="14" s="1"/>
  <c r="F69" i="14"/>
  <c r="D45" i="14"/>
  <c r="I48" i="14"/>
  <c r="J45" i="14"/>
  <c r="J65" i="14"/>
  <c r="J8" i="14"/>
  <c r="J48" i="14"/>
  <c r="F8" i="14"/>
  <c r="L48" i="14"/>
  <c r="D69" i="14"/>
  <c r="E69" i="14" s="1"/>
  <c r="F49" i="14"/>
  <c r="J49" i="14"/>
  <c r="D62" i="14"/>
  <c r="E62" i="14" s="1"/>
  <c r="I7" i="14"/>
  <c r="C17" i="14"/>
  <c r="G35" i="14"/>
  <c r="D23" i="14"/>
  <c r="D25" i="14" s="1"/>
  <c r="I12" i="14"/>
  <c r="C24" i="14"/>
  <c r="J35" i="14"/>
  <c r="F39" i="14"/>
  <c r="G39" i="14" s="1"/>
  <c r="F24" i="14"/>
  <c r="F62" i="14"/>
  <c r="U3" i="14"/>
  <c r="L35" i="14"/>
  <c r="C13" i="14"/>
  <c r="I23" i="14"/>
  <c r="I20" i="14"/>
  <c r="J6" i="14"/>
  <c r="J66" i="14"/>
  <c r="F23" i="14"/>
  <c r="J12" i="14"/>
  <c r="I24" i="14"/>
  <c r="V3" i="14"/>
  <c r="I39" i="14"/>
  <c r="D13" i="14"/>
  <c r="C32" i="14"/>
  <c r="E32" i="14" s="1"/>
  <c r="L24" i="14"/>
  <c r="F63" i="14"/>
  <c r="G63" i="14" s="1"/>
  <c r="C49" i="14"/>
  <c r="F77" i="14"/>
  <c r="G77" i="14" s="1"/>
  <c r="L39" i="14"/>
  <c r="F9" i="14"/>
  <c r="J40" i="14"/>
  <c r="F14" i="14"/>
  <c r="E54" i="14"/>
  <c r="I34" i="14"/>
  <c r="I35" i="14"/>
  <c r="F82" i="14"/>
  <c r="C77" i="14"/>
  <c r="E77" i="14" s="1"/>
  <c r="C65" i="14"/>
  <c r="I13" i="14"/>
  <c r="L9" i="14"/>
  <c r="J38" i="14"/>
  <c r="D8" i="14"/>
  <c r="E8" i="14" s="1"/>
  <c r="J13" i="14"/>
  <c r="L32" i="14"/>
  <c r="J19" i="14"/>
  <c r="C61" i="14"/>
  <c r="F33" i="14"/>
  <c r="D33" i="14"/>
  <c r="C33" i="14"/>
  <c r="F61" i="14"/>
  <c r="D61" i="14"/>
  <c r="J61" i="14"/>
  <c r="G20" i="14"/>
  <c r="E20" i="14"/>
  <c r="F40" i="14"/>
  <c r="C40" i="14"/>
  <c r="D40" i="14"/>
  <c r="D42" i="14" s="1"/>
  <c r="F44" i="14"/>
  <c r="D44" i="14"/>
  <c r="C44" i="14"/>
  <c r="C46" i="14" s="1"/>
  <c r="C18" i="14"/>
  <c r="E18" i="14" s="1"/>
  <c r="L18" i="14"/>
  <c r="F18" i="14"/>
  <c r="G18" i="14" s="1"/>
  <c r="D68" i="14"/>
  <c r="F68" i="14"/>
  <c r="C68" i="14"/>
  <c r="D6" i="14"/>
  <c r="C6" i="14"/>
  <c r="F6" i="14"/>
  <c r="D31" i="14"/>
  <c r="C31" i="14"/>
  <c r="I31" i="14"/>
  <c r="F78" i="14"/>
  <c r="D78" i="14"/>
  <c r="C78" i="14"/>
  <c r="X65" i="14"/>
  <c r="I71" i="14"/>
  <c r="F34" i="14"/>
  <c r="D34" i="14"/>
  <c r="C19" i="14"/>
  <c r="E19" i="14" s="1"/>
  <c r="C38" i="14"/>
  <c r="E38" i="14" s="1"/>
  <c r="C39" i="14"/>
  <c r="E39" i="14" s="1"/>
  <c r="J44" i="14"/>
  <c r="J7" i="14"/>
  <c r="J62" i="14"/>
  <c r="D12" i="14"/>
  <c r="L17" i="14"/>
  <c r="J41" i="14"/>
  <c r="J31" i="14"/>
  <c r="I63" i="14"/>
  <c r="I68" i="14"/>
  <c r="I61" i="14"/>
  <c r="I80" i="14"/>
  <c r="I66" i="14"/>
  <c r="I45" i="14"/>
  <c r="I54" i="14"/>
  <c r="I33" i="14"/>
  <c r="I79" i="14"/>
  <c r="I78" i="14"/>
  <c r="I77" i="14"/>
  <c r="I67" i="14"/>
  <c r="I62" i="14"/>
  <c r="I44" i="14"/>
  <c r="I38" i="14"/>
  <c r="I69" i="14"/>
  <c r="I18" i="14"/>
  <c r="I32" i="14"/>
  <c r="I65" i="14"/>
  <c r="I70" i="14"/>
  <c r="I49" i="14"/>
  <c r="I50" i="14" s="1"/>
  <c r="I40" i="14"/>
  <c r="I64" i="14"/>
  <c r="I60" i="14"/>
  <c r="I6" i="14"/>
  <c r="I14" i="14"/>
  <c r="J34" i="14"/>
  <c r="I9" i="14"/>
  <c r="L7" i="14"/>
  <c r="F12" i="14"/>
  <c r="F19" i="14"/>
  <c r="F60" i="14"/>
  <c r="D60" i="14"/>
  <c r="X69" i="14"/>
  <c r="G54" i="14"/>
  <c r="G79" i="14"/>
  <c r="E79" i="14"/>
  <c r="F70" i="14"/>
  <c r="D70" i="14"/>
  <c r="C34" i="14"/>
  <c r="J68" i="14"/>
  <c r="X66" i="14"/>
  <c r="L79" i="14"/>
  <c r="J57" i="14"/>
  <c r="X70" i="14"/>
  <c r="X67" i="14"/>
  <c r="X63" i="14"/>
  <c r="L80" i="14"/>
  <c r="L57" i="14"/>
  <c r="J54" i="14"/>
  <c r="J33" i="14"/>
  <c r="L20" i="14"/>
  <c r="J79" i="14"/>
  <c r="J78" i="14"/>
  <c r="J77" i="14"/>
  <c r="L6" i="14"/>
  <c r="L19" i="14"/>
  <c r="J17" i="14"/>
  <c r="L12" i="14"/>
  <c r="J70" i="14"/>
  <c r="J67" i="14"/>
  <c r="X64" i="14"/>
  <c r="J63" i="14"/>
  <c r="J80" i="14"/>
  <c r="J20" i="14"/>
  <c r="J69" i="14"/>
  <c r="X68" i="14"/>
  <c r="L33" i="14"/>
  <c r="J18" i="14"/>
  <c r="L23" i="14"/>
  <c r="J23" i="14"/>
  <c r="L13" i="14"/>
  <c r="L49" i="14"/>
  <c r="L50" i="14" s="1"/>
  <c r="L41" i="14"/>
  <c r="L45" i="14"/>
  <c r="J32" i="14"/>
  <c r="J39" i="14"/>
  <c r="L31" i="14"/>
  <c r="L40" i="14"/>
  <c r="L78" i="14"/>
  <c r="J71" i="14"/>
  <c r="L77" i="14"/>
  <c r="J24" i="14"/>
  <c r="X60" i="14"/>
  <c r="L14" i="14"/>
  <c r="L54" i="14"/>
  <c r="L44" i="14"/>
  <c r="J9" i="14"/>
  <c r="I19" i="14"/>
  <c r="J14" i="14"/>
  <c r="C60" i="14"/>
  <c r="X62" i="14"/>
  <c r="F17" i="14"/>
  <c r="D17" i="14"/>
  <c r="D21" i="14" s="1"/>
  <c r="D67" i="14"/>
  <c r="C67" i="14"/>
  <c r="F67" i="14"/>
  <c r="C9" i="14"/>
  <c r="C7" i="14"/>
  <c r="C57" i="14"/>
  <c r="E57" i="14" s="1"/>
  <c r="C64" i="14"/>
  <c r="E64" i="14" s="1"/>
  <c r="D7" i="14"/>
  <c r="C63" i="14"/>
  <c r="E63" i="14" s="1"/>
  <c r="F66" i="14"/>
  <c r="D66" i="14"/>
  <c r="C14" i="14"/>
  <c r="F65" i="14"/>
  <c r="D65" i="14"/>
  <c r="U77" i="14" l="1"/>
  <c r="AS3" i="14"/>
  <c r="X9" i="14"/>
  <c r="AV80" i="14"/>
  <c r="AT3" i="14"/>
  <c r="J15" i="14"/>
  <c r="I46" i="14"/>
  <c r="J21" i="14"/>
  <c r="J25" i="14"/>
  <c r="I10" i="14"/>
  <c r="L46" i="14"/>
  <c r="I15" i="14"/>
  <c r="C74" i="14"/>
  <c r="E74" i="14" s="1"/>
  <c r="I36" i="14"/>
  <c r="I74" i="14"/>
  <c r="J50" i="14"/>
  <c r="J42" i="14"/>
  <c r="L10" i="14"/>
  <c r="J74" i="14"/>
  <c r="I21" i="14"/>
  <c r="J46" i="14"/>
  <c r="J10" i="14"/>
  <c r="L25" i="14"/>
  <c r="L36" i="14"/>
  <c r="L21" i="14"/>
  <c r="I42" i="14"/>
  <c r="L42" i="14"/>
  <c r="I25" i="14"/>
  <c r="L15" i="14"/>
  <c r="J36" i="14"/>
  <c r="F42" i="14"/>
  <c r="G42" i="14" s="1"/>
  <c r="F74" i="14"/>
  <c r="G74" i="14" s="1"/>
  <c r="F36" i="14"/>
  <c r="C36" i="14"/>
  <c r="C42" i="14"/>
  <c r="C55" i="14" s="1"/>
  <c r="D36" i="14"/>
  <c r="E45" i="14"/>
  <c r="D46" i="14"/>
  <c r="F46" i="14"/>
  <c r="G49" i="14"/>
  <c r="F50" i="14"/>
  <c r="E49" i="14"/>
  <c r="C50" i="14"/>
  <c r="V54" i="14"/>
  <c r="M19" i="14"/>
  <c r="V70" i="14"/>
  <c r="L71" i="14"/>
  <c r="L74" i="14" s="1"/>
  <c r="D15" i="14"/>
  <c r="F21" i="14"/>
  <c r="G21" i="14" s="1"/>
  <c r="V60" i="14"/>
  <c r="V12" i="14"/>
  <c r="G9" i="14"/>
  <c r="F10" i="14"/>
  <c r="E24" i="14"/>
  <c r="C25" i="14"/>
  <c r="C10" i="14"/>
  <c r="E14" i="14"/>
  <c r="C15" i="14"/>
  <c r="C21" i="14"/>
  <c r="E21" i="14" s="1"/>
  <c r="D10" i="14"/>
  <c r="G14" i="14"/>
  <c r="F15" i="14"/>
  <c r="G24" i="14"/>
  <c r="F25" i="14"/>
  <c r="V19" i="14"/>
  <c r="K6" i="14"/>
  <c r="L65" i="14"/>
  <c r="M65" i="14" s="1"/>
  <c r="V32" i="14"/>
  <c r="K49" i="14"/>
  <c r="V35" i="14"/>
  <c r="V39" i="14"/>
  <c r="M12" i="14"/>
  <c r="K60" i="14"/>
  <c r="U19" i="14"/>
  <c r="U61" i="14"/>
  <c r="G69" i="14"/>
  <c r="K65" i="14"/>
  <c r="U35" i="14"/>
  <c r="M45" i="14"/>
  <c r="U64" i="14"/>
  <c r="L82" i="14"/>
  <c r="K45" i="14"/>
  <c r="U71" i="14"/>
  <c r="K48" i="14"/>
  <c r="G62" i="14"/>
  <c r="K35" i="14"/>
  <c r="M8" i="14"/>
  <c r="C82" i="14"/>
  <c r="E82" i="14" s="1"/>
  <c r="K64" i="14"/>
  <c r="M38" i="14"/>
  <c r="G45" i="14"/>
  <c r="M48" i="14"/>
  <c r="M6" i="14"/>
  <c r="K13" i="14"/>
  <c r="K8" i="14"/>
  <c r="F93" i="14"/>
  <c r="D89" i="14"/>
  <c r="E13" i="14"/>
  <c r="G13" i="14"/>
  <c r="U8" i="14"/>
  <c r="U69" i="14"/>
  <c r="U24" i="14"/>
  <c r="U79" i="14"/>
  <c r="AA3" i="14"/>
  <c r="AA77" i="14" s="1"/>
  <c r="U54" i="14"/>
  <c r="U12" i="14"/>
  <c r="U18" i="14"/>
  <c r="U32" i="14"/>
  <c r="U41" i="14"/>
  <c r="U63" i="14"/>
  <c r="U6" i="14"/>
  <c r="U38" i="14"/>
  <c r="U49" i="14"/>
  <c r="U44" i="14"/>
  <c r="U67" i="14"/>
  <c r="U57" i="14"/>
  <c r="U78" i="14"/>
  <c r="U93" i="14" s="1"/>
  <c r="U33" i="14"/>
  <c r="U66" i="14"/>
  <c r="U68" i="14"/>
  <c r="U9" i="14"/>
  <c r="U48" i="14"/>
  <c r="U31" i="14"/>
  <c r="U62" i="14"/>
  <c r="U14" i="14"/>
  <c r="U40" i="14"/>
  <c r="U45" i="14"/>
  <c r="U20" i="14"/>
  <c r="U13" i="14"/>
  <c r="U65" i="14"/>
  <c r="U80" i="14"/>
  <c r="U39" i="14"/>
  <c r="M40" i="14"/>
  <c r="K40" i="14"/>
  <c r="V7" i="14"/>
  <c r="L63" i="14"/>
  <c r="M63" i="14" s="1"/>
  <c r="V63" i="14"/>
  <c r="X24" i="14"/>
  <c r="X12" i="14"/>
  <c r="V45" i="14"/>
  <c r="X19" i="14"/>
  <c r="V64" i="14"/>
  <c r="L60" i="14"/>
  <c r="M60" i="14" s="1"/>
  <c r="X33" i="14"/>
  <c r="V33" i="14"/>
  <c r="V67" i="14"/>
  <c r="X44" i="14"/>
  <c r="V69" i="14"/>
  <c r="X31" i="14"/>
  <c r="X7" i="14"/>
  <c r="V40" i="14"/>
  <c r="L66" i="14"/>
  <c r="M66" i="14" s="1"/>
  <c r="V66" i="14"/>
  <c r="X17" i="14"/>
  <c r="L67" i="14"/>
  <c r="M67" i="14" s="1"/>
  <c r="V24" i="14"/>
  <c r="V8" i="14"/>
  <c r="L64" i="14"/>
  <c r="M64" i="14" s="1"/>
  <c r="V79" i="14"/>
  <c r="X41" i="14"/>
  <c r="V38" i="14"/>
  <c r="V57" i="14"/>
  <c r="V78" i="14"/>
  <c r="L69" i="14"/>
  <c r="M69" i="14" s="1"/>
  <c r="X34" i="14"/>
  <c r="X45" i="14"/>
  <c r="X13" i="14"/>
  <c r="X6" i="14"/>
  <c r="V77" i="14"/>
  <c r="V49" i="14"/>
  <c r="V14" i="14"/>
  <c r="X77" i="14"/>
  <c r="V65" i="14"/>
  <c r="V18" i="14"/>
  <c r="V23" i="14"/>
  <c r="L62" i="14"/>
  <c r="M62" i="14" s="1"/>
  <c r="V62" i="14"/>
  <c r="X32" i="14"/>
  <c r="V9" i="14"/>
  <c r="V6" i="14"/>
  <c r="X18" i="14"/>
  <c r="X23" i="14"/>
  <c r="V44" i="14"/>
  <c r="V80" i="14"/>
  <c r="L68" i="14"/>
  <c r="M68" i="14" s="1"/>
  <c r="L70" i="14"/>
  <c r="M70" i="14" s="1"/>
  <c r="X20" i="14"/>
  <c r="V31" i="14"/>
  <c r="X39" i="14"/>
  <c r="V48" i="14"/>
  <c r="X8" i="14"/>
  <c r="X49" i="14"/>
  <c r="V61" i="14"/>
  <c r="X48" i="14"/>
  <c r="V71" i="14"/>
  <c r="X38" i="14"/>
  <c r="X35" i="14"/>
  <c r="X14" i="14"/>
  <c r="X54" i="14"/>
  <c r="X74" i="14" s="1"/>
  <c r="AB3" i="14"/>
  <c r="AD71" i="14" s="1"/>
  <c r="X79" i="14"/>
  <c r="L61" i="14"/>
  <c r="M61" i="14" s="1"/>
  <c r="V20" i="14"/>
  <c r="V34" i="14"/>
  <c r="X80" i="14"/>
  <c r="V41" i="14"/>
  <c r="U70" i="14"/>
  <c r="G8" i="14"/>
  <c r="U34" i="14"/>
  <c r="X40" i="14"/>
  <c r="V68" i="14"/>
  <c r="U7" i="14"/>
  <c r="D88" i="14"/>
  <c r="D87" i="14"/>
  <c r="U60" i="14"/>
  <c r="X78" i="14"/>
  <c r="V13" i="14"/>
  <c r="U23" i="14"/>
  <c r="X57" i="14"/>
  <c r="V17" i="14"/>
  <c r="U17" i="14"/>
  <c r="F72" i="14"/>
  <c r="I93" i="14"/>
  <c r="F88" i="14"/>
  <c r="K12" i="14"/>
  <c r="I89" i="14"/>
  <c r="L87" i="14"/>
  <c r="F87" i="14"/>
  <c r="C88" i="14"/>
  <c r="F89" i="14"/>
  <c r="M35" i="14"/>
  <c r="C93" i="14"/>
  <c r="E23" i="14"/>
  <c r="G23" i="14"/>
  <c r="L88" i="14"/>
  <c r="K66" i="14"/>
  <c r="M49" i="14"/>
  <c r="L89" i="14"/>
  <c r="K70" i="14"/>
  <c r="K34" i="14"/>
  <c r="M34" i="14"/>
  <c r="K19" i="14"/>
  <c r="E65" i="14"/>
  <c r="G65" i="14"/>
  <c r="K69" i="14"/>
  <c r="K78" i="14"/>
  <c r="M78" i="14"/>
  <c r="M31" i="14"/>
  <c r="K31" i="14"/>
  <c r="C87" i="14"/>
  <c r="K39" i="14"/>
  <c r="M39" i="14"/>
  <c r="K20" i="14"/>
  <c r="M20" i="14"/>
  <c r="M79" i="14"/>
  <c r="K79" i="14"/>
  <c r="K68" i="14"/>
  <c r="M41" i="14"/>
  <c r="K41" i="14"/>
  <c r="K7" i="14"/>
  <c r="M7" i="14"/>
  <c r="J55" i="14"/>
  <c r="G33" i="14"/>
  <c r="E33" i="14"/>
  <c r="J87" i="14"/>
  <c r="M9" i="14"/>
  <c r="K9" i="14"/>
  <c r="K32" i="14"/>
  <c r="M32" i="14"/>
  <c r="J88" i="14"/>
  <c r="K80" i="14"/>
  <c r="M80" i="14"/>
  <c r="K44" i="14"/>
  <c r="M44" i="14"/>
  <c r="G78" i="14"/>
  <c r="E78" i="14"/>
  <c r="K61" i="14"/>
  <c r="K63" i="14"/>
  <c r="K33" i="14"/>
  <c r="M33" i="14"/>
  <c r="G70" i="14"/>
  <c r="E70" i="14"/>
  <c r="G12" i="14"/>
  <c r="E12" i="14"/>
  <c r="G44" i="14"/>
  <c r="E44" i="14"/>
  <c r="E61" i="14"/>
  <c r="G61" i="14"/>
  <c r="G67" i="14"/>
  <c r="E67" i="14"/>
  <c r="J82" i="14"/>
  <c r="M54" i="14"/>
  <c r="K54" i="14"/>
  <c r="I88" i="14"/>
  <c r="I82" i="14"/>
  <c r="E66" i="14"/>
  <c r="G66" i="14"/>
  <c r="E17" i="14"/>
  <c r="G17" i="14"/>
  <c r="K67" i="14"/>
  <c r="I87" i="14"/>
  <c r="G19" i="14"/>
  <c r="M24" i="14"/>
  <c r="K24" i="14"/>
  <c r="K23" i="14"/>
  <c r="M23" i="14"/>
  <c r="K38" i="14"/>
  <c r="M13" i="14"/>
  <c r="G6" i="14"/>
  <c r="E6" i="14"/>
  <c r="E7" i="14"/>
  <c r="G7" i="14"/>
  <c r="C72" i="14"/>
  <c r="L93" i="14"/>
  <c r="M17" i="14"/>
  <c r="K17" i="14"/>
  <c r="J89" i="14"/>
  <c r="E31" i="14"/>
  <c r="G31" i="14"/>
  <c r="D93" i="14"/>
  <c r="K71" i="14"/>
  <c r="M18" i="14"/>
  <c r="K18" i="14"/>
  <c r="G82" i="14"/>
  <c r="I72" i="14"/>
  <c r="C89" i="14"/>
  <c r="E68" i="14"/>
  <c r="G68" i="14"/>
  <c r="G40" i="14"/>
  <c r="E40" i="14"/>
  <c r="K57" i="14"/>
  <c r="M57" i="14"/>
  <c r="K62" i="14"/>
  <c r="E9" i="14"/>
  <c r="K14" i="14"/>
  <c r="M14" i="14"/>
  <c r="K77" i="14"/>
  <c r="J93" i="14"/>
  <c r="M77" i="14"/>
  <c r="E60" i="14"/>
  <c r="G60" i="14"/>
  <c r="D72" i="14"/>
  <c r="E34" i="14"/>
  <c r="G34" i="14"/>
  <c r="J72" i="14"/>
  <c r="K25" i="14" l="1"/>
  <c r="M15" i="14"/>
  <c r="M21" i="14"/>
  <c r="L55" i="14"/>
  <c r="V74" i="14"/>
  <c r="U74" i="14"/>
  <c r="K15" i="14"/>
  <c r="K21" i="14"/>
  <c r="U21" i="14"/>
  <c r="X21" i="14"/>
  <c r="V15" i="14"/>
  <c r="V50" i="14"/>
  <c r="J27" i="14"/>
  <c r="L52" i="14"/>
  <c r="D52" i="14"/>
  <c r="U42" i="14"/>
  <c r="V42" i="14"/>
  <c r="X10" i="14"/>
  <c r="I52" i="14"/>
  <c r="D27" i="14"/>
  <c r="U46" i="14"/>
  <c r="U36" i="14"/>
  <c r="U10" i="14"/>
  <c r="G50" i="14"/>
  <c r="F52" i="14"/>
  <c r="M25" i="14"/>
  <c r="L27" i="14"/>
  <c r="E25" i="14"/>
  <c r="C27" i="14"/>
  <c r="E50" i="14"/>
  <c r="C52" i="14"/>
  <c r="E52" i="14" s="1"/>
  <c r="X50" i="14"/>
  <c r="V25" i="14"/>
  <c r="G25" i="14"/>
  <c r="F27" i="14"/>
  <c r="V10" i="14"/>
  <c r="I27" i="14"/>
  <c r="K27" i="14" s="1"/>
  <c r="V21" i="14"/>
  <c r="I55" i="14"/>
  <c r="X46" i="14"/>
  <c r="X25" i="14"/>
  <c r="U15" i="14"/>
  <c r="U50" i="14"/>
  <c r="V46" i="14"/>
  <c r="X15" i="14"/>
  <c r="U25" i="14"/>
  <c r="V36" i="14"/>
  <c r="J52" i="14"/>
  <c r="X36" i="14"/>
  <c r="X42" i="14"/>
  <c r="M42" i="14"/>
  <c r="K42" i="14"/>
  <c r="M50" i="14"/>
  <c r="K50" i="14"/>
  <c r="K10" i="14"/>
  <c r="M10" i="14"/>
  <c r="M46" i="14"/>
  <c r="K46" i="14"/>
  <c r="M36" i="14"/>
  <c r="K36" i="14"/>
  <c r="M71" i="14"/>
  <c r="M74" i="14"/>
  <c r="K74" i="14"/>
  <c r="G72" i="14"/>
  <c r="E72" i="14"/>
  <c r="D55" i="14"/>
  <c r="G46" i="14"/>
  <c r="E46" i="14"/>
  <c r="E42" i="14"/>
  <c r="G36" i="14"/>
  <c r="E36" i="14"/>
  <c r="E15" i="14"/>
  <c r="G15" i="14"/>
  <c r="G10" i="14"/>
  <c r="E10" i="14"/>
  <c r="F55" i="14"/>
  <c r="Y70" i="14"/>
  <c r="Y12" i="14"/>
  <c r="W54" i="14"/>
  <c r="W70" i="14"/>
  <c r="Y60" i="14"/>
  <c r="W60" i="14"/>
  <c r="W12" i="14"/>
  <c r="Y19" i="14"/>
  <c r="W19" i="14"/>
  <c r="Y32" i="14"/>
  <c r="W32" i="14"/>
  <c r="G87" i="14"/>
  <c r="W35" i="14"/>
  <c r="Y35" i="14"/>
  <c r="W41" i="14"/>
  <c r="Y13" i="14"/>
  <c r="Y23" i="14"/>
  <c r="Y39" i="14"/>
  <c r="W39" i="14"/>
  <c r="Y67" i="14"/>
  <c r="Y17" i="14"/>
  <c r="Y20" i="14"/>
  <c r="E89" i="14"/>
  <c r="Y24" i="14"/>
  <c r="W24" i="14"/>
  <c r="AA79" i="14"/>
  <c r="AA66" i="14"/>
  <c r="Y9" i="14"/>
  <c r="W23" i="14"/>
  <c r="AA61" i="14"/>
  <c r="AA57" i="14"/>
  <c r="W61" i="14"/>
  <c r="AA8" i="14"/>
  <c r="AA23" i="14"/>
  <c r="AA54" i="14"/>
  <c r="W49" i="14"/>
  <c r="Y6" i="14"/>
  <c r="AB35" i="14"/>
  <c r="AD18" i="14"/>
  <c r="W64" i="14"/>
  <c r="U82" i="14"/>
  <c r="W31" i="14"/>
  <c r="G89" i="14"/>
  <c r="Y69" i="14"/>
  <c r="X89" i="14"/>
  <c r="AB19" i="14"/>
  <c r="AD19" i="14"/>
  <c r="AD65" i="14"/>
  <c r="AA24" i="14"/>
  <c r="AA17" i="14"/>
  <c r="AD77" i="14"/>
  <c r="Y31" i="14"/>
  <c r="AD13" i="14"/>
  <c r="AB24" i="14"/>
  <c r="AD66" i="14"/>
  <c r="Y33" i="14"/>
  <c r="X93" i="14"/>
  <c r="AD41" i="14"/>
  <c r="AD69" i="14"/>
  <c r="W65" i="14"/>
  <c r="AB54" i="14"/>
  <c r="AB71" i="14"/>
  <c r="AB74" i="14" s="1"/>
  <c r="AA48" i="14"/>
  <c r="AB9" i="14"/>
  <c r="AD7" i="14"/>
  <c r="AD62" i="14"/>
  <c r="Y57" i="14"/>
  <c r="AB78" i="14"/>
  <c r="AD31" i="14"/>
  <c r="AD17" i="14"/>
  <c r="AB67" i="14"/>
  <c r="AD79" i="14"/>
  <c r="AA7" i="14"/>
  <c r="AB38" i="14"/>
  <c r="AB62" i="14"/>
  <c r="AA12" i="14"/>
  <c r="AA63" i="14"/>
  <c r="AD44" i="14"/>
  <c r="AD39" i="14"/>
  <c r="AB64" i="14"/>
  <c r="AA35" i="14"/>
  <c r="AA70" i="14"/>
  <c r="AD63" i="14"/>
  <c r="AD6" i="14"/>
  <c r="AD70" i="14"/>
  <c r="AA64" i="14"/>
  <c r="AA78" i="14"/>
  <c r="AA93" i="14" s="1"/>
  <c r="W9" i="14"/>
  <c r="AD12" i="14"/>
  <c r="AB44" i="14"/>
  <c r="AB63" i="14"/>
  <c r="AA13" i="14"/>
  <c r="AB48" i="14"/>
  <c r="AB60" i="14"/>
  <c r="W33" i="14"/>
  <c r="U88" i="14"/>
  <c r="X72" i="14"/>
  <c r="U89" i="14"/>
  <c r="W20" i="14"/>
  <c r="W57" i="14"/>
  <c r="Y65" i="14"/>
  <c r="X87" i="14"/>
  <c r="W18" i="14"/>
  <c r="Y18" i="14"/>
  <c r="V89" i="14"/>
  <c r="V88" i="14"/>
  <c r="Y41" i="14"/>
  <c r="W80" i="14"/>
  <c r="Y8" i="14"/>
  <c r="W8" i="14"/>
  <c r="E87" i="14"/>
  <c r="W34" i="14"/>
  <c r="W77" i="14"/>
  <c r="E88" i="14"/>
  <c r="V87" i="14"/>
  <c r="V93" i="14"/>
  <c r="W93" i="14" s="1"/>
  <c r="V72" i="14"/>
  <c r="Y34" i="14"/>
  <c r="W66" i="14"/>
  <c r="W17" i="14"/>
  <c r="W68" i="14"/>
  <c r="AD35" i="14"/>
  <c r="AB20" i="14"/>
  <c r="AB33" i="14"/>
  <c r="AD68" i="14"/>
  <c r="Y62" i="14"/>
  <c r="Y49" i="14"/>
  <c r="Y66" i="14"/>
  <c r="X82" i="14"/>
  <c r="W78" i="14"/>
  <c r="Y40" i="14"/>
  <c r="W67" i="14"/>
  <c r="U72" i="14"/>
  <c r="W6" i="14"/>
  <c r="AB77" i="14"/>
  <c r="AD67" i="14"/>
  <c r="AD8" i="14"/>
  <c r="AB31" i="14"/>
  <c r="AB57" i="14"/>
  <c r="AB45" i="14"/>
  <c r="AB6" i="14"/>
  <c r="AB70" i="14"/>
  <c r="AA32" i="14"/>
  <c r="AA31" i="14"/>
  <c r="AG3" i="14"/>
  <c r="AG80" i="14" s="1"/>
  <c r="AA80" i="14"/>
  <c r="Y38" i="14"/>
  <c r="W48" i="14"/>
  <c r="W45" i="14"/>
  <c r="Y45" i="14"/>
  <c r="AB32" i="14"/>
  <c r="X88" i="14"/>
  <c r="Y48" i="14"/>
  <c r="G88" i="14"/>
  <c r="Y7" i="14"/>
  <c r="W62" i="14"/>
  <c r="W38" i="14"/>
  <c r="AD49" i="14"/>
  <c r="AB7" i="14"/>
  <c r="AB12" i="14"/>
  <c r="AD23" i="14"/>
  <c r="AD54" i="14"/>
  <c r="AD80" i="14"/>
  <c r="AA6" i="14"/>
  <c r="AA19" i="14"/>
  <c r="AA34" i="14"/>
  <c r="AA65" i="14"/>
  <c r="AB23" i="14"/>
  <c r="AB79" i="14"/>
  <c r="AD78" i="14"/>
  <c r="AD45" i="14"/>
  <c r="AB18" i="14"/>
  <c r="AB61" i="14"/>
  <c r="AD61" i="14"/>
  <c r="AA68" i="14"/>
  <c r="AA20" i="14"/>
  <c r="AA60" i="14"/>
  <c r="Y54" i="14"/>
  <c r="Y80" i="14"/>
  <c r="Y64" i="14"/>
  <c r="Y63" i="14"/>
  <c r="W63" i="14"/>
  <c r="Y14" i="14"/>
  <c r="W13" i="14"/>
  <c r="V82" i="14"/>
  <c r="W14" i="14"/>
  <c r="W69" i="14"/>
  <c r="AB34" i="14"/>
  <c r="AD34" i="14"/>
  <c r="AB8" i="14"/>
  <c r="AB14" i="14"/>
  <c r="AB17" i="14"/>
  <c r="AB40" i="14"/>
  <c r="AB66" i="14"/>
  <c r="W44" i="14"/>
  <c r="AA9" i="14"/>
  <c r="AA38" i="14"/>
  <c r="AA62" i="14"/>
  <c r="AA40" i="14"/>
  <c r="W7" i="14"/>
  <c r="AD9" i="14"/>
  <c r="AB80" i="14"/>
  <c r="AB68" i="14"/>
  <c r="AA44" i="14"/>
  <c r="AA18" i="14"/>
  <c r="AH3" i="14"/>
  <c r="AJ69" i="14" s="1"/>
  <c r="AD38" i="14"/>
  <c r="AD14" i="14"/>
  <c r="AD33" i="14"/>
  <c r="Y44" i="14"/>
  <c r="AA39" i="14"/>
  <c r="AA71" i="14"/>
  <c r="Y79" i="14"/>
  <c r="AD48" i="14"/>
  <c r="AD24" i="14"/>
  <c r="AB39" i="14"/>
  <c r="AD64" i="14"/>
  <c r="AD57" i="14"/>
  <c r="AD60" i="14"/>
  <c r="AB69" i="14"/>
  <c r="AA14" i="14"/>
  <c r="AA33" i="14"/>
  <c r="AA41" i="14"/>
  <c r="AA69" i="14"/>
  <c r="Y68" i="14"/>
  <c r="U87" i="14"/>
  <c r="W79" i="14"/>
  <c r="Y78" i="14"/>
  <c r="Y77" i="14"/>
  <c r="Y61" i="14"/>
  <c r="W40" i="14"/>
  <c r="AB49" i="14"/>
  <c r="AB13" i="14"/>
  <c r="AD40" i="14"/>
  <c r="AB41" i="14"/>
  <c r="AD32" i="14"/>
  <c r="AD20" i="14"/>
  <c r="AB65" i="14"/>
  <c r="AA45" i="14"/>
  <c r="AA67" i="14"/>
  <c r="AA49" i="14"/>
  <c r="AA50" i="14" s="1"/>
  <c r="K89" i="14"/>
  <c r="M89" i="14"/>
  <c r="K82" i="14"/>
  <c r="M82" i="14"/>
  <c r="G93" i="14"/>
  <c r="E93" i="14"/>
  <c r="M93" i="14"/>
  <c r="K93" i="14"/>
  <c r="M87" i="14"/>
  <c r="K87" i="14"/>
  <c r="K88" i="14"/>
  <c r="M88" i="14"/>
  <c r="AD74" i="14" l="1"/>
  <c r="AE74" i="14" s="1"/>
  <c r="W50" i="14"/>
  <c r="AA74" i="14"/>
  <c r="AC74" i="14" s="1"/>
  <c r="W15" i="14"/>
  <c r="W74" i="14"/>
  <c r="M52" i="14"/>
  <c r="X55" i="14"/>
  <c r="M27" i="14"/>
  <c r="Y15" i="14"/>
  <c r="AA46" i="14"/>
  <c r="AB21" i="14"/>
  <c r="Y42" i="14"/>
  <c r="E27" i="14"/>
  <c r="U55" i="14"/>
  <c r="AA36" i="14"/>
  <c r="W42" i="14"/>
  <c r="G27" i="14"/>
  <c r="G52" i="14"/>
  <c r="Y46" i="14"/>
  <c r="X52" i="14"/>
  <c r="AA10" i="14"/>
  <c r="AD46" i="14"/>
  <c r="AD10" i="14"/>
  <c r="W10" i="14"/>
  <c r="U52" i="14"/>
  <c r="AD21" i="14"/>
  <c r="AE21" i="14" s="1"/>
  <c r="AB25" i="14"/>
  <c r="Y25" i="14"/>
  <c r="V27" i="14"/>
  <c r="W25" i="14"/>
  <c r="AD42" i="14"/>
  <c r="AD50" i="14"/>
  <c r="X27" i="14"/>
  <c r="V52" i="14"/>
  <c r="AD36" i="14"/>
  <c r="AD25" i="14"/>
  <c r="AA42" i="14"/>
  <c r="AB46" i="14"/>
  <c r="AA15" i="14"/>
  <c r="AB36" i="14"/>
  <c r="AB50" i="14"/>
  <c r="AD15" i="14"/>
  <c r="AA25" i="14"/>
  <c r="Y36" i="14"/>
  <c r="W36" i="14"/>
  <c r="Y21" i="14"/>
  <c r="W21" i="14"/>
  <c r="Y50" i="14"/>
  <c r="AB10" i="14"/>
  <c r="AA21" i="14"/>
  <c r="AC21" i="14" s="1"/>
  <c r="K52" i="14"/>
  <c r="AB42" i="14"/>
  <c r="AB15" i="14"/>
  <c r="W46" i="14"/>
  <c r="V55" i="14"/>
  <c r="U27" i="14"/>
  <c r="Y10" i="14"/>
  <c r="AC41" i="14"/>
  <c r="AE65" i="14"/>
  <c r="Y87" i="14"/>
  <c r="AE78" i="14"/>
  <c r="AC8" i="14"/>
  <c r="AJ57" i="14"/>
  <c r="AC18" i="14"/>
  <c r="Y89" i="14"/>
  <c r="AE14" i="14"/>
  <c r="AC57" i="14"/>
  <c r="AH20" i="14"/>
  <c r="AH65" i="14"/>
  <c r="AJ7" i="14"/>
  <c r="AE77" i="14"/>
  <c r="AJ9" i="14"/>
  <c r="AC65" i="14"/>
  <c r="AJ80" i="14"/>
  <c r="AH31" i="14"/>
  <c r="AJ31" i="14"/>
  <c r="AC34" i="14"/>
  <c r="AC9" i="14"/>
  <c r="AH39" i="14"/>
  <c r="AJ48" i="14"/>
  <c r="AC66" i="14"/>
  <c r="AH8" i="14"/>
  <c r="AJ24" i="14"/>
  <c r="AJ18" i="14"/>
  <c r="AJ63" i="14"/>
  <c r="AH61" i="14"/>
  <c r="AH66" i="14"/>
  <c r="AJ17" i="14"/>
  <c r="AJ49" i="14"/>
  <c r="AE9" i="14"/>
  <c r="AC54" i="14"/>
  <c r="AH68" i="14"/>
  <c r="AC71" i="14"/>
  <c r="AE35" i="14"/>
  <c r="AC35" i="14"/>
  <c r="AE19" i="14"/>
  <c r="AE39" i="14"/>
  <c r="AC64" i="14"/>
  <c r="AC77" i="14"/>
  <c r="AC39" i="14"/>
  <c r="AB93" i="14"/>
  <c r="AC93" i="14" s="1"/>
  <c r="AE79" i="14"/>
  <c r="AE71" i="14"/>
  <c r="AE33" i="14"/>
  <c r="AE80" i="14"/>
  <c r="AC6" i="14"/>
  <c r="AH60" i="14"/>
  <c r="AJ61" i="14"/>
  <c r="AE69" i="14"/>
  <c r="AC45" i="14"/>
  <c r="AJ35" i="14"/>
  <c r="AJ40" i="14"/>
  <c r="AE38" i="14"/>
  <c r="AE34" i="14"/>
  <c r="AE67" i="14"/>
  <c r="AE48" i="14"/>
  <c r="AC78" i="14"/>
  <c r="AC63" i="14"/>
  <c r="AC48" i="14"/>
  <c r="AE60" i="14"/>
  <c r="AC79" i="14"/>
  <c r="AC60" i="14"/>
  <c r="AE62" i="14"/>
  <c r="AH7" i="14"/>
  <c r="AJ14" i="14"/>
  <c r="AC67" i="14"/>
  <c r="AE64" i="14"/>
  <c r="AC19" i="14"/>
  <c r="AE8" i="14"/>
  <c r="AJ65" i="14"/>
  <c r="AH67" i="14"/>
  <c r="AC62" i="14"/>
  <c r="W87" i="14"/>
  <c r="AG39" i="14"/>
  <c r="Y93" i="14"/>
  <c r="W88" i="14"/>
  <c r="AE63" i="14"/>
  <c r="AB87" i="14"/>
  <c r="AC38" i="14"/>
  <c r="AH6" i="14"/>
  <c r="W82" i="14"/>
  <c r="AE6" i="14"/>
  <c r="AH80" i="14"/>
  <c r="Y88" i="14"/>
  <c r="AE20" i="14"/>
  <c r="AC24" i="14"/>
  <c r="AH12" i="14"/>
  <c r="AJ19" i="14"/>
  <c r="Y82" i="14"/>
  <c r="AH35" i="14"/>
  <c r="AE12" i="14"/>
  <c r="AE23" i="14"/>
  <c r="AJ38" i="14"/>
  <c r="AJ60" i="14"/>
  <c r="AH41" i="14"/>
  <c r="AH23" i="14"/>
  <c r="AE24" i="14"/>
  <c r="AJ23" i="14"/>
  <c r="AJ6" i="14"/>
  <c r="AH77" i="14"/>
  <c r="AE66" i="14"/>
  <c r="AE45" i="14"/>
  <c r="AE32" i="14"/>
  <c r="AC31" i="14"/>
  <c r="AH32" i="14"/>
  <c r="AJ44" i="14"/>
  <c r="AJ8" i="14"/>
  <c r="AH78" i="14"/>
  <c r="AE44" i="14"/>
  <c r="AA89" i="14"/>
  <c r="AC7" i="14"/>
  <c r="AH38" i="14"/>
  <c r="AJ34" i="14"/>
  <c r="AJ12" i="14"/>
  <c r="AJ79" i="14"/>
  <c r="AC33" i="14"/>
  <c r="AC68" i="14"/>
  <c r="AE17" i="14"/>
  <c r="AC70" i="14"/>
  <c r="W89" i="14"/>
  <c r="AE49" i="14"/>
  <c r="AC69" i="14"/>
  <c r="AA87" i="14"/>
  <c r="AA88" i="14"/>
  <c r="AG68" i="14"/>
  <c r="AB89" i="14"/>
  <c r="AD88" i="14"/>
  <c r="AG61" i="14"/>
  <c r="AG19" i="14"/>
  <c r="AD87" i="14"/>
  <c r="AE57" i="14"/>
  <c r="AA72" i="14"/>
  <c r="AG12" i="14"/>
  <c r="AJ68" i="14"/>
  <c r="AH9" i="14"/>
  <c r="AH54" i="14"/>
  <c r="AJ64" i="14"/>
  <c r="AJ67" i="14"/>
  <c r="AD93" i="14"/>
  <c r="AG17" i="14"/>
  <c r="AB88" i="14"/>
  <c r="AG33" i="14"/>
  <c r="AD89" i="14"/>
  <c r="AC32" i="14"/>
  <c r="AE70" i="14"/>
  <c r="AC20" i="14"/>
  <c r="AG48" i="14"/>
  <c r="AC13" i="14"/>
  <c r="AJ13" i="14"/>
  <c r="AJ20" i="14"/>
  <c r="AH33" i="14"/>
  <c r="AH63" i="14"/>
  <c r="AH64" i="14"/>
  <c r="AE61" i="14"/>
  <c r="AD82" i="14"/>
  <c r="AA82" i="14"/>
  <c r="AG54" i="14"/>
  <c r="AG70" i="14"/>
  <c r="AG77" i="14"/>
  <c r="AG31" i="14"/>
  <c r="AE13" i="14"/>
  <c r="AE68" i="14"/>
  <c r="AC14" i="14"/>
  <c r="AB72" i="14"/>
  <c r="AC61" i="14"/>
  <c r="AG14" i="14"/>
  <c r="AG13" i="14"/>
  <c r="AG62" i="14"/>
  <c r="AG7" i="14"/>
  <c r="AG32" i="14"/>
  <c r="AG66" i="14"/>
  <c r="AJ78" i="14"/>
  <c r="AH48" i="14"/>
  <c r="AH14" i="14"/>
  <c r="AH40" i="14"/>
  <c r="AH69" i="14"/>
  <c r="AJ71" i="14"/>
  <c r="AH57" i="14"/>
  <c r="AJ62" i="14"/>
  <c r="AG60" i="14"/>
  <c r="AG78" i="14"/>
  <c r="AE54" i="14"/>
  <c r="AC44" i="14"/>
  <c r="AG79" i="14"/>
  <c r="AB82" i="14"/>
  <c r="AG65" i="14"/>
  <c r="AG67" i="14"/>
  <c r="AG63" i="14"/>
  <c r="AG45" i="14"/>
  <c r="O3" i="14"/>
  <c r="O70" i="14" s="1"/>
  <c r="AG24" i="14"/>
  <c r="AG20" i="14"/>
  <c r="AE7" i="14"/>
  <c r="AC49" i="14"/>
  <c r="AG38" i="14"/>
  <c r="AG9" i="14"/>
  <c r="AG23" i="14"/>
  <c r="AG71" i="14"/>
  <c r="AG8" i="14"/>
  <c r="AG40" i="14"/>
  <c r="AG64" i="14"/>
  <c r="AG41" i="14"/>
  <c r="AG49" i="14"/>
  <c r="AG6" i="14"/>
  <c r="AE31" i="14"/>
  <c r="AJ39" i="14"/>
  <c r="AJ32" i="14"/>
  <c r="AH44" i="14"/>
  <c r="AH70" i="14"/>
  <c r="AH62" i="14"/>
  <c r="AH13" i="14"/>
  <c r="AJ70" i="14"/>
  <c r="AH71" i="14"/>
  <c r="AC17" i="14"/>
  <c r="AC40" i="14"/>
  <c r="AG35" i="14"/>
  <c r="AG44" i="14"/>
  <c r="AG57" i="14"/>
  <c r="AC12" i="14"/>
  <c r="AE41" i="14"/>
  <c r="AH18" i="14"/>
  <c r="AJ54" i="14"/>
  <c r="AH34" i="14"/>
  <c r="AH49" i="14"/>
  <c r="AJ66" i="14"/>
  <c r="AJ45" i="14"/>
  <c r="AJ41" i="14"/>
  <c r="AH79" i="14"/>
  <c r="AE18" i="14"/>
  <c r="AC23" i="14"/>
  <c r="AC80" i="14"/>
  <c r="AE40" i="14"/>
  <c r="AG69" i="14"/>
  <c r="AG18" i="14"/>
  <c r="AG34" i="14"/>
  <c r="AH17" i="14"/>
  <c r="P3" i="14"/>
  <c r="P68" i="14" s="1"/>
  <c r="AH24" i="14"/>
  <c r="AJ77" i="14"/>
  <c r="AH45" i="14"/>
  <c r="AJ33" i="14"/>
  <c r="AH19" i="14"/>
  <c r="AB55" i="14" l="1"/>
  <c r="AG74" i="14"/>
  <c r="AH74" i="14"/>
  <c r="AJ74" i="14"/>
  <c r="AA52" i="14"/>
  <c r="AD55" i="14"/>
  <c r="AG36" i="14"/>
  <c r="AH10" i="14"/>
  <c r="AH15" i="14"/>
  <c r="AH46" i="14"/>
  <c r="AI46" i="14" s="1"/>
  <c r="AG10" i="14"/>
  <c r="AJ25" i="14"/>
  <c r="AA27" i="14"/>
  <c r="AA55" i="14"/>
  <c r="AG15" i="14"/>
  <c r="AJ36" i="14"/>
  <c r="AJ50" i="14"/>
  <c r="AD52" i="14"/>
  <c r="W52" i="14"/>
  <c r="Y52" i="14"/>
  <c r="AE50" i="14"/>
  <c r="AB52" i="14"/>
  <c r="AC50" i="14"/>
  <c r="AE36" i="14"/>
  <c r="AC36" i="14"/>
  <c r="AJ46" i="14"/>
  <c r="AH25" i="14"/>
  <c r="AH50" i="14"/>
  <c r="AG50" i="14"/>
  <c r="AG42" i="14"/>
  <c r="AH36" i="14"/>
  <c r="AE10" i="14"/>
  <c r="AC10" i="14"/>
  <c r="Y27" i="14"/>
  <c r="W27" i="14"/>
  <c r="AJ10" i="14"/>
  <c r="AK10" i="14" s="1"/>
  <c r="AE46" i="14"/>
  <c r="AC46" i="14"/>
  <c r="AJ21" i="14"/>
  <c r="AB27" i="14"/>
  <c r="AC25" i="14"/>
  <c r="AG46" i="14"/>
  <c r="AE25" i="14"/>
  <c r="AD27" i="14"/>
  <c r="AJ42" i="14"/>
  <c r="AE15" i="14"/>
  <c r="AC15" i="14"/>
  <c r="AJ15" i="14"/>
  <c r="AK15" i="14" s="1"/>
  <c r="AH42" i="14"/>
  <c r="AE42" i="14"/>
  <c r="AC42" i="14"/>
  <c r="AG21" i="14"/>
  <c r="AG25" i="14"/>
  <c r="AH21" i="14"/>
  <c r="AK57" i="14"/>
  <c r="AI67" i="14"/>
  <c r="P34" i="14"/>
  <c r="AI19" i="14"/>
  <c r="AK68" i="14"/>
  <c r="AI31" i="14"/>
  <c r="AI61" i="14"/>
  <c r="AK61" i="14"/>
  <c r="P78" i="14"/>
  <c r="AK20" i="14"/>
  <c r="AK31" i="14"/>
  <c r="AK67" i="14"/>
  <c r="AK63" i="14"/>
  <c r="AK6" i="14"/>
  <c r="AI68" i="14"/>
  <c r="AI18" i="14"/>
  <c r="AI20" i="14"/>
  <c r="AK8" i="14"/>
  <c r="AK45" i="14"/>
  <c r="AK39" i="14"/>
  <c r="AI65" i="14"/>
  <c r="AI14" i="14"/>
  <c r="AE87" i="14"/>
  <c r="AK35" i="14"/>
  <c r="AK24" i="14"/>
  <c r="AK65" i="14"/>
  <c r="AK48" i="14"/>
  <c r="AK66" i="14"/>
  <c r="R40" i="14"/>
  <c r="AK49" i="14"/>
  <c r="AI9" i="14"/>
  <c r="AI69" i="14"/>
  <c r="AI24" i="14"/>
  <c r="AI66" i="14"/>
  <c r="AC87" i="14"/>
  <c r="AK19" i="14"/>
  <c r="AI40" i="14"/>
  <c r="AI60" i="14"/>
  <c r="AK33" i="14"/>
  <c r="AK60" i="14"/>
  <c r="AJ82" i="14"/>
  <c r="AC88" i="14"/>
  <c r="AK23" i="14"/>
  <c r="AH93" i="14"/>
  <c r="AK18" i="14"/>
  <c r="AI78" i="14"/>
  <c r="AK79" i="14"/>
  <c r="AI39" i="14"/>
  <c r="AI77" i="14"/>
  <c r="AI63" i="14"/>
  <c r="AE93" i="14"/>
  <c r="AK14" i="14"/>
  <c r="AK77" i="14"/>
  <c r="AK80" i="14"/>
  <c r="AI80" i="14"/>
  <c r="AK78" i="14"/>
  <c r="AK7" i="14"/>
  <c r="AI64" i="14"/>
  <c r="AI32" i="14"/>
  <c r="AI7" i="14"/>
  <c r="AI33" i="14"/>
  <c r="AI57" i="14"/>
  <c r="AK69" i="14"/>
  <c r="AK40" i="14"/>
  <c r="O44" i="14"/>
  <c r="O6" i="14"/>
  <c r="AK12" i="14"/>
  <c r="O8" i="14"/>
  <c r="AK13" i="14"/>
  <c r="AI41" i="14"/>
  <c r="AJ89" i="14"/>
  <c r="O19" i="14"/>
  <c r="AK62" i="14"/>
  <c r="O62" i="14"/>
  <c r="AK9" i="14"/>
  <c r="AK41" i="14"/>
  <c r="AI23" i="14"/>
  <c r="AE88" i="14"/>
  <c r="O34" i="14"/>
  <c r="AI12" i="14"/>
  <c r="O41" i="14"/>
  <c r="AK44" i="14"/>
  <c r="AI38" i="14"/>
  <c r="AG93" i="14"/>
  <c r="AC82" i="14"/>
  <c r="AK38" i="14"/>
  <c r="AE82" i="14"/>
  <c r="AE89" i="14"/>
  <c r="O38" i="14"/>
  <c r="AI71" i="14"/>
  <c r="AI54" i="14"/>
  <c r="AI17" i="14"/>
  <c r="AG72" i="14"/>
  <c r="AJ93" i="14"/>
  <c r="AC89" i="14"/>
  <c r="AI13" i="14"/>
  <c r="AM3" i="14"/>
  <c r="O64" i="14"/>
  <c r="AK64" i="14"/>
  <c r="AH89" i="14"/>
  <c r="O54" i="14"/>
  <c r="O31" i="14"/>
  <c r="AH82" i="14"/>
  <c r="AI8" i="14"/>
  <c r="P35" i="14"/>
  <c r="O45" i="14"/>
  <c r="O67" i="14"/>
  <c r="R41" i="14"/>
  <c r="AI44" i="14"/>
  <c r="AG82" i="14"/>
  <c r="AK71" i="14"/>
  <c r="AG89" i="14"/>
  <c r="AI70" i="14"/>
  <c r="O13" i="14"/>
  <c r="R19" i="14"/>
  <c r="AI45" i="14"/>
  <c r="AK70" i="14"/>
  <c r="O33" i="14"/>
  <c r="AH87" i="14"/>
  <c r="P63" i="14"/>
  <c r="AH72" i="14"/>
  <c r="AK54" i="14"/>
  <c r="AK34" i="14"/>
  <c r="O63" i="14"/>
  <c r="AI34" i="14"/>
  <c r="AJ88" i="14"/>
  <c r="O40" i="14"/>
  <c r="AI48" i="14"/>
  <c r="AP80" i="14"/>
  <c r="P8" i="14"/>
  <c r="R60" i="14"/>
  <c r="R24" i="14"/>
  <c r="P69" i="14"/>
  <c r="R7" i="14"/>
  <c r="P49" i="14"/>
  <c r="AG88" i="14"/>
  <c r="O57" i="14"/>
  <c r="O65" i="14"/>
  <c r="O66" i="14"/>
  <c r="P12" i="14"/>
  <c r="P33" i="14"/>
  <c r="R64" i="14"/>
  <c r="P41" i="14"/>
  <c r="R38" i="14"/>
  <c r="P79" i="14"/>
  <c r="P67" i="14"/>
  <c r="AJ87" i="14"/>
  <c r="AI62" i="14"/>
  <c r="O78" i="14"/>
  <c r="O60" i="14"/>
  <c r="O39" i="14"/>
  <c r="O71" i="14"/>
  <c r="AI35" i="14"/>
  <c r="P40" i="14"/>
  <c r="P39" i="14"/>
  <c r="P23" i="14"/>
  <c r="P14" i="14"/>
  <c r="P7" i="14"/>
  <c r="R61" i="14"/>
  <c r="R68" i="14"/>
  <c r="S68" i="14" s="1"/>
  <c r="R62" i="14"/>
  <c r="P48" i="14"/>
  <c r="R66" i="14"/>
  <c r="R31" i="14"/>
  <c r="P54" i="14"/>
  <c r="P18" i="14"/>
  <c r="P77" i="14"/>
  <c r="R17" i="14"/>
  <c r="R69" i="14"/>
  <c r="R6" i="14"/>
  <c r="O35" i="14"/>
  <c r="O77" i="14"/>
  <c r="O7" i="14"/>
  <c r="O68" i="14"/>
  <c r="Q68" i="14" s="1"/>
  <c r="AI6" i="14"/>
  <c r="R32" i="14"/>
  <c r="R71" i="14"/>
  <c r="AN3" i="14"/>
  <c r="R35" i="14"/>
  <c r="R9" i="14"/>
  <c r="R20" i="14"/>
  <c r="P66" i="14"/>
  <c r="R77" i="14"/>
  <c r="O20" i="14"/>
  <c r="O80" i="14"/>
  <c r="O48" i="14"/>
  <c r="O32" i="14"/>
  <c r="R79" i="14"/>
  <c r="R65" i="14"/>
  <c r="P38" i="14"/>
  <c r="R48" i="14"/>
  <c r="P32" i="14"/>
  <c r="R49" i="14"/>
  <c r="P71" i="14"/>
  <c r="R63" i="14"/>
  <c r="P61" i="14"/>
  <c r="O18" i="14"/>
  <c r="O79" i="14"/>
  <c r="P6" i="14"/>
  <c r="R18" i="14"/>
  <c r="R78" i="14"/>
  <c r="P60" i="14"/>
  <c r="R14" i="14"/>
  <c r="P31" i="14"/>
  <c r="AI79" i="14"/>
  <c r="P44" i="14"/>
  <c r="R23" i="14"/>
  <c r="AK17" i="14"/>
  <c r="AG87" i="14"/>
  <c r="AK32" i="14"/>
  <c r="R8" i="14"/>
  <c r="P9" i="14"/>
  <c r="P13" i="14"/>
  <c r="R39" i="14"/>
  <c r="P24" i="14"/>
  <c r="R54" i="14"/>
  <c r="R33" i="14"/>
  <c r="P65" i="14"/>
  <c r="O17" i="14"/>
  <c r="O49" i="14"/>
  <c r="P20" i="14"/>
  <c r="R13" i="14"/>
  <c r="P19" i="14"/>
  <c r="R45" i="14"/>
  <c r="AI49" i="14"/>
  <c r="O69" i="14"/>
  <c r="O12" i="14"/>
  <c r="O9" i="14"/>
  <c r="O14" i="14"/>
  <c r="AH88" i="14"/>
  <c r="R34" i="14"/>
  <c r="P62" i="14"/>
  <c r="P17" i="14"/>
  <c r="R80" i="14"/>
  <c r="P57" i="14"/>
  <c r="R67" i="14"/>
  <c r="P64" i="14"/>
  <c r="R70" i="14"/>
  <c r="O23" i="14"/>
  <c r="O61" i="14"/>
  <c r="O24" i="14"/>
  <c r="R12" i="14"/>
  <c r="P70" i="14"/>
  <c r="P45" i="14"/>
  <c r="P46" i="14" s="1"/>
  <c r="R57" i="14"/>
  <c r="P80" i="14"/>
  <c r="R44" i="14"/>
  <c r="AM20" i="14" l="1"/>
  <c r="AS20" i="14" s="1"/>
  <c r="AS57" i="14"/>
  <c r="AS80" i="14"/>
  <c r="AI15" i="14"/>
  <c r="AI74" i="14"/>
  <c r="AK74" i="14"/>
  <c r="AN66" i="14"/>
  <c r="AT66" i="14" s="1"/>
  <c r="AU66" i="14" s="1"/>
  <c r="AT57" i="14"/>
  <c r="AT80" i="14"/>
  <c r="AW65" i="14"/>
  <c r="AW18" i="14"/>
  <c r="AV57" i="14"/>
  <c r="AW79" i="14"/>
  <c r="P50" i="14"/>
  <c r="AI10" i="14"/>
  <c r="AJ55" i="14"/>
  <c r="O46" i="14"/>
  <c r="Q46" i="14" s="1"/>
  <c r="O10" i="14"/>
  <c r="R15" i="14"/>
  <c r="R36" i="14"/>
  <c r="O42" i="14"/>
  <c r="R25" i="14"/>
  <c r="O74" i="14"/>
  <c r="AJ52" i="14"/>
  <c r="R10" i="14"/>
  <c r="P25" i="14"/>
  <c r="AI25" i="14"/>
  <c r="AG27" i="14"/>
  <c r="AK46" i="14"/>
  <c r="P10" i="14"/>
  <c r="AK42" i="14"/>
  <c r="AI42" i="14"/>
  <c r="AE52" i="14"/>
  <c r="AC52" i="14"/>
  <c r="AK36" i="14"/>
  <c r="AI36" i="14"/>
  <c r="P21" i="14"/>
  <c r="AE27" i="14"/>
  <c r="AG52" i="14"/>
  <c r="O50" i="14"/>
  <c r="O21" i="14"/>
  <c r="AH55" i="14"/>
  <c r="AJ27" i="14"/>
  <c r="O36" i="14"/>
  <c r="R42" i="14"/>
  <c r="AI50" i="14"/>
  <c r="AK50" i="14"/>
  <c r="AH52" i="14"/>
  <c r="R74" i="14"/>
  <c r="R46" i="14"/>
  <c r="S46" i="14" s="1"/>
  <c r="O25" i="14"/>
  <c r="P74" i="14"/>
  <c r="AK21" i="14"/>
  <c r="P36" i="14"/>
  <c r="P42" i="14"/>
  <c r="P55" i="14" s="1"/>
  <c r="O15" i="14"/>
  <c r="R50" i="14"/>
  <c r="R21" i="14"/>
  <c r="P15" i="14"/>
  <c r="AG55" i="14"/>
  <c r="AI21" i="14"/>
  <c r="AK25" i="14"/>
  <c r="AH27" i="14"/>
  <c r="AC27" i="14"/>
  <c r="AM77" i="14"/>
  <c r="AS77" i="14" s="1"/>
  <c r="S34" i="14"/>
  <c r="AM39" i="14"/>
  <c r="AS39" i="14" s="1"/>
  <c r="AM54" i="14"/>
  <c r="AM60" i="14"/>
  <c r="AS60" i="14" s="1"/>
  <c r="O93" i="14"/>
  <c r="S78" i="14"/>
  <c r="Q34" i="14"/>
  <c r="P93" i="14"/>
  <c r="Q69" i="14"/>
  <c r="Q78" i="14"/>
  <c r="AM44" i="14"/>
  <c r="AS44" i="14" s="1"/>
  <c r="AM57" i="14"/>
  <c r="AM8" i="14"/>
  <c r="AS8" i="14" s="1"/>
  <c r="Q45" i="14"/>
  <c r="AM79" i="14"/>
  <c r="AS79" i="14" s="1"/>
  <c r="AU79" i="14" s="1"/>
  <c r="S57" i="14"/>
  <c r="AI82" i="14"/>
  <c r="AI93" i="14"/>
  <c r="Q19" i="14"/>
  <c r="Q20" i="14"/>
  <c r="S79" i="14"/>
  <c r="S48" i="14"/>
  <c r="Q6" i="14"/>
  <c r="Q79" i="14"/>
  <c r="AM62" i="14"/>
  <c r="AS62" i="14" s="1"/>
  <c r="AN65" i="14"/>
  <c r="AT65" i="14" s="1"/>
  <c r="AM35" i="14"/>
  <c r="AS35" i="14" s="1"/>
  <c r="AM7" i="14"/>
  <c r="AS7" i="14" s="1"/>
  <c r="S39" i="14"/>
  <c r="Q60" i="14"/>
  <c r="Q38" i="14"/>
  <c r="AM19" i="14"/>
  <c r="AS19" i="14" s="1"/>
  <c r="AK93" i="14"/>
  <c r="AN8" i="14"/>
  <c r="AT8" i="14" s="1"/>
  <c r="AN7" i="14"/>
  <c r="AT7" i="14" s="1"/>
  <c r="AP79" i="14"/>
  <c r="AV79" i="14" s="1"/>
  <c r="S13" i="14"/>
  <c r="AP64" i="14"/>
  <c r="AV64" i="14" s="1"/>
  <c r="Q13" i="14"/>
  <c r="AN24" i="14"/>
  <c r="AT24" i="14" s="1"/>
  <c r="AP66" i="14"/>
  <c r="AV66" i="14" s="1"/>
  <c r="AP12" i="14"/>
  <c r="AV12" i="14" s="1"/>
  <c r="Q54" i="14"/>
  <c r="AN14" i="14"/>
  <c r="AT14" i="14" s="1"/>
  <c r="Q41" i="14"/>
  <c r="AP60" i="14"/>
  <c r="AV60" i="14" s="1"/>
  <c r="AN44" i="14"/>
  <c r="AT44" i="14" s="1"/>
  <c r="AN13" i="14"/>
  <c r="AT13" i="14" s="1"/>
  <c r="AU13" i="14" s="1"/>
  <c r="AN80" i="14"/>
  <c r="AP48" i="14"/>
  <c r="AV48" i="14" s="1"/>
  <c r="AN68" i="14"/>
  <c r="AT68" i="14" s="1"/>
  <c r="Q39" i="14"/>
  <c r="AK82" i="14"/>
  <c r="AN57" i="14"/>
  <c r="AP14" i="14"/>
  <c r="AV14" i="14" s="1"/>
  <c r="AP9" i="14"/>
  <c r="AV9" i="14" s="1"/>
  <c r="AV10" i="14" s="1"/>
  <c r="AP6" i="14"/>
  <c r="AV6" i="14" s="1"/>
  <c r="Q63" i="14"/>
  <c r="AP41" i="14"/>
  <c r="AV41" i="14" s="1"/>
  <c r="AP77" i="14"/>
  <c r="AV77" i="14" s="1"/>
  <c r="S63" i="14"/>
  <c r="S33" i="14"/>
  <c r="S69" i="14"/>
  <c r="Q40" i="14"/>
  <c r="S41" i="14"/>
  <c r="AP8" i="14"/>
  <c r="AV8" i="14" s="1"/>
  <c r="AN20" i="14"/>
  <c r="AT20" i="14" s="1"/>
  <c r="AM24" i="14"/>
  <c r="AS24" i="14" s="1"/>
  <c r="AM64" i="14"/>
  <c r="AS64" i="14" s="1"/>
  <c r="AN62" i="14"/>
  <c r="AT62" i="14" s="1"/>
  <c r="AP19" i="14"/>
  <c r="AV19" i="14" s="1"/>
  <c r="S24" i="14"/>
  <c r="S35" i="14"/>
  <c r="S19" i="14"/>
  <c r="S18" i="14"/>
  <c r="AN34" i="14"/>
  <c r="AT34" i="14" s="1"/>
  <c r="AN35" i="14"/>
  <c r="AT35" i="14" s="1"/>
  <c r="AN63" i="14"/>
  <c r="AT63" i="14" s="1"/>
  <c r="Q32" i="14"/>
  <c r="Q12" i="14"/>
  <c r="Q48" i="14"/>
  <c r="P89" i="14"/>
  <c r="S17" i="14"/>
  <c r="AM32" i="14"/>
  <c r="AS32" i="14" s="1"/>
  <c r="AM31" i="14"/>
  <c r="AS31" i="14" s="1"/>
  <c r="AM17" i="14"/>
  <c r="AS17" i="14" s="1"/>
  <c r="AM6" i="14"/>
  <c r="AS6" i="14" s="1"/>
  <c r="AM38" i="14"/>
  <c r="AS38" i="14" s="1"/>
  <c r="AM78" i="14"/>
  <c r="AS78" i="14" s="1"/>
  <c r="AM61" i="14"/>
  <c r="AS61" i="14" s="1"/>
  <c r="S60" i="14"/>
  <c r="AM80" i="14"/>
  <c r="AM49" i="14"/>
  <c r="AS49" i="14" s="1"/>
  <c r="AM63" i="14"/>
  <c r="AS63" i="14" s="1"/>
  <c r="AM65" i="14"/>
  <c r="AS65" i="14" s="1"/>
  <c r="AP67" i="14"/>
  <c r="AV67" i="14" s="1"/>
  <c r="AN31" i="14"/>
  <c r="AT31" i="14" s="1"/>
  <c r="AN32" i="14"/>
  <c r="AT32" i="14" s="1"/>
  <c r="AN67" i="14"/>
  <c r="AT67" i="14" s="1"/>
  <c r="S40" i="14"/>
  <c r="AM34" i="14"/>
  <c r="AS34" i="14" s="1"/>
  <c r="AM41" i="14"/>
  <c r="AS41" i="14" s="1"/>
  <c r="AM40" i="14"/>
  <c r="AS40" i="14" s="1"/>
  <c r="AM33" i="14"/>
  <c r="AS33" i="14" s="1"/>
  <c r="AN9" i="14"/>
  <c r="AT9" i="14" s="1"/>
  <c r="AP54" i="14"/>
  <c r="AP13" i="14"/>
  <c r="AV13" i="14" s="1"/>
  <c r="AN69" i="14"/>
  <c r="AT69" i="14" s="1"/>
  <c r="S38" i="14"/>
  <c r="S80" i="14"/>
  <c r="AM71" i="14"/>
  <c r="Q62" i="14"/>
  <c r="Q80" i="14"/>
  <c r="O82" i="14"/>
  <c r="AM12" i="14"/>
  <c r="AS12" i="14" s="1"/>
  <c r="AM13" i="14"/>
  <c r="AS13" i="14" s="1"/>
  <c r="AM23" i="14"/>
  <c r="AS23" i="14" s="1"/>
  <c r="AM69" i="14"/>
  <c r="AS69" i="14" s="1"/>
  <c r="AN12" i="14"/>
  <c r="AT12" i="14" s="1"/>
  <c r="AN48" i="14"/>
  <c r="AT48" i="14" s="1"/>
  <c r="AP78" i="14"/>
  <c r="AV78" i="14" s="1"/>
  <c r="Q8" i="14"/>
  <c r="Q49" i="14"/>
  <c r="S61" i="14"/>
  <c r="R72" i="14"/>
  <c r="AM48" i="14"/>
  <c r="AS48" i="14" s="1"/>
  <c r="AS50" i="14" s="1"/>
  <c r="AM18" i="14"/>
  <c r="AS18" i="14" s="1"/>
  <c r="AS21" i="14" s="1"/>
  <c r="AM66" i="14"/>
  <c r="AS66" i="14" s="1"/>
  <c r="AM70" i="14"/>
  <c r="AS70" i="14" s="1"/>
  <c r="AM45" i="14"/>
  <c r="AS45" i="14" s="1"/>
  <c r="AM67" i="14"/>
  <c r="AS67" i="14" s="1"/>
  <c r="AM68" i="14"/>
  <c r="AS68" i="14" s="1"/>
  <c r="S8" i="14"/>
  <c r="S12" i="14"/>
  <c r="Q17" i="14"/>
  <c r="R93" i="14"/>
  <c r="Q57" i="14"/>
  <c r="Q33" i="14"/>
  <c r="AM9" i="14"/>
  <c r="AS9" i="14" s="1"/>
  <c r="AM14" i="14"/>
  <c r="AS14" i="14" s="1"/>
  <c r="AN41" i="14"/>
  <c r="AT41" i="14" s="1"/>
  <c r="AN6" i="14"/>
  <c r="AT6" i="14" s="1"/>
  <c r="AN54" i="14"/>
  <c r="Q24" i="14"/>
  <c r="AI88" i="14"/>
  <c r="S44" i="14"/>
  <c r="S6" i="14"/>
  <c r="R88" i="14"/>
  <c r="O55" i="14"/>
  <c r="Q77" i="14"/>
  <c r="AN19" i="14"/>
  <c r="AT19" i="14" s="1"/>
  <c r="AU19" i="14" s="1"/>
  <c r="AN38" i="14"/>
  <c r="AT38" i="14" s="1"/>
  <c r="AP39" i="14"/>
  <c r="AV39" i="14" s="1"/>
  <c r="AP35" i="14"/>
  <c r="AV35" i="14" s="1"/>
  <c r="AP62" i="14"/>
  <c r="AV62" i="14" s="1"/>
  <c r="AP71" i="14"/>
  <c r="Q70" i="14"/>
  <c r="S70" i="14"/>
  <c r="R89" i="14"/>
  <c r="S77" i="14"/>
  <c r="S49" i="14"/>
  <c r="O72" i="14"/>
  <c r="R82" i="14"/>
  <c r="AN77" i="14"/>
  <c r="AT77" i="14" s="1"/>
  <c r="S9" i="14"/>
  <c r="S65" i="14"/>
  <c r="AP38" i="14"/>
  <c r="AV38" i="14" s="1"/>
  <c r="AP44" i="14"/>
  <c r="AV44" i="14" s="1"/>
  <c r="AP23" i="14"/>
  <c r="AV23" i="14" s="1"/>
  <c r="AN45" i="14"/>
  <c r="AT45" i="14" s="1"/>
  <c r="AP61" i="14"/>
  <c r="AV61" i="14" s="1"/>
  <c r="AN61" i="14"/>
  <c r="AT61" i="14" s="1"/>
  <c r="AU61" i="14" s="1"/>
  <c r="AK89" i="14"/>
  <c r="Q65" i="14"/>
  <c r="AN40" i="14"/>
  <c r="AT40" i="14" s="1"/>
  <c r="AP45" i="14"/>
  <c r="AV45" i="14" s="1"/>
  <c r="AP18" i="14"/>
  <c r="AV18" i="14" s="1"/>
  <c r="AP49" i="14"/>
  <c r="AV49" i="14" s="1"/>
  <c r="AV50" i="14" s="1"/>
  <c r="AP68" i="14"/>
  <c r="AV68" i="14" s="1"/>
  <c r="AP69" i="14"/>
  <c r="AV69" i="14" s="1"/>
  <c r="AK88" i="14"/>
  <c r="Q18" i="14"/>
  <c r="AI89" i="14"/>
  <c r="S45" i="14"/>
  <c r="AN78" i="14"/>
  <c r="AT78" i="14" s="1"/>
  <c r="AW78" i="14" s="1"/>
  <c r="AP40" i="14"/>
  <c r="AV40" i="14" s="1"/>
  <c r="AN17" i="14"/>
  <c r="AT17" i="14" s="1"/>
  <c r="AP20" i="14"/>
  <c r="AV20" i="14" s="1"/>
  <c r="AN18" i="14"/>
  <c r="AT18" i="14" s="1"/>
  <c r="AP65" i="14"/>
  <c r="AV65" i="14" s="1"/>
  <c r="Q9" i="14"/>
  <c r="AK87" i="14"/>
  <c r="Q35" i="14"/>
  <c r="O89" i="14"/>
  <c r="O87" i="14"/>
  <c r="AP33" i="14"/>
  <c r="AV33" i="14" s="1"/>
  <c r="AP24" i="14"/>
  <c r="AV24" i="14" s="1"/>
  <c r="AP57" i="14"/>
  <c r="AP31" i="14"/>
  <c r="AV31" i="14" s="1"/>
  <c r="AW31" i="14" s="1"/>
  <c r="AP32" i="14"/>
  <c r="AV32" i="14" s="1"/>
  <c r="AN71" i="14"/>
  <c r="Q64" i="14"/>
  <c r="S20" i="14"/>
  <c r="AI87" i="14"/>
  <c r="S62" i="14"/>
  <c r="Q61" i="14"/>
  <c r="P87" i="14"/>
  <c r="Q14" i="14"/>
  <c r="Q71" i="14"/>
  <c r="Q67" i="14"/>
  <c r="S14" i="14"/>
  <c r="Q44" i="14"/>
  <c r="P72" i="14"/>
  <c r="S67" i="14"/>
  <c r="S71" i="14"/>
  <c r="AP17" i="14"/>
  <c r="AV17" i="14" s="1"/>
  <c r="AP70" i="14"/>
  <c r="AV70" i="14" s="1"/>
  <c r="AP63" i="14"/>
  <c r="AV63" i="14" s="1"/>
  <c r="AN64" i="14"/>
  <c r="AT64" i="14" s="1"/>
  <c r="AN23" i="14"/>
  <c r="AT23" i="14" s="1"/>
  <c r="AN60" i="14"/>
  <c r="AT60" i="14" s="1"/>
  <c r="AN70" i="14"/>
  <c r="AT70" i="14" s="1"/>
  <c r="S32" i="14"/>
  <c r="R87" i="14"/>
  <c r="S54" i="14"/>
  <c r="O88" i="14"/>
  <c r="Q66" i="14"/>
  <c r="Q31" i="14"/>
  <c r="P88" i="14"/>
  <c r="Q23" i="14"/>
  <c r="S7" i="14"/>
  <c r="P82" i="14"/>
  <c r="S66" i="14"/>
  <c r="S31" i="14"/>
  <c r="S23" i="14"/>
  <c r="Q7" i="14"/>
  <c r="AP7" i="14"/>
  <c r="AV7" i="14" s="1"/>
  <c r="AP34" i="14"/>
  <c r="AV34" i="14" s="1"/>
  <c r="AN79" i="14"/>
  <c r="AT79" i="14" s="1"/>
  <c r="AN49" i="14"/>
  <c r="AT49" i="14" s="1"/>
  <c r="AN39" i="14"/>
  <c r="AT39" i="14" s="1"/>
  <c r="AN33" i="14"/>
  <c r="AT33" i="14" s="1"/>
  <c r="S64" i="14"/>
  <c r="AS71" i="14" l="1"/>
  <c r="AS72" i="14"/>
  <c r="AM74" i="14"/>
  <c r="AV71" i="14"/>
  <c r="AT71" i="14"/>
  <c r="AW13" i="14"/>
  <c r="AW57" i="14"/>
  <c r="AU8" i="14"/>
  <c r="AW8" i="14"/>
  <c r="AW19" i="14"/>
  <c r="AW23" i="14"/>
  <c r="AU23" i="14"/>
  <c r="AU49" i="14"/>
  <c r="AT50" i="14"/>
  <c r="AW49" i="14"/>
  <c r="AV25" i="14"/>
  <c r="AW20" i="14"/>
  <c r="AT21" i="14"/>
  <c r="AU20" i="14"/>
  <c r="AS10" i="14"/>
  <c r="AS25" i="14"/>
  <c r="AS15" i="14"/>
  <c r="AW33" i="14"/>
  <c r="AU33" i="14"/>
  <c r="AV72" i="14"/>
  <c r="AS42" i="14"/>
  <c r="AW61" i="14"/>
  <c r="AT36" i="14"/>
  <c r="AW35" i="14"/>
  <c r="AW68" i="14"/>
  <c r="AU68" i="14"/>
  <c r="AU57" i="14"/>
  <c r="AU35" i="14"/>
  <c r="AS36" i="14"/>
  <c r="AU40" i="14"/>
  <c r="AW40" i="14"/>
  <c r="AW63" i="14"/>
  <c r="AU63" i="14"/>
  <c r="AW60" i="14"/>
  <c r="AU60" i="14"/>
  <c r="AT72" i="14"/>
  <c r="AW69" i="14"/>
  <c r="AU69" i="14"/>
  <c r="AW77" i="14"/>
  <c r="AU77" i="14"/>
  <c r="AW67" i="14"/>
  <c r="AU67" i="14"/>
  <c r="AV15" i="14"/>
  <c r="AV36" i="14"/>
  <c r="AW64" i="14"/>
  <c r="AU64" i="14"/>
  <c r="AW45" i="14"/>
  <c r="AT46" i="14"/>
  <c r="AT42" i="14"/>
  <c r="AT55" i="14" s="1"/>
  <c r="AU41" i="14"/>
  <c r="AW41" i="14"/>
  <c r="AU18" i="14"/>
  <c r="AV42" i="14"/>
  <c r="AW7" i="14"/>
  <c r="AU7" i="14"/>
  <c r="AU62" i="14"/>
  <c r="AW62" i="14"/>
  <c r="AW39" i="14"/>
  <c r="AU39" i="14"/>
  <c r="AU78" i="14"/>
  <c r="AW44" i="14"/>
  <c r="AU44" i="14"/>
  <c r="AU80" i="14"/>
  <c r="AW80" i="14"/>
  <c r="AU65" i="14"/>
  <c r="AW6" i="14"/>
  <c r="AU6" i="14"/>
  <c r="AT10" i="14"/>
  <c r="AU9" i="14"/>
  <c r="AW9" i="14"/>
  <c r="AW38" i="14"/>
  <c r="AU38" i="14"/>
  <c r="AW12" i="14"/>
  <c r="AU12" i="14"/>
  <c r="AP74" i="14"/>
  <c r="AN74" i="14"/>
  <c r="AU32" i="14"/>
  <c r="AW32" i="14"/>
  <c r="AW34" i="14"/>
  <c r="AU34" i="14"/>
  <c r="AW66" i="14"/>
  <c r="AW17" i="14"/>
  <c r="AU17" i="14"/>
  <c r="AQ66" i="14"/>
  <c r="AT15" i="14"/>
  <c r="AU14" i="14"/>
  <c r="AW14" i="14"/>
  <c r="AU31" i="14"/>
  <c r="AO66" i="14"/>
  <c r="AV21" i="14"/>
  <c r="AW48" i="14"/>
  <c r="AU48" i="14"/>
  <c r="AT25" i="14"/>
  <c r="AU24" i="14"/>
  <c r="AW24" i="14"/>
  <c r="AV46" i="14"/>
  <c r="AV55" i="14" s="1"/>
  <c r="AU70" i="14"/>
  <c r="AW70" i="14"/>
  <c r="AU45" i="14"/>
  <c r="AS46" i="14"/>
  <c r="AM46" i="14"/>
  <c r="AM50" i="14"/>
  <c r="AM15" i="14"/>
  <c r="R27" i="14"/>
  <c r="AP15" i="14"/>
  <c r="O52" i="14"/>
  <c r="Q15" i="14"/>
  <c r="AP46" i="14"/>
  <c r="R55" i="14"/>
  <c r="R52" i="14"/>
  <c r="AM42" i="14"/>
  <c r="AP25" i="14"/>
  <c r="AP21" i="14"/>
  <c r="AM21" i="14"/>
  <c r="O27" i="14"/>
  <c r="AN42" i="14"/>
  <c r="AN25" i="14"/>
  <c r="AM10" i="14"/>
  <c r="AM36" i="14"/>
  <c r="AN36" i="14"/>
  <c r="AN15" i="14"/>
  <c r="S10" i="14"/>
  <c r="Q10" i="14"/>
  <c r="S42" i="14"/>
  <c r="Q42" i="14"/>
  <c r="S15" i="14"/>
  <c r="AN46" i="14"/>
  <c r="AP42" i="14"/>
  <c r="AK52" i="14"/>
  <c r="AI52" i="14"/>
  <c r="S21" i="14"/>
  <c r="Q21" i="14"/>
  <c r="S36" i="14"/>
  <c r="Q36" i="14"/>
  <c r="Q50" i="14"/>
  <c r="AN50" i="14"/>
  <c r="P52" i="14"/>
  <c r="AN10" i="14"/>
  <c r="S74" i="14"/>
  <c r="Q74" i="14"/>
  <c r="AP50" i="14"/>
  <c r="AM25" i="14"/>
  <c r="AP10" i="14"/>
  <c r="AK27" i="14"/>
  <c r="AI27" i="14"/>
  <c r="S50" i="14"/>
  <c r="AP36" i="14"/>
  <c r="AN21" i="14"/>
  <c r="S25" i="14"/>
  <c r="P27" i="14"/>
  <c r="Q25" i="14"/>
  <c r="AO78" i="14"/>
  <c r="AM93" i="14"/>
  <c r="AO39" i="14"/>
  <c r="Q93" i="14"/>
  <c r="AO54" i="14"/>
  <c r="AQ14" i="14"/>
  <c r="S93" i="14"/>
  <c r="AQ65" i="14"/>
  <c r="AQ80" i="14"/>
  <c r="AO6" i="14"/>
  <c r="AO8" i="14"/>
  <c r="AQ68" i="14"/>
  <c r="AQ62" i="14"/>
  <c r="AO57" i="14"/>
  <c r="AO65" i="14"/>
  <c r="AO18" i="14"/>
  <c r="AO80" i="14"/>
  <c r="Q89" i="14"/>
  <c r="AO24" i="14"/>
  <c r="AO68" i="14"/>
  <c r="AQ44" i="14"/>
  <c r="AQ48" i="14"/>
  <c r="AO31" i="14"/>
  <c r="AQ33" i="14"/>
  <c r="AO34" i="14"/>
  <c r="AQ8" i="14"/>
  <c r="AO20" i="14"/>
  <c r="AQ13" i="14"/>
  <c r="AO7" i="14"/>
  <c r="AO13" i="14"/>
  <c r="AQ24" i="14"/>
  <c r="AO45" i="14"/>
  <c r="AO44" i="14"/>
  <c r="AQ34" i="14"/>
  <c r="AQ64" i="14"/>
  <c r="AQ61" i="14"/>
  <c r="AQ41" i="14"/>
  <c r="AM72" i="14"/>
  <c r="AO69" i="14"/>
  <c r="AO14" i="14"/>
  <c r="AO35" i="14"/>
  <c r="AQ69" i="14"/>
  <c r="S89" i="14"/>
  <c r="AO12" i="14"/>
  <c r="AQ31" i="14"/>
  <c r="AQ12" i="14"/>
  <c r="AO9" i="14"/>
  <c r="AQ40" i="14"/>
  <c r="AQ45" i="14"/>
  <c r="AQ35" i="14"/>
  <c r="AQ70" i="14"/>
  <c r="AM87" i="14"/>
  <c r="AQ71" i="14"/>
  <c r="AN82" i="14"/>
  <c r="AN89" i="14"/>
  <c r="AQ78" i="14"/>
  <c r="AQ9" i="14"/>
  <c r="AQ39" i="14"/>
  <c r="AP93" i="14"/>
  <c r="AO63" i="14"/>
  <c r="AQ54" i="14"/>
  <c r="AO61" i="14"/>
  <c r="AO33" i="14"/>
  <c r="AO23" i="14"/>
  <c r="AO77" i="14"/>
  <c r="AO62" i="14"/>
  <c r="AO48" i="14"/>
  <c r="AO40" i="14"/>
  <c r="AP82" i="14"/>
  <c r="AQ77" i="14"/>
  <c r="AO64" i="14"/>
  <c r="AQ32" i="14"/>
  <c r="S87" i="14"/>
  <c r="AQ18" i="14"/>
  <c r="AM89" i="14"/>
  <c r="AO32" i="14"/>
  <c r="AQ20" i="14"/>
  <c r="AM82" i="14"/>
  <c r="AO38" i="14"/>
  <c r="AM88" i="14"/>
  <c r="AQ6" i="14"/>
  <c r="AQ67" i="14"/>
  <c r="AQ19" i="14"/>
  <c r="AO17" i="14"/>
  <c r="AO67" i="14"/>
  <c r="AO19" i="14"/>
  <c r="AN87" i="14"/>
  <c r="AQ57" i="14"/>
  <c r="AO71" i="14"/>
  <c r="AN93" i="14"/>
  <c r="AP87" i="14"/>
  <c r="AO41" i="14"/>
  <c r="AN72" i="14"/>
  <c r="AP89" i="14"/>
  <c r="Q82" i="14"/>
  <c r="Q87" i="14"/>
  <c r="Q88" i="14"/>
  <c r="AP72" i="14"/>
  <c r="S82" i="14"/>
  <c r="AQ17" i="14"/>
  <c r="AQ38" i="14"/>
  <c r="S88" i="14"/>
  <c r="AO70" i="14"/>
  <c r="AQ79" i="14"/>
  <c r="AQ60" i="14"/>
  <c r="AO49" i="14"/>
  <c r="AQ49" i="14"/>
  <c r="AO79" i="14"/>
  <c r="AQ7" i="14"/>
  <c r="AQ63" i="14"/>
  <c r="AN88" i="14"/>
  <c r="AO60" i="14"/>
  <c r="AP88" i="14"/>
  <c r="AQ23" i="14"/>
  <c r="AU71" i="14" l="1"/>
  <c r="AW71" i="14"/>
  <c r="AS55" i="14"/>
  <c r="AU36" i="14"/>
  <c r="AV52" i="14"/>
  <c r="AW36" i="14"/>
  <c r="AS52" i="14"/>
  <c r="AS27" i="14"/>
  <c r="AW46" i="14"/>
  <c r="AU46" i="14"/>
  <c r="AW10" i="14"/>
  <c r="AU10" i="14"/>
  <c r="AM55" i="14"/>
  <c r="AQ74" i="14"/>
  <c r="AO74" i="14"/>
  <c r="AU42" i="14"/>
  <c r="AW42" i="14"/>
  <c r="AU25" i="14"/>
  <c r="AW25" i="14"/>
  <c r="AT27" i="14"/>
  <c r="AU50" i="14"/>
  <c r="AT52" i="14"/>
  <c r="AT54" i="14" s="1"/>
  <c r="AW50" i="14"/>
  <c r="AW21" i="14"/>
  <c r="AU21" i="14"/>
  <c r="AW15" i="14"/>
  <c r="AU15" i="14"/>
  <c r="AV27" i="14"/>
  <c r="AP55" i="14"/>
  <c r="S52" i="14"/>
  <c r="AP27" i="14"/>
  <c r="AN55" i="14"/>
  <c r="AQ10" i="14"/>
  <c r="AM52" i="14"/>
  <c r="AP52" i="14"/>
  <c r="Q52" i="14"/>
  <c r="Q27" i="14"/>
  <c r="S27" i="14"/>
  <c r="AQ15" i="14"/>
  <c r="AO15" i="14"/>
  <c r="AQ21" i="14"/>
  <c r="AO21" i="14"/>
  <c r="AQ36" i="14"/>
  <c r="AO36" i="14"/>
  <c r="AQ50" i="14"/>
  <c r="AN52" i="14"/>
  <c r="AO50" i="14"/>
  <c r="AQ25" i="14"/>
  <c r="AN27" i="14"/>
  <c r="AO25" i="14"/>
  <c r="AO10" i="14"/>
  <c r="AQ46" i="14"/>
  <c r="AO46" i="14"/>
  <c r="AM27" i="14"/>
  <c r="AQ42" i="14"/>
  <c r="AO42" i="14"/>
  <c r="AO93" i="14"/>
  <c r="AO89" i="14"/>
  <c r="AQ87" i="14"/>
  <c r="AQ82" i="14"/>
  <c r="AO82" i="14"/>
  <c r="AQ93" i="14"/>
  <c r="AQ89" i="14"/>
  <c r="AO87" i="14"/>
  <c r="AQ88" i="14"/>
  <c r="AO88" i="14"/>
  <c r="AT82" i="14" l="1"/>
  <c r="AT74" i="14"/>
  <c r="AS54" i="14"/>
  <c r="AV54" i="14"/>
  <c r="AW27" i="14"/>
  <c r="AU27" i="14"/>
  <c r="AU52" i="14"/>
  <c r="AW52" i="14"/>
  <c r="AQ27" i="14"/>
  <c r="AO27" i="14"/>
  <c r="AQ52" i="14"/>
  <c r="AO52" i="14"/>
  <c r="AV82" i="14" l="1"/>
  <c r="AV74" i="14"/>
  <c r="AS74" i="14"/>
  <c r="AS82" i="14"/>
  <c r="AW54" i="14"/>
  <c r="AW74" i="14"/>
  <c r="AU74" i="14"/>
  <c r="AW82" i="14"/>
  <c r="K24" i="13" l="1"/>
  <c r="G24" i="13"/>
  <c r="C28" i="13"/>
  <c r="K20" i="13"/>
  <c r="L20" i="13" s="1"/>
  <c r="L14" i="13"/>
  <c r="J14" i="13"/>
  <c r="M13" i="13"/>
  <c r="L13" i="13"/>
  <c r="J13" i="13"/>
  <c r="H13" i="13"/>
  <c r="G13" i="13"/>
  <c r="M12" i="13"/>
  <c r="L12" i="13"/>
  <c r="J12" i="13"/>
  <c r="H12" i="13"/>
  <c r="G12" i="13"/>
  <c r="M11" i="13"/>
  <c r="L11" i="13"/>
  <c r="J11" i="13"/>
  <c r="H11" i="13"/>
  <c r="G11" i="13"/>
  <c r="M10" i="13"/>
  <c r="L10" i="13"/>
  <c r="J10" i="13"/>
  <c r="H10" i="13"/>
  <c r="G10" i="13"/>
  <c r="M9" i="13"/>
  <c r="L9" i="13"/>
  <c r="J9" i="13"/>
  <c r="H9" i="13"/>
  <c r="G9" i="13"/>
  <c r="M8" i="13"/>
  <c r="L8" i="13"/>
  <c r="J8" i="13"/>
  <c r="H8" i="13"/>
  <c r="G8" i="13"/>
  <c r="M7" i="13"/>
  <c r="L7" i="13"/>
  <c r="J7" i="13"/>
  <c r="H7" i="13"/>
  <c r="G7" i="13"/>
  <c r="M6" i="13"/>
  <c r="L6" i="13"/>
  <c r="J6" i="13"/>
  <c r="H6" i="13"/>
  <c r="G6" i="13"/>
  <c r="M5" i="13"/>
  <c r="L5" i="13"/>
  <c r="J5" i="13"/>
  <c r="H5" i="13"/>
  <c r="G5" i="13"/>
  <c r="M3" i="13"/>
  <c r="L3" i="13"/>
  <c r="J3" i="13"/>
  <c r="H3" i="13"/>
  <c r="G3" i="13"/>
  <c r="A12" i="12"/>
  <c r="G12" i="12" s="1"/>
  <c r="A11" i="12"/>
  <c r="A25" i="12" s="1"/>
  <c r="A39" i="12" s="1"/>
  <c r="A10" i="12"/>
  <c r="G10" i="12" s="1"/>
  <c r="A9" i="12"/>
  <c r="A23" i="12" s="1"/>
  <c r="A37" i="12" s="1"/>
  <c r="A8" i="12"/>
  <c r="G8" i="12" s="1"/>
  <c r="A7" i="12"/>
  <c r="G7" i="12" s="1"/>
  <c r="A6" i="12"/>
  <c r="A20" i="12" s="1"/>
  <c r="A34" i="12" s="1"/>
  <c r="A5" i="12"/>
  <c r="G5" i="12" s="1"/>
  <c r="A4" i="12"/>
  <c r="A18" i="12" s="1"/>
  <c r="A32" i="12" s="1"/>
  <c r="A3" i="12"/>
  <c r="B37" i="12"/>
  <c r="B35" i="12"/>
  <c r="A29" i="12"/>
  <c r="B26" i="12"/>
  <c r="B40" i="12" s="1"/>
  <c r="B25" i="12"/>
  <c r="B39" i="12" s="1"/>
  <c r="B24" i="12"/>
  <c r="B38" i="12" s="1"/>
  <c r="B23" i="12"/>
  <c r="B22" i="12"/>
  <c r="B36" i="12" s="1"/>
  <c r="B21" i="12"/>
  <c r="B20" i="12"/>
  <c r="B34" i="12" s="1"/>
  <c r="B19" i="12"/>
  <c r="B33" i="12" s="1"/>
  <c r="B18" i="12"/>
  <c r="B32" i="12" s="1"/>
  <c r="B17" i="12"/>
  <c r="B31" i="12" s="1"/>
  <c r="A17" i="12"/>
  <c r="A31" i="12" s="1"/>
  <c r="A19" i="12"/>
  <c r="A33" i="12" s="1"/>
  <c r="G3" i="12"/>
  <c r="H20" i="13" l="1"/>
  <c r="H24" i="13"/>
  <c r="J24" i="13"/>
  <c r="L24" i="13"/>
  <c r="F28" i="13"/>
  <c r="G28" i="13" s="1"/>
  <c r="A21" i="12"/>
  <c r="A35" i="12" s="1"/>
  <c r="A22" i="12"/>
  <c r="A36" i="12" s="1"/>
  <c r="A24" i="12"/>
  <c r="A38" i="12" s="1"/>
  <c r="G11" i="12"/>
  <c r="G6" i="12"/>
  <c r="A26" i="12"/>
  <c r="A40" i="12" s="1"/>
  <c r="G20" i="13"/>
  <c r="J20" i="13"/>
  <c r="H26" i="13"/>
  <c r="K26" i="13"/>
  <c r="G4" i="12"/>
  <c r="G9" i="12"/>
  <c r="A1" i="1"/>
  <c r="F30" i="1"/>
  <c r="F53" i="1"/>
  <c r="F39" i="1"/>
  <c r="C53" i="1"/>
  <c r="F62" i="1"/>
  <c r="B33" i="1"/>
  <c r="F38" i="1"/>
  <c r="D38" i="1"/>
  <c r="C38" i="1"/>
  <c r="B37" i="1"/>
  <c r="B36" i="1"/>
  <c r="F21" i="1"/>
  <c r="D21" i="1"/>
  <c r="C21" i="1"/>
  <c r="F5" i="1"/>
  <c r="D5" i="1"/>
  <c r="C5" i="1"/>
  <c r="B52" i="1"/>
  <c r="D52" i="1" s="1"/>
  <c r="J3" i="1"/>
  <c r="I3" i="1"/>
  <c r="O3" i="1" s="1"/>
  <c r="U3" i="1" s="1"/>
  <c r="AA3" i="1" s="1"/>
  <c r="AG3" i="1" s="1"/>
  <c r="AM3" i="1" s="1"/>
  <c r="AM5" i="1" s="1"/>
  <c r="H28" i="13" l="1"/>
  <c r="L28" i="13"/>
  <c r="P3" i="1"/>
  <c r="V3" i="1" s="1"/>
  <c r="AB3" i="1" s="1"/>
  <c r="AH3" i="1" s="1"/>
  <c r="AN3" i="1" s="1"/>
  <c r="AN39" i="1" s="1"/>
  <c r="I53" i="1"/>
  <c r="I33" i="1"/>
  <c r="AM33" i="1"/>
  <c r="AD33" i="1"/>
  <c r="D33" i="1"/>
  <c r="R33" i="1"/>
  <c r="U33" i="1"/>
  <c r="AJ33" i="1"/>
  <c r="J33" i="1"/>
  <c r="X33" i="1"/>
  <c r="AN33" i="1"/>
  <c r="L33" i="1"/>
  <c r="AA33" i="1"/>
  <c r="AB33" i="1"/>
  <c r="AP33" i="1"/>
  <c r="O33" i="1"/>
  <c r="C33" i="1"/>
  <c r="AG33" i="1"/>
  <c r="F33" i="1"/>
  <c r="F57" i="1" s="1"/>
  <c r="AP36" i="1"/>
  <c r="X37" i="1"/>
  <c r="U38" i="1"/>
  <c r="V38" i="1"/>
  <c r="AU38" i="1" s="1"/>
  <c r="X38" i="1"/>
  <c r="AA38" i="1"/>
  <c r="AD38" i="1"/>
  <c r="I38" i="1"/>
  <c r="AG38" i="1"/>
  <c r="L38" i="1"/>
  <c r="AJ38" i="1"/>
  <c r="O38" i="1"/>
  <c r="AM38" i="1"/>
  <c r="P38" i="1"/>
  <c r="AN38" i="1"/>
  <c r="AB38" i="1"/>
  <c r="AV38" i="1" s="1"/>
  <c r="J38" i="1"/>
  <c r="AH38" i="1"/>
  <c r="AW38" i="1" s="1"/>
  <c r="R38" i="1"/>
  <c r="AP38" i="1"/>
  <c r="AJ37" i="1"/>
  <c r="AN37" i="1"/>
  <c r="L37" i="1"/>
  <c r="P37" i="1"/>
  <c r="I37" i="1"/>
  <c r="R37" i="1"/>
  <c r="AP37" i="1"/>
  <c r="U37" i="1"/>
  <c r="AA37" i="1"/>
  <c r="O37" i="1"/>
  <c r="AB37" i="1"/>
  <c r="J37" i="1"/>
  <c r="AM37" i="1"/>
  <c r="D37" i="1"/>
  <c r="AG37" i="1"/>
  <c r="AD37" i="1"/>
  <c r="F37" i="1"/>
  <c r="AH37" i="1"/>
  <c r="V37" i="1"/>
  <c r="C37" i="1"/>
  <c r="G38" i="1"/>
  <c r="E38" i="1"/>
  <c r="C36" i="1"/>
  <c r="D36" i="1"/>
  <c r="F36" i="1"/>
  <c r="AD36" i="1"/>
  <c r="AG36" i="1"/>
  <c r="AH36" i="1"/>
  <c r="AN36" i="1"/>
  <c r="AA36" i="1"/>
  <c r="AB36" i="1"/>
  <c r="P36" i="1"/>
  <c r="X36" i="1"/>
  <c r="L36" i="1"/>
  <c r="AJ36" i="1"/>
  <c r="J36" i="1"/>
  <c r="O36" i="1"/>
  <c r="AM36" i="1"/>
  <c r="I36" i="1"/>
  <c r="R36" i="1"/>
  <c r="U36" i="1"/>
  <c r="V36" i="1"/>
  <c r="V21" i="1"/>
  <c r="AU21" i="1" s="1"/>
  <c r="X21" i="1"/>
  <c r="U21" i="1"/>
  <c r="AA21" i="1"/>
  <c r="AD21" i="1"/>
  <c r="G21" i="1"/>
  <c r="AB21" i="1"/>
  <c r="AV21" i="1" s="1"/>
  <c r="I21" i="1"/>
  <c r="AG21" i="1"/>
  <c r="J21" i="1"/>
  <c r="AH21" i="1"/>
  <c r="L21" i="1"/>
  <c r="AJ21" i="1"/>
  <c r="O21" i="1"/>
  <c r="AM21" i="1"/>
  <c r="P21" i="1"/>
  <c r="AT21" i="1" s="1"/>
  <c r="AN21" i="1"/>
  <c r="AX21" i="1" s="1"/>
  <c r="R21" i="1"/>
  <c r="AP21" i="1"/>
  <c r="E21" i="1"/>
  <c r="P5" i="1"/>
  <c r="R5" i="1"/>
  <c r="AN5" i="1"/>
  <c r="AP5" i="1"/>
  <c r="U5" i="1"/>
  <c r="X5" i="1"/>
  <c r="AA5" i="1"/>
  <c r="AD5" i="1"/>
  <c r="I5" i="1"/>
  <c r="AG5" i="1"/>
  <c r="V5" i="1"/>
  <c r="AB5" i="1"/>
  <c r="J5" i="1"/>
  <c r="AH5" i="1"/>
  <c r="L5" i="1"/>
  <c r="AJ5" i="1"/>
  <c r="O5" i="1"/>
  <c r="AM52" i="1"/>
  <c r="AN52" i="1"/>
  <c r="L52" i="1"/>
  <c r="X52" i="1"/>
  <c r="J52" i="1"/>
  <c r="I52" i="1"/>
  <c r="C52" i="1"/>
  <c r="E52" i="1" s="1"/>
  <c r="AD52" i="1"/>
  <c r="P52" i="1"/>
  <c r="O52" i="1"/>
  <c r="AP52" i="1"/>
  <c r="AB52" i="1"/>
  <c r="AA52" i="1"/>
  <c r="AJ52" i="1"/>
  <c r="V52" i="1"/>
  <c r="U52" i="1"/>
  <c r="F52" i="1"/>
  <c r="G52" i="1" s="1"/>
  <c r="AH52" i="1"/>
  <c r="AG52" i="1"/>
  <c r="R52" i="1"/>
  <c r="AP25" i="1"/>
  <c r="AN25" i="1"/>
  <c r="AM25" i="1"/>
  <c r="AJ25" i="1"/>
  <c r="AH25" i="1"/>
  <c r="AG25" i="1"/>
  <c r="AD25" i="1"/>
  <c r="AB25" i="1"/>
  <c r="AA25" i="1"/>
  <c r="X25" i="1"/>
  <c r="V25" i="1"/>
  <c r="U25" i="1"/>
  <c r="R25" i="1"/>
  <c r="P25" i="1"/>
  <c r="O25" i="1"/>
  <c r="L25" i="1"/>
  <c r="J25" i="1"/>
  <c r="I25" i="1"/>
  <c r="F25" i="1"/>
  <c r="D25" i="1"/>
  <c r="C25" i="1"/>
  <c r="V33" i="1" l="1"/>
  <c r="W33" i="1" s="1"/>
  <c r="P33" i="1"/>
  <c r="S33" i="1" s="1"/>
  <c r="AH33" i="1"/>
  <c r="AK33" i="1" s="1"/>
  <c r="X63" i="1"/>
  <c r="AM63" i="1"/>
  <c r="J63" i="1"/>
  <c r="R63" i="1"/>
  <c r="O63" i="1"/>
  <c r="U63" i="1"/>
  <c r="AP63" i="1"/>
  <c r="AG63" i="1"/>
  <c r="AH63" i="1"/>
  <c r="AJ63" i="1"/>
  <c r="C63" i="1"/>
  <c r="AN63" i="1"/>
  <c r="I63" i="1"/>
  <c r="F63" i="1"/>
  <c r="D63" i="1"/>
  <c r="L63" i="1"/>
  <c r="P63" i="1"/>
  <c r="AD63" i="1"/>
  <c r="AX52" i="1"/>
  <c r="AO52" i="1"/>
  <c r="AB63" i="1"/>
  <c r="V63" i="1"/>
  <c r="AA63" i="1"/>
  <c r="AD40" i="1"/>
  <c r="F40" i="1"/>
  <c r="P40" i="1"/>
  <c r="V40" i="1"/>
  <c r="J40" i="1"/>
  <c r="X40" i="1"/>
  <c r="AM40" i="1"/>
  <c r="D40" i="1"/>
  <c r="L40" i="1"/>
  <c r="AB40" i="1"/>
  <c r="AA40" i="1"/>
  <c r="U40" i="1"/>
  <c r="AN40" i="1"/>
  <c r="AP40" i="1"/>
  <c r="R40" i="1"/>
  <c r="AH40" i="1"/>
  <c r="AJ40" i="1"/>
  <c r="AG40" i="1"/>
  <c r="AI38" i="1"/>
  <c r="Y38" i="1"/>
  <c r="W38" i="1"/>
  <c r="AQ38" i="1"/>
  <c r="G36" i="1"/>
  <c r="AE37" i="1"/>
  <c r="AQ36" i="1"/>
  <c r="AO33" i="1"/>
  <c r="AX33" i="1"/>
  <c r="AQ33" i="1"/>
  <c r="AE33" i="1"/>
  <c r="AC33" i="1"/>
  <c r="AV33" i="1"/>
  <c r="M33" i="1"/>
  <c r="AS33" i="1"/>
  <c r="K33" i="1"/>
  <c r="G33" i="1"/>
  <c r="E33" i="1"/>
  <c r="Y37" i="1"/>
  <c r="K38" i="1"/>
  <c r="S38" i="1"/>
  <c r="AX37" i="1"/>
  <c r="AO37" i="1"/>
  <c r="M37" i="1"/>
  <c r="W37" i="1"/>
  <c r="S37" i="1"/>
  <c r="AO38" i="1"/>
  <c r="Q38" i="1"/>
  <c r="M38" i="1"/>
  <c r="AS38" i="1"/>
  <c r="AX38" i="1"/>
  <c r="AC38" i="1"/>
  <c r="AK37" i="1"/>
  <c r="AE38" i="1"/>
  <c r="AT38" i="1"/>
  <c r="AT37" i="1"/>
  <c r="AK38" i="1"/>
  <c r="AC37" i="1"/>
  <c r="AV37" i="1"/>
  <c r="AU37" i="1"/>
  <c r="E37" i="1"/>
  <c r="Q37" i="1"/>
  <c r="AI37" i="1"/>
  <c r="AS37" i="1"/>
  <c r="K37" i="1"/>
  <c r="G37" i="1"/>
  <c r="AW37" i="1"/>
  <c r="AQ37" i="1"/>
  <c r="AC36" i="1"/>
  <c r="E36" i="1"/>
  <c r="AE36" i="1"/>
  <c r="AT36" i="1"/>
  <c r="AI36" i="1"/>
  <c r="AV36" i="1"/>
  <c r="AX36" i="1"/>
  <c r="AW36" i="1"/>
  <c r="AO36" i="1"/>
  <c r="AK36" i="1"/>
  <c r="M36" i="1"/>
  <c r="S36" i="1"/>
  <c r="Q36" i="1"/>
  <c r="W36" i="1"/>
  <c r="AS36" i="1"/>
  <c r="AC21" i="1"/>
  <c r="Y36" i="1"/>
  <c r="K36" i="1"/>
  <c r="AU36" i="1"/>
  <c r="K21" i="1"/>
  <c r="AE21" i="1"/>
  <c r="AK21" i="1"/>
  <c r="Y21" i="1"/>
  <c r="AQ21" i="1"/>
  <c r="AO21" i="1"/>
  <c r="W21" i="1"/>
  <c r="Q21" i="1"/>
  <c r="AS21" i="1"/>
  <c r="M21" i="1"/>
  <c r="AW21" i="1"/>
  <c r="AI21" i="1"/>
  <c r="S21" i="1"/>
  <c r="AQ52" i="1"/>
  <c r="S52" i="1"/>
  <c r="AT52" i="1"/>
  <c r="Q52" i="1"/>
  <c r="K52" i="1"/>
  <c r="M52" i="1"/>
  <c r="AS52" i="1"/>
  <c r="AV52" i="1"/>
  <c r="AC52" i="1"/>
  <c r="AE52" i="1"/>
  <c r="AI52" i="1"/>
  <c r="AW52" i="1"/>
  <c r="AK52" i="1"/>
  <c r="AU52" i="1"/>
  <c r="Y52" i="1"/>
  <c r="W52" i="1"/>
  <c r="AS25" i="1"/>
  <c r="AK25" i="1"/>
  <c r="AQ25" i="1"/>
  <c r="Y25" i="1"/>
  <c r="G25" i="1"/>
  <c r="AV25" i="1"/>
  <c r="W25" i="1"/>
  <c r="AT25" i="1"/>
  <c r="S25" i="1"/>
  <c r="K25" i="1"/>
  <c r="AO25" i="1"/>
  <c r="M25" i="1"/>
  <c r="AC25" i="1"/>
  <c r="Q25" i="1"/>
  <c r="AE25" i="1"/>
  <c r="AI25" i="1"/>
  <c r="AW25" i="1"/>
  <c r="AX25" i="1"/>
  <c r="AU25" i="1"/>
  <c r="E25" i="1"/>
  <c r="AW33" i="1" l="1"/>
  <c r="AI33" i="1"/>
  <c r="Q33" i="1"/>
  <c r="AT33" i="1"/>
  <c r="Y33" i="1"/>
  <c r="AU33" i="1"/>
  <c r="AQ63" i="1"/>
  <c r="AO63" i="1"/>
  <c r="K63" i="1"/>
  <c r="AI63" i="1"/>
  <c r="M63" i="1"/>
  <c r="AK63" i="1"/>
  <c r="S63" i="1"/>
  <c r="Q63" i="1"/>
  <c r="G63" i="1"/>
  <c r="E63" i="1"/>
  <c r="Y63" i="1"/>
  <c r="W63" i="1"/>
  <c r="AE63" i="1"/>
  <c r="AC63" i="1"/>
  <c r="AY38" i="1"/>
  <c r="AY37" i="1"/>
  <c r="AY36" i="1"/>
  <c r="AY21" i="1"/>
  <c r="AY52" i="1"/>
  <c r="AY25" i="1"/>
  <c r="K20" i="10"/>
  <c r="K19" i="10"/>
  <c r="K18" i="10"/>
  <c r="B20" i="10"/>
  <c r="B19" i="10"/>
  <c r="B18" i="10"/>
  <c r="K12" i="10"/>
  <c r="K13" i="10"/>
  <c r="K11" i="10"/>
  <c r="AY33" i="1" l="1"/>
  <c r="B23" i="10"/>
  <c r="T16" i="10"/>
  <c r="T9" i="10"/>
  <c r="K23" i="10"/>
  <c r="K16" i="10"/>
  <c r="G4" i="2" l="1"/>
  <c r="G3" i="2"/>
  <c r="D30" i="1"/>
  <c r="AP53" i="1"/>
  <c r="W13" i="10" s="1"/>
  <c r="AN53" i="1"/>
  <c r="W12" i="10" s="1"/>
  <c r="AM53" i="1"/>
  <c r="W11" i="10" s="1"/>
  <c r="AP39" i="1"/>
  <c r="V13" i="10" s="1"/>
  <c r="V12" i="10"/>
  <c r="AM39" i="1"/>
  <c r="V11" i="10" s="1"/>
  <c r="AP30" i="1"/>
  <c r="AN30" i="1"/>
  <c r="AM30" i="1"/>
  <c r="AG30" i="1"/>
  <c r="AH53" i="1"/>
  <c r="E19" i="10" s="1"/>
  <c r="AG53" i="1"/>
  <c r="E18" i="10" s="1"/>
  <c r="AH39" i="1"/>
  <c r="AG39" i="1"/>
  <c r="AB53" i="1"/>
  <c r="W5" i="10" s="1"/>
  <c r="AA53" i="1"/>
  <c r="W4" i="10" s="1"/>
  <c r="AB39" i="1"/>
  <c r="V5" i="10" s="1"/>
  <c r="AA39" i="1"/>
  <c r="V4" i="10" s="1"/>
  <c r="V53" i="1"/>
  <c r="N19" i="10" s="1"/>
  <c r="U53" i="1"/>
  <c r="N18" i="10" s="1"/>
  <c r="V39" i="1"/>
  <c r="M19" i="10" s="1"/>
  <c r="U39" i="1"/>
  <c r="M18" i="10" s="1"/>
  <c r="O53" i="1"/>
  <c r="N11" i="10" s="1"/>
  <c r="P53" i="1"/>
  <c r="N12" i="10" s="1"/>
  <c r="P39" i="1"/>
  <c r="O39" i="1"/>
  <c r="J53" i="1"/>
  <c r="N5" i="10" s="1"/>
  <c r="N4" i="10"/>
  <c r="J39" i="1"/>
  <c r="M5" i="10" s="1"/>
  <c r="I39" i="1"/>
  <c r="M4" i="10" s="1"/>
  <c r="D53" i="1"/>
  <c r="D39" i="1"/>
  <c r="D6" i="10" s="1"/>
  <c r="C39" i="1"/>
  <c r="D5" i="10" s="1"/>
  <c r="AJ30" i="1"/>
  <c r="AH30" i="1"/>
  <c r="AB30" i="1"/>
  <c r="AA30" i="1"/>
  <c r="V30" i="1"/>
  <c r="U30" i="1"/>
  <c r="P30" i="1"/>
  <c r="O30" i="1"/>
  <c r="AJ53" i="1"/>
  <c r="E20" i="10" s="1"/>
  <c r="AJ39" i="1"/>
  <c r="AD53" i="1"/>
  <c r="W6" i="10" s="1"/>
  <c r="AD39" i="1"/>
  <c r="V6" i="10" s="1"/>
  <c r="X53" i="1"/>
  <c r="N20" i="10" s="1"/>
  <c r="X39" i="1"/>
  <c r="M20" i="10" s="1"/>
  <c r="R53" i="1"/>
  <c r="N13" i="10" s="1"/>
  <c r="R39" i="1"/>
  <c r="M13" i="10" s="1"/>
  <c r="L53" i="1"/>
  <c r="N6" i="10" s="1"/>
  <c r="L39" i="1"/>
  <c r="M6" i="10" s="1"/>
  <c r="D7" i="10"/>
  <c r="AD30" i="1"/>
  <c r="X30" i="1"/>
  <c r="R30" i="1"/>
  <c r="C30" i="1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C2" i="8"/>
  <c r="B51" i="1"/>
  <c r="AH51" i="1" s="1"/>
  <c r="B50" i="1"/>
  <c r="AG50" i="1" s="1"/>
  <c r="B49" i="1"/>
  <c r="AH49" i="1" s="1"/>
  <c r="B48" i="1"/>
  <c r="I48" i="1" s="1"/>
  <c r="B47" i="1"/>
  <c r="F47" i="1" s="1"/>
  <c r="B46" i="1"/>
  <c r="D46" i="1" s="1"/>
  <c r="B45" i="1"/>
  <c r="AH45" i="1" s="1"/>
  <c r="B44" i="1"/>
  <c r="AB44" i="1" s="1"/>
  <c r="B43" i="1"/>
  <c r="V43" i="1" s="1"/>
  <c r="B42" i="1"/>
  <c r="C42" i="1" s="1"/>
  <c r="B6" i="1"/>
  <c r="AG6" i="1" s="1"/>
  <c r="B7" i="1"/>
  <c r="AB7" i="1" s="1"/>
  <c r="B8" i="1"/>
  <c r="P8" i="1" s="1"/>
  <c r="B9" i="1"/>
  <c r="F9" i="1" s="1"/>
  <c r="B10" i="1"/>
  <c r="F10" i="1" s="1"/>
  <c r="B11" i="1"/>
  <c r="C11" i="1" s="1"/>
  <c r="B12" i="1"/>
  <c r="B13" i="1"/>
  <c r="AG13" i="1" s="1"/>
  <c r="B14" i="1"/>
  <c r="U14" i="1" s="1"/>
  <c r="B15" i="1"/>
  <c r="F15" i="1" s="1"/>
  <c r="B16" i="1"/>
  <c r="P16" i="1" s="1"/>
  <c r="B17" i="1"/>
  <c r="J17" i="1" s="1"/>
  <c r="B18" i="1"/>
  <c r="AG18" i="1" s="1"/>
  <c r="B19" i="1"/>
  <c r="V19" i="1" s="1"/>
  <c r="B20" i="1"/>
  <c r="O20" i="1" s="1"/>
  <c r="B22" i="1"/>
  <c r="F22" i="1" s="1"/>
  <c r="B23" i="1"/>
  <c r="F23" i="1" s="1"/>
  <c r="B24" i="1"/>
  <c r="C24" i="1" s="1"/>
  <c r="B26" i="1"/>
  <c r="AG26" i="1" s="1"/>
  <c r="B27" i="1"/>
  <c r="AG27" i="1" s="1"/>
  <c r="B28" i="1"/>
  <c r="U28" i="1" s="1"/>
  <c r="B29" i="1"/>
  <c r="B4" i="1"/>
  <c r="B55" i="1"/>
  <c r="B56" i="1"/>
  <c r="L12" i="10" l="1"/>
  <c r="P57" i="1"/>
  <c r="U57" i="1"/>
  <c r="U6" i="10"/>
  <c r="AD57" i="1"/>
  <c r="U12" i="10"/>
  <c r="AN57" i="1"/>
  <c r="U13" i="10"/>
  <c r="AP57" i="1"/>
  <c r="L11" i="10"/>
  <c r="O57" i="1"/>
  <c r="L19" i="10"/>
  <c r="P19" i="10" s="1"/>
  <c r="V57" i="1"/>
  <c r="U4" i="10"/>
  <c r="AA57" i="1"/>
  <c r="U5" i="10"/>
  <c r="U8" i="10" s="1"/>
  <c r="AB57" i="1"/>
  <c r="AE57" i="1" s="1"/>
  <c r="C19" i="10"/>
  <c r="AH57" i="1"/>
  <c r="BB5" i="1" s="1"/>
  <c r="C6" i="10"/>
  <c r="D57" i="1"/>
  <c r="C5" i="10"/>
  <c r="C57" i="1"/>
  <c r="L4" i="10"/>
  <c r="I57" i="1"/>
  <c r="L6" i="10"/>
  <c r="L57" i="1"/>
  <c r="C20" i="10"/>
  <c r="AJ57" i="1"/>
  <c r="BB4" i="1" s="1"/>
  <c r="C7" i="10"/>
  <c r="L20" i="10"/>
  <c r="X57" i="1"/>
  <c r="U11" i="10"/>
  <c r="Y11" i="10" s="1"/>
  <c r="AM57" i="1"/>
  <c r="L5" i="10"/>
  <c r="J57" i="1"/>
  <c r="L13" i="10"/>
  <c r="R57" i="1"/>
  <c r="C18" i="10"/>
  <c r="AG57" i="1"/>
  <c r="E5" i="10"/>
  <c r="E6" i="10"/>
  <c r="N9" i="10" s="1"/>
  <c r="E7" i="10"/>
  <c r="AG12" i="1"/>
  <c r="I12" i="1"/>
  <c r="AP29" i="1"/>
  <c r="R29" i="1"/>
  <c r="AN29" i="1"/>
  <c r="P29" i="1"/>
  <c r="AG29" i="1"/>
  <c r="I29" i="1"/>
  <c r="V29" i="1"/>
  <c r="AM29" i="1"/>
  <c r="O29" i="1"/>
  <c r="AJ29" i="1"/>
  <c r="L29" i="1"/>
  <c r="AH29" i="1"/>
  <c r="J29" i="1"/>
  <c r="AA29" i="1"/>
  <c r="C29" i="1"/>
  <c r="U29" i="1"/>
  <c r="AD29" i="1"/>
  <c r="F29" i="1"/>
  <c r="AB29" i="1"/>
  <c r="D29" i="1"/>
  <c r="X29" i="1"/>
  <c r="L4" i="1"/>
  <c r="D4" i="1"/>
  <c r="AQ5" i="1"/>
  <c r="O4" i="1"/>
  <c r="N14" i="10"/>
  <c r="V8" i="10"/>
  <c r="M8" i="10"/>
  <c r="E22" i="10"/>
  <c r="M7" i="10"/>
  <c r="M21" i="10"/>
  <c r="N8" i="10"/>
  <c r="N22" i="10"/>
  <c r="V15" i="10"/>
  <c r="N15" i="10"/>
  <c r="D8" i="10"/>
  <c r="W7" i="10"/>
  <c r="M22" i="10"/>
  <c r="N7" i="10"/>
  <c r="N21" i="10"/>
  <c r="E21" i="10"/>
  <c r="V14" i="10"/>
  <c r="D9" i="10"/>
  <c r="W8" i="10"/>
  <c r="D18" i="10"/>
  <c r="M11" i="10"/>
  <c r="W14" i="10"/>
  <c r="D19" i="10"/>
  <c r="M12" i="10"/>
  <c r="M15" i="10" s="1"/>
  <c r="V7" i="10"/>
  <c r="W15" i="10"/>
  <c r="L18" i="10"/>
  <c r="P18" i="10" s="1"/>
  <c r="M9" i="10"/>
  <c r="AQ39" i="1"/>
  <c r="AQ30" i="1"/>
  <c r="AQ53" i="1"/>
  <c r="S30" i="1"/>
  <c r="Q30" i="1"/>
  <c r="M39" i="1"/>
  <c r="K39" i="1"/>
  <c r="Y39" i="1"/>
  <c r="W39" i="1"/>
  <c r="AK39" i="1"/>
  <c r="AI39" i="1"/>
  <c r="G39" i="1"/>
  <c r="AC53" i="1"/>
  <c r="AE53" i="1"/>
  <c r="AK30" i="1"/>
  <c r="AI30" i="1"/>
  <c r="S53" i="1"/>
  <c r="Q53" i="1"/>
  <c r="K30" i="1"/>
  <c r="M30" i="1"/>
  <c r="Y30" i="1"/>
  <c r="W30" i="1"/>
  <c r="M53" i="1"/>
  <c r="K53" i="1"/>
  <c r="W53" i="1"/>
  <c r="Y53" i="1"/>
  <c r="AI53" i="1"/>
  <c r="AK53" i="1"/>
  <c r="AE30" i="1"/>
  <c r="AC30" i="1"/>
  <c r="S39" i="1"/>
  <c r="Q39" i="1"/>
  <c r="AE39" i="1"/>
  <c r="AC39" i="1"/>
  <c r="E53" i="1"/>
  <c r="G53" i="1"/>
  <c r="G30" i="1"/>
  <c r="E30" i="1"/>
  <c r="D13" i="1"/>
  <c r="AS30" i="1"/>
  <c r="AX53" i="1"/>
  <c r="AU30" i="1"/>
  <c r="L23" i="10" s="1"/>
  <c r="AV30" i="1"/>
  <c r="AT30" i="1"/>
  <c r="AW53" i="1"/>
  <c r="AX39" i="1"/>
  <c r="AV53" i="1"/>
  <c r="AW30" i="1"/>
  <c r="AT39" i="1"/>
  <c r="AV39" i="1"/>
  <c r="AT53" i="1"/>
  <c r="AX30" i="1"/>
  <c r="AS39" i="1"/>
  <c r="AS53" i="1"/>
  <c r="AU53" i="1"/>
  <c r="N23" i="10" s="1"/>
  <c r="AU39" i="1"/>
  <c r="M23" i="10" s="1"/>
  <c r="AW39" i="1"/>
  <c r="AO39" i="1"/>
  <c r="AO30" i="1"/>
  <c r="AM12" i="1"/>
  <c r="AM26" i="1"/>
  <c r="AN14" i="1"/>
  <c r="AN48" i="1"/>
  <c r="AP46" i="1"/>
  <c r="AN28" i="1"/>
  <c r="AP28" i="1"/>
  <c r="AP14" i="1"/>
  <c r="AM28" i="1"/>
  <c r="AM14" i="1"/>
  <c r="AN4" i="1"/>
  <c r="AN16" i="1"/>
  <c r="AP4" i="1"/>
  <c r="AP16" i="1"/>
  <c r="AM42" i="1"/>
  <c r="AN50" i="1"/>
  <c r="AP48" i="1"/>
  <c r="AM27" i="1"/>
  <c r="AM13" i="1"/>
  <c r="AN15" i="1"/>
  <c r="AP15" i="1"/>
  <c r="AM51" i="1"/>
  <c r="AN49" i="1"/>
  <c r="AP47" i="1"/>
  <c r="AM50" i="1"/>
  <c r="AM24" i="1"/>
  <c r="AM11" i="1"/>
  <c r="AN27" i="1"/>
  <c r="AN13" i="1"/>
  <c r="AP27" i="1"/>
  <c r="AP13" i="1"/>
  <c r="AM49" i="1"/>
  <c r="AN47" i="1"/>
  <c r="AP45" i="1"/>
  <c r="AM23" i="1"/>
  <c r="AM10" i="1"/>
  <c r="AN26" i="1"/>
  <c r="AN12" i="1"/>
  <c r="AP26" i="1"/>
  <c r="AP12" i="1"/>
  <c r="AM48" i="1"/>
  <c r="AN46" i="1"/>
  <c r="AP44" i="1"/>
  <c r="AM22" i="1"/>
  <c r="AM9" i="1"/>
  <c r="AN24" i="1"/>
  <c r="AN11" i="1"/>
  <c r="AP24" i="1"/>
  <c r="AP11" i="1"/>
  <c r="AM47" i="1"/>
  <c r="AN45" i="1"/>
  <c r="AP43" i="1"/>
  <c r="AM20" i="1"/>
  <c r="AM8" i="1"/>
  <c r="AN23" i="1"/>
  <c r="AN10" i="1"/>
  <c r="AP23" i="1"/>
  <c r="AP10" i="1"/>
  <c r="AM46" i="1"/>
  <c r="AN44" i="1"/>
  <c r="AM19" i="1"/>
  <c r="AM7" i="1"/>
  <c r="AN22" i="1"/>
  <c r="AN9" i="1"/>
  <c r="AP22" i="1"/>
  <c r="AP9" i="1"/>
  <c r="AM45" i="1"/>
  <c r="AN43" i="1"/>
  <c r="AM18" i="1"/>
  <c r="AM6" i="1"/>
  <c r="AN20" i="1"/>
  <c r="AN8" i="1"/>
  <c r="AP20" i="1"/>
  <c r="AP8" i="1"/>
  <c r="AM44" i="1"/>
  <c r="AP42" i="1"/>
  <c r="AM17" i="1"/>
  <c r="AN19" i="1"/>
  <c r="AN7" i="1"/>
  <c r="AP19" i="1"/>
  <c r="AP7" i="1"/>
  <c r="AM43" i="1"/>
  <c r="AP51" i="1"/>
  <c r="AM4" i="1"/>
  <c r="AM16" i="1"/>
  <c r="AN18" i="1"/>
  <c r="AN6" i="1"/>
  <c r="AP18" i="1"/>
  <c r="AP6" i="1"/>
  <c r="AN42" i="1"/>
  <c r="AP50" i="1"/>
  <c r="AM15" i="1"/>
  <c r="AN17" i="1"/>
  <c r="AP17" i="1"/>
  <c r="AN51" i="1"/>
  <c r="AP49" i="1"/>
  <c r="AO53" i="1"/>
  <c r="F4" i="1"/>
  <c r="C4" i="1"/>
  <c r="AG24" i="1"/>
  <c r="AG20" i="1"/>
  <c r="F14" i="1"/>
  <c r="F28" i="1"/>
  <c r="F6" i="1"/>
  <c r="F43" i="1"/>
  <c r="F18" i="1"/>
  <c r="F51" i="1"/>
  <c r="C13" i="1"/>
  <c r="F17" i="1"/>
  <c r="D11" i="1"/>
  <c r="F16" i="1"/>
  <c r="I24" i="1"/>
  <c r="F42" i="1"/>
  <c r="O13" i="1"/>
  <c r="F26" i="1"/>
  <c r="F12" i="1"/>
  <c r="F45" i="1"/>
  <c r="U44" i="1"/>
  <c r="F24" i="1"/>
  <c r="F11" i="1"/>
  <c r="F46" i="1"/>
  <c r="G46" i="1" s="1"/>
  <c r="V45" i="1"/>
  <c r="O27" i="1"/>
  <c r="AB24" i="1"/>
  <c r="F48" i="1"/>
  <c r="P13" i="1"/>
  <c r="F27" i="1"/>
  <c r="F13" i="1"/>
  <c r="F44" i="1"/>
  <c r="AH26" i="1"/>
  <c r="F20" i="1"/>
  <c r="F8" i="1"/>
  <c r="F49" i="1"/>
  <c r="AH24" i="1"/>
  <c r="F19" i="1"/>
  <c r="F7" i="1"/>
  <c r="F50" i="1"/>
  <c r="J11" i="1"/>
  <c r="AA11" i="1"/>
  <c r="J46" i="1"/>
  <c r="AA44" i="1"/>
  <c r="AC44" i="1" s="1"/>
  <c r="AA45" i="1"/>
  <c r="P27" i="1"/>
  <c r="AB46" i="1"/>
  <c r="C27" i="1"/>
  <c r="P44" i="1"/>
  <c r="D26" i="1"/>
  <c r="V13" i="1"/>
  <c r="AG11" i="1"/>
  <c r="V7" i="1"/>
  <c r="O43" i="1"/>
  <c r="AB16" i="1"/>
  <c r="I26" i="1"/>
  <c r="P43" i="1"/>
  <c r="AA14" i="1"/>
  <c r="AH19" i="1"/>
  <c r="P19" i="1"/>
  <c r="U50" i="1"/>
  <c r="AA17" i="1"/>
  <c r="J24" i="1"/>
  <c r="O44" i="1"/>
  <c r="AB13" i="1"/>
  <c r="AH11" i="1"/>
  <c r="AH7" i="1"/>
  <c r="U13" i="1"/>
  <c r="AA43" i="1"/>
  <c r="AG44" i="1"/>
  <c r="D6" i="1"/>
  <c r="P18" i="1"/>
  <c r="C26" i="1"/>
  <c r="J14" i="1"/>
  <c r="P28" i="1"/>
  <c r="P14" i="1"/>
  <c r="O45" i="1"/>
  <c r="V12" i="1"/>
  <c r="AB28" i="1"/>
  <c r="AB12" i="1"/>
  <c r="AB45" i="1"/>
  <c r="D24" i="1"/>
  <c r="D44" i="1"/>
  <c r="O28" i="1"/>
  <c r="O14" i="1"/>
  <c r="P46" i="1"/>
  <c r="U12" i="1"/>
  <c r="AB26" i="1"/>
  <c r="AB11" i="1"/>
  <c r="AA46" i="1"/>
  <c r="AH18" i="1"/>
  <c r="AH6" i="1"/>
  <c r="O51" i="1"/>
  <c r="V27" i="1"/>
  <c r="V6" i="1"/>
  <c r="AA24" i="1"/>
  <c r="AA8" i="1"/>
  <c r="AA51" i="1"/>
  <c r="AG17" i="1"/>
  <c r="C16" i="1"/>
  <c r="C46" i="1"/>
  <c r="E46" i="1" s="1"/>
  <c r="I6" i="1"/>
  <c r="P26" i="1"/>
  <c r="P12" i="1"/>
  <c r="U27" i="1"/>
  <c r="U6" i="1"/>
  <c r="AA20" i="1"/>
  <c r="AB51" i="1"/>
  <c r="AH16" i="1"/>
  <c r="AG45" i="1"/>
  <c r="AI45" i="1" s="1"/>
  <c r="AB19" i="1"/>
  <c r="AB6" i="1"/>
  <c r="AG4" i="1"/>
  <c r="AG14" i="1"/>
  <c r="AG46" i="1"/>
  <c r="V18" i="1"/>
  <c r="U18" i="1"/>
  <c r="C6" i="1"/>
  <c r="U51" i="1"/>
  <c r="I18" i="1"/>
  <c r="D18" i="1"/>
  <c r="C45" i="1"/>
  <c r="AH17" i="1"/>
  <c r="AH43" i="1"/>
  <c r="C18" i="1"/>
  <c r="D45" i="1"/>
  <c r="I11" i="1"/>
  <c r="D12" i="1"/>
  <c r="D51" i="1"/>
  <c r="J45" i="1"/>
  <c r="P20" i="1"/>
  <c r="U26" i="1"/>
  <c r="V44" i="1"/>
  <c r="AB18" i="1"/>
  <c r="AG28" i="1"/>
  <c r="AH13" i="1"/>
  <c r="AH46" i="1"/>
  <c r="J51" i="1"/>
  <c r="O17" i="1"/>
  <c r="V51" i="1"/>
  <c r="C51" i="1"/>
  <c r="I43" i="1"/>
  <c r="O24" i="1"/>
  <c r="O11" i="1"/>
  <c r="V26" i="1"/>
  <c r="C12" i="1"/>
  <c r="J28" i="1"/>
  <c r="I46" i="1"/>
  <c r="P6" i="1"/>
  <c r="U45" i="1"/>
  <c r="AB17" i="1"/>
  <c r="AH27" i="1"/>
  <c r="AH12" i="1"/>
  <c r="AG51" i="1"/>
  <c r="AI51" i="1" s="1"/>
  <c r="I4" i="1"/>
  <c r="J4" i="1"/>
  <c r="P4" i="1"/>
  <c r="U4" i="1"/>
  <c r="AB4" i="1"/>
  <c r="AA4" i="1"/>
  <c r="AH4" i="1"/>
  <c r="I16" i="1"/>
  <c r="J16" i="1"/>
  <c r="O16" i="1"/>
  <c r="Q16" i="1" s="1"/>
  <c r="V16" i="1"/>
  <c r="AA16" i="1"/>
  <c r="AG16" i="1"/>
  <c r="D16" i="1"/>
  <c r="I42" i="1"/>
  <c r="V4" i="1"/>
  <c r="U16" i="1"/>
  <c r="AB42" i="1"/>
  <c r="I23" i="1"/>
  <c r="J23" i="1"/>
  <c r="O23" i="1"/>
  <c r="V23" i="1"/>
  <c r="AA23" i="1"/>
  <c r="AG23" i="1"/>
  <c r="I10" i="1"/>
  <c r="L10" i="1"/>
  <c r="J10" i="1"/>
  <c r="O10" i="1"/>
  <c r="V10" i="1"/>
  <c r="AA10" i="1"/>
  <c r="AG10" i="1"/>
  <c r="AH10" i="1"/>
  <c r="J47" i="1"/>
  <c r="I47" i="1"/>
  <c r="P47" i="1"/>
  <c r="U47" i="1"/>
  <c r="AB47" i="1"/>
  <c r="AA47" i="1"/>
  <c r="AH47" i="1"/>
  <c r="AG47" i="1"/>
  <c r="D23" i="1"/>
  <c r="P10" i="1"/>
  <c r="U23" i="1"/>
  <c r="U10" i="1"/>
  <c r="V47" i="1"/>
  <c r="O22" i="1"/>
  <c r="P22" i="1"/>
  <c r="U22" i="1"/>
  <c r="AG22" i="1"/>
  <c r="AA22" i="1"/>
  <c r="AH22" i="1"/>
  <c r="AB22" i="1"/>
  <c r="C22" i="1"/>
  <c r="O9" i="1"/>
  <c r="P9" i="1"/>
  <c r="U9" i="1"/>
  <c r="AG9" i="1"/>
  <c r="AA9" i="1"/>
  <c r="AH9" i="1"/>
  <c r="AB9" i="1"/>
  <c r="C9" i="1"/>
  <c r="P48" i="1"/>
  <c r="O48" i="1"/>
  <c r="V48" i="1"/>
  <c r="AA48" i="1"/>
  <c r="AH48" i="1"/>
  <c r="AG48" i="1"/>
  <c r="D48" i="1"/>
  <c r="C23" i="1"/>
  <c r="D10" i="1"/>
  <c r="J9" i="1"/>
  <c r="J48" i="1"/>
  <c r="O47" i="1"/>
  <c r="V22" i="1"/>
  <c r="V9" i="1"/>
  <c r="U48" i="1"/>
  <c r="AB48" i="1"/>
  <c r="U20" i="1"/>
  <c r="V20" i="1"/>
  <c r="AH20" i="1"/>
  <c r="AB20" i="1"/>
  <c r="C20" i="1"/>
  <c r="D20" i="1"/>
  <c r="I20" i="1"/>
  <c r="R8" i="1"/>
  <c r="S8" i="1" s="1"/>
  <c r="U8" i="1"/>
  <c r="V8" i="1"/>
  <c r="AH8" i="1"/>
  <c r="AB8" i="1"/>
  <c r="C8" i="1"/>
  <c r="D8" i="1"/>
  <c r="I8" i="1"/>
  <c r="V49" i="1"/>
  <c r="U49" i="1"/>
  <c r="AB49" i="1"/>
  <c r="AG49" i="1"/>
  <c r="AI49" i="1" s="1"/>
  <c r="D49" i="1"/>
  <c r="C49" i="1"/>
  <c r="J49" i="1"/>
  <c r="D22" i="1"/>
  <c r="C10" i="1"/>
  <c r="C47" i="1"/>
  <c r="J22" i="1"/>
  <c r="I9" i="1"/>
  <c r="I49" i="1"/>
  <c r="O8" i="1"/>
  <c r="O49" i="1"/>
  <c r="AA49" i="1"/>
  <c r="L23" i="1"/>
  <c r="AG19" i="1"/>
  <c r="AA19" i="1"/>
  <c r="D19" i="1"/>
  <c r="I19" i="1"/>
  <c r="J19" i="1"/>
  <c r="O19" i="1"/>
  <c r="AG7" i="1"/>
  <c r="AA7" i="1"/>
  <c r="D7" i="1"/>
  <c r="I7" i="1"/>
  <c r="J7" i="1"/>
  <c r="O7" i="1"/>
  <c r="AB50" i="1"/>
  <c r="AA50" i="1"/>
  <c r="AH50" i="1"/>
  <c r="C50" i="1"/>
  <c r="P50" i="1"/>
  <c r="J50" i="1"/>
  <c r="I50" i="1"/>
  <c r="C19" i="1"/>
  <c r="D9" i="1"/>
  <c r="D47" i="1"/>
  <c r="I22" i="1"/>
  <c r="J8" i="1"/>
  <c r="P7" i="1"/>
  <c r="P49" i="1"/>
  <c r="U19" i="1"/>
  <c r="W19" i="1" s="1"/>
  <c r="U7" i="1"/>
  <c r="V50" i="1"/>
  <c r="L22" i="1"/>
  <c r="C7" i="1"/>
  <c r="C48" i="1"/>
  <c r="J20" i="1"/>
  <c r="O50" i="1"/>
  <c r="L9" i="1"/>
  <c r="C17" i="1"/>
  <c r="D17" i="1"/>
  <c r="I17" i="1"/>
  <c r="P17" i="1"/>
  <c r="U17" i="1"/>
  <c r="V17" i="1"/>
  <c r="D50" i="1"/>
  <c r="O15" i="1"/>
  <c r="P15" i="1"/>
  <c r="U15" i="1"/>
  <c r="AG15" i="1"/>
  <c r="AA15" i="1"/>
  <c r="AH15" i="1"/>
  <c r="AB15" i="1"/>
  <c r="C15" i="1"/>
  <c r="L42" i="1"/>
  <c r="P42" i="1"/>
  <c r="O42" i="1"/>
  <c r="V42" i="1"/>
  <c r="AA42" i="1"/>
  <c r="D42" i="1"/>
  <c r="AH42" i="1"/>
  <c r="AG42" i="1"/>
  <c r="J15" i="1"/>
  <c r="J42" i="1"/>
  <c r="V15" i="1"/>
  <c r="U42" i="1"/>
  <c r="D15" i="1"/>
  <c r="I15" i="1"/>
  <c r="P23" i="1"/>
  <c r="AB23" i="1"/>
  <c r="AB10" i="1"/>
  <c r="AH23" i="1"/>
  <c r="AG8" i="1"/>
  <c r="I28" i="1"/>
  <c r="I14" i="1"/>
  <c r="J43" i="1"/>
  <c r="D28" i="1"/>
  <c r="D14" i="1"/>
  <c r="C43" i="1"/>
  <c r="J27" i="1"/>
  <c r="J13" i="1"/>
  <c r="I44" i="1"/>
  <c r="V24" i="1"/>
  <c r="V11" i="1"/>
  <c r="U46" i="1"/>
  <c r="AB27" i="1"/>
  <c r="C28" i="1"/>
  <c r="C14" i="1"/>
  <c r="D43" i="1"/>
  <c r="I27" i="1"/>
  <c r="I13" i="1"/>
  <c r="J44" i="1"/>
  <c r="O26" i="1"/>
  <c r="O18" i="1"/>
  <c r="O12" i="1"/>
  <c r="O6" i="1"/>
  <c r="P45" i="1"/>
  <c r="P51" i="1"/>
  <c r="U24" i="1"/>
  <c r="U11" i="1"/>
  <c r="V46" i="1"/>
  <c r="AA27" i="1"/>
  <c r="D27" i="1"/>
  <c r="C44" i="1"/>
  <c r="J26" i="1"/>
  <c r="J18" i="1"/>
  <c r="J12" i="1"/>
  <c r="J6" i="1"/>
  <c r="I45" i="1"/>
  <c r="I51" i="1"/>
  <c r="P24" i="1"/>
  <c r="P11" i="1"/>
  <c r="O46" i="1"/>
  <c r="AB14" i="1"/>
  <c r="AH28" i="1"/>
  <c r="AH14" i="1"/>
  <c r="AG43" i="1"/>
  <c r="AA28" i="1"/>
  <c r="AA13" i="1"/>
  <c r="AB43" i="1"/>
  <c r="AH44" i="1"/>
  <c r="V28" i="1"/>
  <c r="V14" i="1"/>
  <c r="U43" i="1"/>
  <c r="W43" i="1" s="1"/>
  <c r="AA26" i="1"/>
  <c r="AA18" i="1"/>
  <c r="AA12" i="1"/>
  <c r="AA6" i="1"/>
  <c r="X4" i="1"/>
  <c r="AJ4" i="1"/>
  <c r="X28" i="1"/>
  <c r="AD17" i="1"/>
  <c r="AD16" i="1"/>
  <c r="AD18" i="1"/>
  <c r="AD15" i="1"/>
  <c r="AD13" i="1"/>
  <c r="AD50" i="1"/>
  <c r="AD51" i="1"/>
  <c r="X50" i="1"/>
  <c r="AJ15" i="1"/>
  <c r="AD4" i="1"/>
  <c r="AJ14" i="1"/>
  <c r="AJ16" i="1"/>
  <c r="AD28" i="1"/>
  <c r="AJ13" i="1"/>
  <c r="X49" i="1"/>
  <c r="AD49" i="1"/>
  <c r="AD24" i="1"/>
  <c r="AJ27" i="1"/>
  <c r="AJ12" i="1"/>
  <c r="AD11" i="1"/>
  <c r="AJ11" i="1"/>
  <c r="X48" i="1"/>
  <c r="X51" i="1"/>
  <c r="AD14" i="1"/>
  <c r="AD12" i="1"/>
  <c r="AJ28" i="1"/>
  <c r="AJ7" i="1"/>
  <c r="X24" i="1"/>
  <c r="AD27" i="1"/>
  <c r="AD8" i="1"/>
  <c r="AJ24" i="1"/>
  <c r="AD7" i="1"/>
  <c r="AE7" i="1" s="1"/>
  <c r="AJ19" i="1"/>
  <c r="AJ6" i="1"/>
  <c r="X13" i="1"/>
  <c r="AD20" i="1"/>
  <c r="AD6" i="1"/>
  <c r="AJ18" i="1"/>
  <c r="AJ50" i="1"/>
  <c r="X14" i="1"/>
  <c r="AD19" i="1"/>
  <c r="AJ17" i="1"/>
  <c r="AJ51" i="1"/>
  <c r="AK51" i="1" s="1"/>
  <c r="X8" i="1"/>
  <c r="AJ42" i="1"/>
  <c r="X42" i="1"/>
  <c r="AJ44" i="1"/>
  <c r="X23" i="1"/>
  <c r="X46" i="1"/>
  <c r="AD23" i="1"/>
  <c r="AD10" i="1"/>
  <c r="AD47" i="1"/>
  <c r="AJ22" i="1"/>
  <c r="AJ9" i="1"/>
  <c r="AJ48" i="1"/>
  <c r="X7" i="1"/>
  <c r="AD42" i="1"/>
  <c r="AJ43" i="1"/>
  <c r="AD43" i="1"/>
  <c r="X43" i="1"/>
  <c r="Y43" i="1" s="1"/>
  <c r="AD44" i="1"/>
  <c r="AE44" i="1" s="1"/>
  <c r="AJ26" i="1"/>
  <c r="AJ45" i="1"/>
  <c r="AK45" i="1" s="1"/>
  <c r="X44" i="1"/>
  <c r="AD26" i="1"/>
  <c r="AD45" i="1"/>
  <c r="AJ46" i="1"/>
  <c r="X45" i="1"/>
  <c r="AD46" i="1"/>
  <c r="AJ23" i="1"/>
  <c r="AJ10" i="1"/>
  <c r="AJ47" i="1"/>
  <c r="X15" i="1"/>
  <c r="X47" i="1"/>
  <c r="AD22" i="1"/>
  <c r="AD9" i="1"/>
  <c r="AD48" i="1"/>
  <c r="AJ20" i="1"/>
  <c r="AJ8" i="1"/>
  <c r="AJ49" i="1"/>
  <c r="AK49" i="1" s="1"/>
  <c r="X18" i="1"/>
  <c r="X11" i="1"/>
  <c r="X17" i="1"/>
  <c r="X10" i="1"/>
  <c r="X27" i="1"/>
  <c r="X16" i="1"/>
  <c r="X26" i="1"/>
  <c r="X9" i="1"/>
  <c r="L27" i="1"/>
  <c r="R11" i="1"/>
  <c r="X22" i="1"/>
  <c r="X20" i="1"/>
  <c r="X6" i="1"/>
  <c r="X19" i="1"/>
  <c r="Y19" i="1" s="1"/>
  <c r="X12" i="1"/>
  <c r="R12" i="1"/>
  <c r="R10" i="1"/>
  <c r="L51" i="1"/>
  <c r="R4" i="1"/>
  <c r="R24" i="1"/>
  <c r="R23" i="1"/>
  <c r="R19" i="1"/>
  <c r="R18" i="1"/>
  <c r="R46" i="1"/>
  <c r="R6" i="1"/>
  <c r="R16" i="1"/>
  <c r="S16" i="1" s="1"/>
  <c r="R50" i="1"/>
  <c r="L46" i="1"/>
  <c r="R15" i="1"/>
  <c r="R51" i="1"/>
  <c r="R17" i="1"/>
  <c r="R47" i="1"/>
  <c r="L49" i="1"/>
  <c r="R14" i="1"/>
  <c r="R7" i="1"/>
  <c r="L50" i="1"/>
  <c r="L17" i="1"/>
  <c r="L16" i="1"/>
  <c r="R42" i="1"/>
  <c r="L15" i="1"/>
  <c r="R28" i="1"/>
  <c r="R43" i="1"/>
  <c r="L28" i="1"/>
  <c r="L14" i="1"/>
  <c r="L43" i="1"/>
  <c r="R27" i="1"/>
  <c r="R13" i="1"/>
  <c r="R44" i="1"/>
  <c r="L20" i="1"/>
  <c r="L8" i="1"/>
  <c r="L19" i="1"/>
  <c r="L44" i="1"/>
  <c r="R26" i="1"/>
  <c r="L26" i="1"/>
  <c r="L12" i="1"/>
  <c r="L45" i="1"/>
  <c r="L24" i="1"/>
  <c r="L11" i="1"/>
  <c r="L7" i="1"/>
  <c r="R45" i="1"/>
  <c r="L47" i="1"/>
  <c r="R22" i="1"/>
  <c r="R9" i="1"/>
  <c r="R48" i="1"/>
  <c r="L18" i="1"/>
  <c r="L6" i="1"/>
  <c r="L13" i="1"/>
  <c r="L48" i="1"/>
  <c r="R20" i="1"/>
  <c r="R49" i="1"/>
  <c r="K57" i="1" l="1"/>
  <c r="AO50" i="1"/>
  <c r="AO45" i="1"/>
  <c r="AO51" i="1"/>
  <c r="AO42" i="1"/>
  <c r="F60" i="1"/>
  <c r="AO49" i="1"/>
  <c r="AO46" i="1"/>
  <c r="AM59" i="1"/>
  <c r="C61" i="1"/>
  <c r="D62" i="1"/>
  <c r="G62" i="1" s="1"/>
  <c r="X59" i="1"/>
  <c r="AJ60" i="1"/>
  <c r="AG60" i="1"/>
  <c r="AG58" i="1"/>
  <c r="AA60" i="1"/>
  <c r="U59" i="1"/>
  <c r="C62" i="1"/>
  <c r="V60" i="1"/>
  <c r="J59" i="1"/>
  <c r="AH59" i="1"/>
  <c r="AO48" i="1"/>
  <c r="F59" i="1"/>
  <c r="AD58" i="1"/>
  <c r="AD61" i="1"/>
  <c r="AO44" i="1"/>
  <c r="AM60" i="1"/>
  <c r="AH58" i="1"/>
  <c r="AH61" i="1"/>
  <c r="AJ59" i="1"/>
  <c r="L60" i="1"/>
  <c r="AG59" i="1"/>
  <c r="AG61" i="1"/>
  <c r="AB61" i="1"/>
  <c r="AB58" i="1"/>
  <c r="O61" i="1"/>
  <c r="O58" i="1"/>
  <c r="J58" i="1"/>
  <c r="J61" i="1"/>
  <c r="V59" i="1"/>
  <c r="P60" i="1"/>
  <c r="AO43" i="1"/>
  <c r="AN60" i="1"/>
  <c r="X58" i="1"/>
  <c r="X61" i="1"/>
  <c r="P61" i="1"/>
  <c r="P58" i="1"/>
  <c r="AN61" i="1"/>
  <c r="AN58" i="1"/>
  <c r="M17" i="1"/>
  <c r="L59" i="1"/>
  <c r="C60" i="1"/>
  <c r="V61" i="1"/>
  <c r="V58" i="1"/>
  <c r="D61" i="1"/>
  <c r="D58" i="1"/>
  <c r="I61" i="1"/>
  <c r="I58" i="1"/>
  <c r="P59" i="1"/>
  <c r="O60" i="1"/>
  <c r="AA59" i="1"/>
  <c r="R61" i="1"/>
  <c r="R58" i="1"/>
  <c r="K17" i="1"/>
  <c r="D4" i="12" s="1"/>
  <c r="D32" i="12" s="1"/>
  <c r="I59" i="1"/>
  <c r="J60" i="1"/>
  <c r="D59" i="1"/>
  <c r="C59" i="1"/>
  <c r="I60" i="1"/>
  <c r="C58" i="1"/>
  <c r="L61" i="1"/>
  <c r="L58" i="1"/>
  <c r="R59" i="1"/>
  <c r="AD60" i="1"/>
  <c r="AP59" i="1"/>
  <c r="AP60" i="1"/>
  <c r="AJ61" i="1"/>
  <c r="AJ58" i="1"/>
  <c r="D60" i="1"/>
  <c r="U61" i="1"/>
  <c r="U58" i="1"/>
  <c r="AN59" i="1"/>
  <c r="AO47" i="1"/>
  <c r="R60" i="1"/>
  <c r="AD59" i="1"/>
  <c r="AB59" i="1"/>
  <c r="O59" i="1"/>
  <c r="F61" i="1"/>
  <c r="F58" i="1"/>
  <c r="X60" i="1"/>
  <c r="AA58" i="1"/>
  <c r="AA61" i="1"/>
  <c r="AB60" i="1"/>
  <c r="U60" i="1"/>
  <c r="AH60" i="1"/>
  <c r="AP61" i="1"/>
  <c r="AP58" i="1"/>
  <c r="AM61" i="1"/>
  <c r="AM58" i="1"/>
  <c r="L31" i="1"/>
  <c r="L8" i="10"/>
  <c r="F31" i="1"/>
  <c r="F54" i="1"/>
  <c r="G18" i="10"/>
  <c r="AC57" i="1"/>
  <c r="L14" i="10"/>
  <c r="M57" i="1"/>
  <c r="W57" i="1"/>
  <c r="L15" i="10"/>
  <c r="Q57" i="1"/>
  <c r="U7" i="10"/>
  <c r="AX57" i="1"/>
  <c r="N16" i="10"/>
  <c r="S57" i="1"/>
  <c r="J54" i="1"/>
  <c r="C9" i="10"/>
  <c r="E9" i="10"/>
  <c r="U15" i="10"/>
  <c r="AK57" i="1"/>
  <c r="D54" i="1"/>
  <c r="L22" i="10"/>
  <c r="AW57" i="1"/>
  <c r="AQ57" i="1"/>
  <c r="L7" i="10"/>
  <c r="C21" i="10"/>
  <c r="C22" i="10"/>
  <c r="AO57" i="1"/>
  <c r="Y13" i="10"/>
  <c r="Y57" i="1"/>
  <c r="AS57" i="1"/>
  <c r="C54" i="1"/>
  <c r="U54" i="1"/>
  <c r="I54" i="1"/>
  <c r="P31" i="1"/>
  <c r="R31" i="1"/>
  <c r="AT57" i="1"/>
  <c r="W9" i="10"/>
  <c r="P11" i="10"/>
  <c r="E8" i="10"/>
  <c r="AG54" i="1"/>
  <c r="AV57" i="1"/>
  <c r="AU57" i="1"/>
  <c r="P23" i="10" s="1"/>
  <c r="AI57" i="1"/>
  <c r="E23" i="10"/>
  <c r="J31" i="1"/>
  <c r="AM31" i="1"/>
  <c r="O31" i="1"/>
  <c r="AH54" i="1"/>
  <c r="AA54" i="1"/>
  <c r="R54" i="1"/>
  <c r="AJ31" i="1"/>
  <c r="V54" i="1"/>
  <c r="AH31" i="1"/>
  <c r="AG31" i="1"/>
  <c r="AN54" i="1"/>
  <c r="U14" i="10"/>
  <c r="X31" i="1"/>
  <c r="O54" i="1"/>
  <c r="I31" i="1"/>
  <c r="AN31" i="1"/>
  <c r="D31" i="1"/>
  <c r="AD31" i="1"/>
  <c r="AB54" i="1"/>
  <c r="AA31" i="1"/>
  <c r="AJ54" i="1"/>
  <c r="P54" i="1"/>
  <c r="AB31" i="1"/>
  <c r="AP54" i="1"/>
  <c r="E57" i="1"/>
  <c r="C8" i="10"/>
  <c r="V31" i="1"/>
  <c r="U31" i="1"/>
  <c r="C31" i="1"/>
  <c r="AM54" i="1"/>
  <c r="G57" i="1"/>
  <c r="W16" i="10"/>
  <c r="AP31" i="1"/>
  <c r="M12" i="1"/>
  <c r="AM62" i="1"/>
  <c r="AA62" i="1"/>
  <c r="AJ62" i="1"/>
  <c r="AH62" i="1"/>
  <c r="L62" i="1"/>
  <c r="J62" i="1"/>
  <c r="AP62" i="1"/>
  <c r="AN62" i="1"/>
  <c r="AW29" i="1"/>
  <c r="AG62" i="1"/>
  <c r="Q8" i="1"/>
  <c r="O62" i="1"/>
  <c r="AD62" i="1"/>
  <c r="AB62" i="1"/>
  <c r="X62" i="1"/>
  <c r="V62" i="1"/>
  <c r="U62" i="1"/>
  <c r="AC7" i="1"/>
  <c r="P62" i="1"/>
  <c r="R62" i="1"/>
  <c r="AT29" i="1"/>
  <c r="AU29" i="1"/>
  <c r="AX29" i="1"/>
  <c r="AV29" i="1"/>
  <c r="AS29" i="1"/>
  <c r="Y29" i="1"/>
  <c r="AE29" i="1"/>
  <c r="AC29" i="1"/>
  <c r="W29" i="1"/>
  <c r="S29" i="1"/>
  <c r="Q29" i="1"/>
  <c r="AO29" i="1"/>
  <c r="AQ29" i="1"/>
  <c r="AK29" i="1"/>
  <c r="AI29" i="1"/>
  <c r="E7" i="12" s="1"/>
  <c r="E35" i="12" s="1"/>
  <c r="E29" i="1"/>
  <c r="C7" i="12" s="1"/>
  <c r="C35" i="12" s="1"/>
  <c r="G29" i="1"/>
  <c r="K29" i="1"/>
  <c r="D7" i="12" s="1"/>
  <c r="D35" i="12" s="1"/>
  <c r="M29" i="1"/>
  <c r="D20" i="10"/>
  <c r="G20" i="10" s="1"/>
  <c r="Q5" i="1"/>
  <c r="AE5" i="1"/>
  <c r="AC5" i="1"/>
  <c r="AT5" i="1"/>
  <c r="G5" i="1"/>
  <c r="S5" i="1"/>
  <c r="E5" i="1"/>
  <c r="AV5" i="1"/>
  <c r="AW5" i="1"/>
  <c r="AU5" i="1"/>
  <c r="AO5" i="1"/>
  <c r="M5" i="1"/>
  <c r="AX5" i="1"/>
  <c r="Y5" i="1"/>
  <c r="AI5" i="1"/>
  <c r="AK5" i="1"/>
  <c r="W5" i="1"/>
  <c r="AS5" i="1"/>
  <c r="K5" i="1"/>
  <c r="D21" i="10"/>
  <c r="L21" i="10"/>
  <c r="M14" i="10"/>
  <c r="D23" i="10"/>
  <c r="C23" i="10"/>
  <c r="L9" i="10"/>
  <c r="G5" i="10"/>
  <c r="G7" i="10"/>
  <c r="Y12" i="10"/>
  <c r="P6" i="10"/>
  <c r="P13" i="10"/>
  <c r="G19" i="10"/>
  <c r="Y4" i="10"/>
  <c r="Y6" i="10"/>
  <c r="L16" i="10"/>
  <c r="U9" i="10"/>
  <c r="U16" i="10"/>
  <c r="P4" i="10"/>
  <c r="P5" i="10"/>
  <c r="V9" i="10"/>
  <c r="M16" i="10"/>
  <c r="V16" i="10"/>
  <c r="P12" i="10"/>
  <c r="G6" i="10"/>
  <c r="D10" i="10" s="1"/>
  <c r="P20" i="10"/>
  <c r="P22" i="10" s="1"/>
  <c r="Y5" i="10"/>
  <c r="P21" i="10"/>
  <c r="AQ51" i="1"/>
  <c r="AQ9" i="1"/>
  <c r="AQ18" i="1"/>
  <c r="AQ22" i="1"/>
  <c r="AQ27" i="1"/>
  <c r="AQ45" i="1"/>
  <c r="AQ42" i="1"/>
  <c r="AQ19" i="1"/>
  <c r="AQ23" i="1"/>
  <c r="AQ13" i="1"/>
  <c r="AQ17" i="1"/>
  <c r="AQ20" i="1"/>
  <c r="AQ11" i="1"/>
  <c r="AQ7" i="1"/>
  <c r="AQ10" i="1"/>
  <c r="AQ4" i="1"/>
  <c r="AC14" i="1"/>
  <c r="AE14" i="1"/>
  <c r="Q42" i="1"/>
  <c r="S42" i="1"/>
  <c r="M7" i="1"/>
  <c r="K7" i="1"/>
  <c r="AE17" i="1"/>
  <c r="AC17" i="1"/>
  <c r="K6" i="1"/>
  <c r="M6" i="1"/>
  <c r="Y11" i="1"/>
  <c r="W11" i="1"/>
  <c r="AI23" i="1"/>
  <c r="AK23" i="1"/>
  <c r="M50" i="1"/>
  <c r="K50" i="1"/>
  <c r="M22" i="1"/>
  <c r="K22" i="1"/>
  <c r="W20" i="1"/>
  <c r="Y20" i="1"/>
  <c r="S9" i="1"/>
  <c r="Q9" i="1"/>
  <c r="AE18" i="1"/>
  <c r="AC18" i="1"/>
  <c r="M18" i="1"/>
  <c r="K18" i="1"/>
  <c r="AE23" i="1"/>
  <c r="AC23" i="1"/>
  <c r="AK42" i="1"/>
  <c r="AI42" i="1"/>
  <c r="AC8" i="1"/>
  <c r="AE8" i="1"/>
  <c r="AE48" i="1"/>
  <c r="AC48" i="1"/>
  <c r="Y10" i="1"/>
  <c r="W10" i="1"/>
  <c r="K4" i="1"/>
  <c r="D5" i="12" s="1"/>
  <c r="D33" i="12" s="1"/>
  <c r="M4" i="1"/>
  <c r="AE51" i="1"/>
  <c r="AC51" i="1"/>
  <c r="K24" i="1"/>
  <c r="D3" i="12" s="1"/>
  <c r="D31" i="12" s="1"/>
  <c r="M24" i="1"/>
  <c r="W13" i="1"/>
  <c r="Y13" i="1"/>
  <c r="AE24" i="1"/>
  <c r="AC24" i="1"/>
  <c r="AQ24" i="1"/>
  <c r="AQ16" i="1"/>
  <c r="K26" i="1"/>
  <c r="M26" i="1"/>
  <c r="K13" i="1"/>
  <c r="M13" i="1"/>
  <c r="S23" i="1"/>
  <c r="Q23" i="1"/>
  <c r="S15" i="1"/>
  <c r="Q15" i="1"/>
  <c r="S17" i="1"/>
  <c r="Q17" i="1"/>
  <c r="AK50" i="1"/>
  <c r="AI50" i="1"/>
  <c r="AK8" i="1"/>
  <c r="AI8" i="1"/>
  <c r="Y48" i="1"/>
  <c r="W48" i="1"/>
  <c r="AE22" i="1"/>
  <c r="AC22" i="1"/>
  <c r="S20" i="1"/>
  <c r="Q20" i="1"/>
  <c r="Y6" i="1"/>
  <c r="W6" i="1"/>
  <c r="AQ43" i="1"/>
  <c r="AQ47" i="1"/>
  <c r="AU46" i="1"/>
  <c r="Y46" i="1"/>
  <c r="W46" i="1"/>
  <c r="AE43" i="1"/>
  <c r="AC43" i="1"/>
  <c r="AK14" i="1"/>
  <c r="AI14" i="1"/>
  <c r="K44" i="1"/>
  <c r="M44" i="1"/>
  <c r="K27" i="1"/>
  <c r="M27" i="1"/>
  <c r="S49" i="1"/>
  <c r="Q49" i="1"/>
  <c r="M49" i="1"/>
  <c r="K49" i="1"/>
  <c r="W8" i="1"/>
  <c r="Y8" i="1"/>
  <c r="Y9" i="1"/>
  <c r="W9" i="1"/>
  <c r="AI22" i="1"/>
  <c r="AK22" i="1"/>
  <c r="AI47" i="1"/>
  <c r="AK47" i="1"/>
  <c r="M10" i="1"/>
  <c r="K10" i="1"/>
  <c r="D12" i="12" s="1"/>
  <c r="D40" i="12" s="1"/>
  <c r="K45" i="1"/>
  <c r="M45" i="1"/>
  <c r="W27" i="1"/>
  <c r="Y27" i="1"/>
  <c r="Q18" i="1"/>
  <c r="S18" i="1"/>
  <c r="Q44" i="1"/>
  <c r="S44" i="1"/>
  <c r="AK24" i="1"/>
  <c r="AI24" i="1"/>
  <c r="E3" i="12" s="1"/>
  <c r="E31" i="12" s="1"/>
  <c r="W45" i="1"/>
  <c r="Y45" i="1"/>
  <c r="AK28" i="1"/>
  <c r="AI28" i="1"/>
  <c r="Y42" i="1"/>
  <c r="W42" i="1"/>
  <c r="Q7" i="1"/>
  <c r="S7" i="1"/>
  <c r="AE50" i="1"/>
  <c r="AC50" i="1"/>
  <c r="Y22" i="1"/>
  <c r="W22" i="1"/>
  <c r="S48" i="1"/>
  <c r="Q48" i="1"/>
  <c r="W4" i="1"/>
  <c r="Y4" i="1"/>
  <c r="Y16" i="1"/>
  <c r="W16" i="1"/>
  <c r="AK12" i="1"/>
  <c r="AI12" i="1"/>
  <c r="Q19" i="1"/>
  <c r="S19" i="1"/>
  <c r="AQ15" i="1"/>
  <c r="AK27" i="1"/>
  <c r="AI27" i="1"/>
  <c r="E9" i="12" s="1"/>
  <c r="E37" i="12" s="1"/>
  <c r="Y51" i="1"/>
  <c r="W51" i="1"/>
  <c r="Y18" i="1"/>
  <c r="W18" i="1"/>
  <c r="Q12" i="1"/>
  <c r="S12" i="1"/>
  <c r="AK6" i="1"/>
  <c r="AI6" i="1"/>
  <c r="AE45" i="1"/>
  <c r="AC45" i="1"/>
  <c r="AK19" i="1"/>
  <c r="AI19" i="1"/>
  <c r="AV46" i="1"/>
  <c r="AC46" i="1"/>
  <c r="AE46" i="1"/>
  <c r="AX46" i="1"/>
  <c r="AQ46" i="1"/>
  <c r="Q26" i="1"/>
  <c r="S26" i="1"/>
  <c r="AK18" i="1"/>
  <c r="AI18" i="1"/>
  <c r="AC12" i="1"/>
  <c r="AE12" i="1"/>
  <c r="S27" i="1"/>
  <c r="Q27" i="1"/>
  <c r="AQ6" i="1"/>
  <c r="AE28" i="1"/>
  <c r="AC28" i="1"/>
  <c r="Q43" i="1"/>
  <c r="S43" i="1"/>
  <c r="AK26" i="1"/>
  <c r="AI26" i="1"/>
  <c r="AQ28" i="1"/>
  <c r="Q6" i="1"/>
  <c r="S6" i="1"/>
  <c r="AW46" i="1"/>
  <c r="AK46" i="1"/>
  <c r="AI46" i="1"/>
  <c r="AE11" i="1"/>
  <c r="AC11" i="1"/>
  <c r="Y12" i="1"/>
  <c r="W12" i="1"/>
  <c r="AI7" i="1"/>
  <c r="AK7" i="1"/>
  <c r="AC47" i="1"/>
  <c r="AE47" i="1"/>
  <c r="M48" i="1"/>
  <c r="K48" i="1"/>
  <c r="M16" i="1"/>
  <c r="K16" i="1"/>
  <c r="D6" i="12" s="1"/>
  <c r="D34" i="12" s="1"/>
  <c r="Q11" i="1"/>
  <c r="S11" i="1"/>
  <c r="K43" i="1"/>
  <c r="M43" i="1"/>
  <c r="AE49" i="1"/>
  <c r="AC49" i="1"/>
  <c r="M9" i="1"/>
  <c r="K9" i="1"/>
  <c r="D8" i="12" s="1"/>
  <c r="D36" i="12" s="1"/>
  <c r="S22" i="1"/>
  <c r="Q22" i="1"/>
  <c r="Y14" i="1"/>
  <c r="W14" i="1"/>
  <c r="S24" i="1"/>
  <c r="Q24" i="1"/>
  <c r="M20" i="1"/>
  <c r="K20" i="1"/>
  <c r="D10" i="12" s="1"/>
  <c r="D38" i="12" s="1"/>
  <c r="Y23" i="1"/>
  <c r="W23" i="1"/>
  <c r="AK4" i="1"/>
  <c r="AI4" i="1"/>
  <c r="E5" i="12" s="1"/>
  <c r="E33" i="12" s="1"/>
  <c r="Y28" i="1"/>
  <c r="W28" i="1"/>
  <c r="S51" i="1"/>
  <c r="Q51" i="1"/>
  <c r="AE27" i="1"/>
  <c r="AC27" i="1"/>
  <c r="M42" i="1"/>
  <c r="K42" i="1"/>
  <c r="AE15" i="1"/>
  <c r="AC15" i="1"/>
  <c r="W49" i="1"/>
  <c r="Y49" i="1"/>
  <c r="AC20" i="1"/>
  <c r="AE20" i="1"/>
  <c r="W47" i="1"/>
  <c r="Y47" i="1"/>
  <c r="M47" i="1"/>
  <c r="K47" i="1"/>
  <c r="AK13" i="1"/>
  <c r="AI13" i="1"/>
  <c r="AK43" i="1"/>
  <c r="AI43" i="1"/>
  <c r="AE6" i="1"/>
  <c r="AC6" i="1"/>
  <c r="AC26" i="1"/>
  <c r="AE26" i="1"/>
  <c r="AE16" i="1"/>
  <c r="AC16" i="1"/>
  <c r="AS46" i="1"/>
  <c r="M46" i="1"/>
  <c r="K46" i="1"/>
  <c r="AQ12" i="1"/>
  <c r="AQ50" i="1"/>
  <c r="AQ48" i="1"/>
  <c r="M8" i="1"/>
  <c r="K8" i="1"/>
  <c r="AE9" i="1"/>
  <c r="AC9" i="1"/>
  <c r="Y15" i="1"/>
  <c r="W15" i="1"/>
  <c r="AK9" i="1"/>
  <c r="AI9" i="1"/>
  <c r="E8" i="12" s="1"/>
  <c r="E36" i="12" s="1"/>
  <c r="S47" i="1"/>
  <c r="Q47" i="1"/>
  <c r="M51" i="1"/>
  <c r="K51" i="1"/>
  <c r="AK44" i="1"/>
  <c r="AI44" i="1"/>
  <c r="Q45" i="1"/>
  <c r="S45" i="1"/>
  <c r="M15" i="1"/>
  <c r="K15" i="1"/>
  <c r="AI15" i="1"/>
  <c r="AK15" i="1"/>
  <c r="AK20" i="1"/>
  <c r="AI20" i="1"/>
  <c r="E10" i="12" s="1"/>
  <c r="E38" i="12" s="1"/>
  <c r="AK10" i="1"/>
  <c r="AI10" i="1"/>
  <c r="E12" i="12" s="1"/>
  <c r="E40" i="12" s="1"/>
  <c r="M23" i="1"/>
  <c r="K23" i="1"/>
  <c r="AE4" i="1"/>
  <c r="AC4" i="1"/>
  <c r="M28" i="1"/>
  <c r="K28" i="1"/>
  <c r="AK17" i="1"/>
  <c r="AI17" i="1"/>
  <c r="E4" i="12" s="1"/>
  <c r="E32" i="12" s="1"/>
  <c r="AE19" i="1"/>
  <c r="AC19" i="1"/>
  <c r="S14" i="1"/>
  <c r="Q14" i="1"/>
  <c r="AK11" i="1"/>
  <c r="AI11" i="1"/>
  <c r="E11" i="12" s="1"/>
  <c r="E39" i="12" s="1"/>
  <c r="AQ8" i="1"/>
  <c r="AQ44" i="1"/>
  <c r="AQ26" i="1"/>
  <c r="AQ14" i="1"/>
  <c r="AT46" i="1"/>
  <c r="S46" i="1"/>
  <c r="Q46" i="1"/>
  <c r="S28" i="1"/>
  <c r="Q28" i="1"/>
  <c r="AC13" i="1"/>
  <c r="AE13" i="1"/>
  <c r="Y7" i="1"/>
  <c r="W7" i="1"/>
  <c r="K11" i="1"/>
  <c r="D11" i="12" s="1"/>
  <c r="D39" i="12" s="1"/>
  <c r="M11" i="1"/>
  <c r="Q13" i="1"/>
  <c r="S13" i="1"/>
  <c r="K12" i="1"/>
  <c r="Y24" i="1"/>
  <c r="W24" i="1"/>
  <c r="AC10" i="1"/>
  <c r="AE10" i="1"/>
  <c r="Y17" i="1"/>
  <c r="W17" i="1"/>
  <c r="Y50" i="1"/>
  <c r="W50" i="1"/>
  <c r="Q50" i="1"/>
  <c r="S50" i="1"/>
  <c r="K19" i="1"/>
  <c r="M19" i="1"/>
  <c r="AI48" i="1"/>
  <c r="AK48" i="1"/>
  <c r="S10" i="1"/>
  <c r="Q10" i="1"/>
  <c r="AC42" i="1"/>
  <c r="AE42" i="1"/>
  <c r="S4" i="1"/>
  <c r="Q4" i="1"/>
  <c r="Y26" i="1"/>
  <c r="W26" i="1"/>
  <c r="Y44" i="1"/>
  <c r="W44" i="1"/>
  <c r="AI16" i="1"/>
  <c r="E6" i="12" s="1"/>
  <c r="E34" i="12" s="1"/>
  <c r="AK16" i="1"/>
  <c r="M14" i="1"/>
  <c r="K14" i="1"/>
  <c r="AQ49" i="1"/>
  <c r="AW51" i="1"/>
  <c r="E51" i="1"/>
  <c r="G51" i="1"/>
  <c r="E50" i="1"/>
  <c r="G50" i="1"/>
  <c r="AW49" i="1"/>
  <c r="G49" i="1"/>
  <c r="E49" i="1"/>
  <c r="E42" i="1"/>
  <c r="G42" i="1"/>
  <c r="AU43" i="1"/>
  <c r="G43" i="1"/>
  <c r="E43" i="1"/>
  <c r="G47" i="1"/>
  <c r="E47" i="1"/>
  <c r="AW45" i="1"/>
  <c r="E45" i="1"/>
  <c r="G45" i="1"/>
  <c r="E48" i="1"/>
  <c r="G48" i="1"/>
  <c r="AV44" i="1"/>
  <c r="E44" i="1"/>
  <c r="G44" i="1"/>
  <c r="G26" i="1"/>
  <c r="E26" i="1"/>
  <c r="E13" i="1"/>
  <c r="G13" i="1"/>
  <c r="E4" i="1"/>
  <c r="C5" i="12" s="1"/>
  <c r="C33" i="12" s="1"/>
  <c r="G4" i="1"/>
  <c r="G12" i="1"/>
  <c r="E12" i="1"/>
  <c r="G11" i="1"/>
  <c r="E11" i="1"/>
  <c r="C11" i="12" s="1"/>
  <c r="C39" i="12" s="1"/>
  <c r="E18" i="1"/>
  <c r="G18" i="1"/>
  <c r="E6" i="1"/>
  <c r="G6" i="1"/>
  <c r="G9" i="1"/>
  <c r="E9" i="1"/>
  <c r="C8" i="12" s="1"/>
  <c r="C36" i="12" s="1"/>
  <c r="AV7" i="1"/>
  <c r="E7" i="1"/>
  <c r="G7" i="1"/>
  <c r="G10" i="1"/>
  <c r="E10" i="1"/>
  <c r="C12" i="12" s="1"/>
  <c r="C40" i="12" s="1"/>
  <c r="AU19" i="1"/>
  <c r="E19" i="1"/>
  <c r="G19" i="1"/>
  <c r="G14" i="1"/>
  <c r="E14" i="1"/>
  <c r="E20" i="1"/>
  <c r="C10" i="12" s="1"/>
  <c r="C38" i="12" s="1"/>
  <c r="G20" i="1"/>
  <c r="E22" i="1"/>
  <c r="G22" i="1"/>
  <c r="G27" i="1"/>
  <c r="E27" i="1"/>
  <c r="AS17" i="1"/>
  <c r="G17" i="1"/>
  <c r="E17" i="1"/>
  <c r="C4" i="12" s="1"/>
  <c r="C32" i="12" s="1"/>
  <c r="G24" i="1"/>
  <c r="E24" i="1"/>
  <c r="C3" i="12" s="1"/>
  <c r="C31" i="12" s="1"/>
  <c r="G15" i="1"/>
  <c r="E15" i="1"/>
  <c r="G28" i="1"/>
  <c r="E28" i="1"/>
  <c r="AT16" i="1"/>
  <c r="G16" i="1"/>
  <c r="E16" i="1"/>
  <c r="C6" i="12" s="1"/>
  <c r="C34" i="12" s="1"/>
  <c r="AT8" i="1"/>
  <c r="E8" i="1"/>
  <c r="G8" i="1"/>
  <c r="G23" i="1"/>
  <c r="E23" i="1"/>
  <c r="AU51" i="1"/>
  <c r="AS26" i="1"/>
  <c r="AW42" i="1"/>
  <c r="AV47" i="1"/>
  <c r="AS13" i="1"/>
  <c r="AS7" i="1"/>
  <c r="AV9" i="1"/>
  <c r="AU16" i="1"/>
  <c r="AW12" i="1"/>
  <c r="AY30" i="1"/>
  <c r="AW17" i="1"/>
  <c r="AV19" i="1"/>
  <c r="AT20" i="1"/>
  <c r="AT11" i="1"/>
  <c r="AU17" i="1"/>
  <c r="AS19" i="1"/>
  <c r="AX23" i="1"/>
  <c r="AY53" i="1"/>
  <c r="AY39" i="1"/>
  <c r="AU6" i="1"/>
  <c r="AS14" i="1"/>
  <c r="AX27" i="1"/>
  <c r="AX28" i="1"/>
  <c r="AS8" i="1"/>
  <c r="AW14" i="1"/>
  <c r="AT15" i="1"/>
  <c r="AS48" i="1"/>
  <c r="AW28" i="1"/>
  <c r="AS27" i="1"/>
  <c r="AS9" i="1"/>
  <c r="AW9" i="1"/>
  <c r="AW27" i="1"/>
  <c r="AV14" i="1"/>
  <c r="AW6" i="1"/>
  <c r="AS45" i="1"/>
  <c r="AU27" i="1"/>
  <c r="AU13" i="1"/>
  <c r="AX17" i="1"/>
  <c r="AX8" i="1"/>
  <c r="AX44" i="1"/>
  <c r="AX12" i="1"/>
  <c r="AX48" i="1"/>
  <c r="AV23" i="1"/>
  <c r="AS44" i="1"/>
  <c r="AV17" i="1"/>
  <c r="AW23" i="1"/>
  <c r="AW22" i="1"/>
  <c r="AU22" i="1"/>
  <c r="AT18" i="1"/>
  <c r="AT19" i="1"/>
  <c r="AX11" i="1"/>
  <c r="AW18" i="1"/>
  <c r="AW19" i="1"/>
  <c r="AT23" i="1"/>
  <c r="AS24" i="1"/>
  <c r="AV24" i="1"/>
  <c r="AT22" i="1"/>
  <c r="AU23" i="1"/>
  <c r="AU18" i="1"/>
  <c r="AS23" i="1"/>
  <c r="AS22" i="1"/>
  <c r="AX19" i="1"/>
  <c r="AT44" i="1"/>
  <c r="AW24" i="1"/>
  <c r="AU45" i="1"/>
  <c r="AX26" i="1"/>
  <c r="AX14" i="1"/>
  <c r="AW13" i="1"/>
  <c r="AV12" i="1"/>
  <c r="AT27" i="1"/>
  <c r="AX10" i="1"/>
  <c r="AX16" i="1"/>
  <c r="AV49" i="1"/>
  <c r="AX20" i="1"/>
  <c r="AS51" i="1"/>
  <c r="AT26" i="1"/>
  <c r="AX42" i="1"/>
  <c r="AX49" i="1"/>
  <c r="AU14" i="1"/>
  <c r="AT24" i="1"/>
  <c r="AS43" i="1"/>
  <c r="AU15" i="1"/>
  <c r="AS50" i="1"/>
  <c r="AU20" i="1"/>
  <c r="AT9" i="1"/>
  <c r="AU28" i="1"/>
  <c r="AU50" i="1"/>
  <c r="AT50" i="1"/>
  <c r="AW48" i="1"/>
  <c r="AT10" i="1"/>
  <c r="AV42" i="1"/>
  <c r="AV4" i="1"/>
  <c r="AS28" i="1"/>
  <c r="AW43" i="1"/>
  <c r="AV6" i="1"/>
  <c r="AV11" i="1"/>
  <c r="AV28" i="1"/>
  <c r="AT43" i="1"/>
  <c r="AW26" i="1"/>
  <c r="AX47" i="1"/>
  <c r="AX4" i="1"/>
  <c r="AW44" i="1"/>
  <c r="AT51" i="1"/>
  <c r="AV27" i="1"/>
  <c r="AS42" i="1"/>
  <c r="AV15" i="1"/>
  <c r="AV8" i="1"/>
  <c r="AV48" i="1"/>
  <c r="AU10" i="1"/>
  <c r="AV26" i="1"/>
  <c r="AU12" i="1"/>
  <c r="AW7" i="1"/>
  <c r="AV43" i="1"/>
  <c r="AS6" i="1"/>
  <c r="AT45" i="1"/>
  <c r="AS15" i="1"/>
  <c r="AW15" i="1"/>
  <c r="AT17" i="1"/>
  <c r="AW50" i="1"/>
  <c r="AW8" i="1"/>
  <c r="AU48" i="1"/>
  <c r="AV22" i="1"/>
  <c r="AT4" i="1"/>
  <c r="AU26" i="1"/>
  <c r="AV18" i="1"/>
  <c r="AV16" i="1"/>
  <c r="AX6" i="1"/>
  <c r="AX9" i="1"/>
  <c r="AX15" i="1"/>
  <c r="AS12" i="1"/>
  <c r="AU11" i="1"/>
  <c r="AT49" i="1"/>
  <c r="AS49" i="1"/>
  <c r="AU8" i="1"/>
  <c r="AU9" i="1"/>
  <c r="AW47" i="1"/>
  <c r="AS10" i="1"/>
  <c r="AS4" i="1"/>
  <c r="AU44" i="1"/>
  <c r="AW16" i="1"/>
  <c r="AT14" i="1"/>
  <c r="AW11" i="1"/>
  <c r="AX51" i="1"/>
  <c r="AX18" i="1"/>
  <c r="AX22" i="1"/>
  <c r="AT47" i="1"/>
  <c r="AX50" i="1"/>
  <c r="AU42" i="1"/>
  <c r="AS20" i="1"/>
  <c r="AS16" i="1"/>
  <c r="AT12" i="1"/>
  <c r="AU49" i="1"/>
  <c r="AV20" i="1"/>
  <c r="AU47" i="1"/>
  <c r="AS47" i="1"/>
  <c r="AT42" i="1"/>
  <c r="AW20" i="1"/>
  <c r="AW10" i="1"/>
  <c r="AW4" i="1"/>
  <c r="AT6" i="1"/>
  <c r="AV45" i="1"/>
  <c r="AX7" i="1"/>
  <c r="AX43" i="1"/>
  <c r="AX24" i="1"/>
  <c r="AS18" i="1"/>
  <c r="AU24" i="1"/>
  <c r="AV10" i="1"/>
  <c r="AT7" i="1"/>
  <c r="AV50" i="1"/>
  <c r="AT48" i="1"/>
  <c r="AU4" i="1"/>
  <c r="AV51" i="1"/>
  <c r="AT28" i="1"/>
  <c r="AV13" i="1"/>
  <c r="AU7" i="1"/>
  <c r="AS11" i="1"/>
  <c r="AT13" i="1"/>
  <c r="AX45" i="1"/>
  <c r="AX13" i="1"/>
  <c r="AO8" i="1"/>
  <c r="AO9" i="1"/>
  <c r="AO4" i="1"/>
  <c r="AO7" i="1"/>
  <c r="AO6" i="1"/>
  <c r="AO10" i="1"/>
  <c r="C9" i="12" l="1"/>
  <c r="C37" i="12" s="1"/>
  <c r="D9" i="12"/>
  <c r="D37" i="12" s="1"/>
  <c r="AT58" i="1"/>
  <c r="M59" i="1"/>
  <c r="K59" i="1"/>
  <c r="E62" i="1"/>
  <c r="AT60" i="1"/>
  <c r="E60" i="1"/>
  <c r="G60" i="1"/>
  <c r="G58" i="1"/>
  <c r="E58" i="1"/>
  <c r="G59" i="1"/>
  <c r="E59" i="1"/>
  <c r="E61" i="1"/>
  <c r="G61" i="1"/>
  <c r="AS59" i="1"/>
  <c r="Y15" i="10"/>
  <c r="AY57" i="1"/>
  <c r="Q60" i="1"/>
  <c r="Y60" i="1"/>
  <c r="AC59" i="1"/>
  <c r="AE59" i="1"/>
  <c r="AV59" i="1"/>
  <c r="M61" i="1"/>
  <c r="AQ59" i="1"/>
  <c r="AX59" i="1"/>
  <c r="AO59" i="1"/>
  <c r="AT61" i="1"/>
  <c r="Q61" i="1"/>
  <c r="S62" i="1"/>
  <c r="S58" i="1"/>
  <c r="W61" i="1"/>
  <c r="Y61" i="1"/>
  <c r="AU61" i="1"/>
  <c r="Q59" i="1"/>
  <c r="AT59" i="1"/>
  <c r="AS62" i="1"/>
  <c r="K62" i="1"/>
  <c r="M62" i="1"/>
  <c r="AK58" i="1"/>
  <c r="AW58" i="1"/>
  <c r="AI58" i="1"/>
  <c r="AX62" i="1"/>
  <c r="AQ62" i="1"/>
  <c r="AO62" i="1"/>
  <c r="Y58" i="1"/>
  <c r="W59" i="1"/>
  <c r="Y59" i="1"/>
  <c r="AU59" i="1"/>
  <c r="AK62" i="1"/>
  <c r="AI62" i="1"/>
  <c r="AW62" i="1"/>
  <c r="AC61" i="1"/>
  <c r="AE61" i="1"/>
  <c r="AV61" i="1"/>
  <c r="W60" i="1"/>
  <c r="AU60" i="1"/>
  <c r="AV60" i="1"/>
  <c r="AC60" i="1"/>
  <c r="AE60" i="1"/>
  <c r="K58" i="1"/>
  <c r="M58" i="1"/>
  <c r="AS58" i="1"/>
  <c r="AT62" i="1"/>
  <c r="Q62" i="1"/>
  <c r="AO61" i="1"/>
  <c r="AX61" i="1"/>
  <c r="AQ61" i="1"/>
  <c r="W62" i="1"/>
  <c r="AU62" i="1"/>
  <c r="AK59" i="1"/>
  <c r="AW59" i="1"/>
  <c r="AI59" i="1"/>
  <c r="Q58" i="1"/>
  <c r="W58" i="1"/>
  <c r="AU58" i="1"/>
  <c r="K60" i="1"/>
  <c r="M60" i="1"/>
  <c r="AS60" i="1"/>
  <c r="AE62" i="1"/>
  <c r="AC62" i="1"/>
  <c r="AV62" i="1"/>
  <c r="S60" i="1"/>
  <c r="S61" i="1"/>
  <c r="AV58" i="1"/>
  <c r="AE58" i="1"/>
  <c r="AC58" i="1"/>
  <c r="AX60" i="1"/>
  <c r="AQ60" i="1"/>
  <c r="AO60" i="1"/>
  <c r="AS61" i="1"/>
  <c r="K61" i="1"/>
  <c r="AX58" i="1"/>
  <c r="AO58" i="1"/>
  <c r="AQ58" i="1"/>
  <c r="Y62" i="1"/>
  <c r="AK60" i="1"/>
  <c r="AI60" i="1"/>
  <c r="AW60" i="1"/>
  <c r="S59" i="1"/>
  <c r="AK61" i="1"/>
  <c r="AI61" i="1"/>
  <c r="AW61" i="1"/>
  <c r="AY29" i="1"/>
  <c r="D22" i="10"/>
  <c r="AY5" i="1"/>
  <c r="C10" i="10"/>
  <c r="V22" i="10"/>
  <c r="G23" i="10"/>
  <c r="H24" i="10" s="1"/>
  <c r="V20" i="10"/>
  <c r="V23" i="10"/>
  <c r="V21" i="10"/>
  <c r="Y8" i="10"/>
  <c r="Y7" i="10"/>
  <c r="Y9" i="10"/>
  <c r="G9" i="10"/>
  <c r="G8" i="10"/>
  <c r="E10" i="10"/>
  <c r="Y16" i="10"/>
  <c r="P9" i="10"/>
  <c r="P7" i="10"/>
  <c r="P8" i="10"/>
  <c r="P15" i="10"/>
  <c r="P14" i="10"/>
  <c r="P16" i="10"/>
  <c r="G21" i="10"/>
  <c r="G22" i="10"/>
  <c r="AY46" i="1"/>
  <c r="AY45" i="1"/>
  <c r="AY44" i="1"/>
  <c r="AY19" i="1"/>
  <c r="AY49" i="1"/>
  <c r="AY50" i="1"/>
  <c r="AY42" i="1"/>
  <c r="AY51" i="1"/>
  <c r="AY4" i="1"/>
  <c r="AY43" i="1"/>
  <c r="AY48" i="1"/>
  <c r="AY47" i="1"/>
  <c r="AY20" i="1"/>
  <c r="AY16" i="1"/>
  <c r="AY17" i="1"/>
  <c r="AY8" i="1"/>
  <c r="AY10" i="1"/>
  <c r="AY28" i="1"/>
  <c r="AY22" i="1"/>
  <c r="AY23" i="1"/>
  <c r="AY26" i="1"/>
  <c r="AY24" i="1"/>
  <c r="AY15" i="1"/>
  <c r="AY12" i="1"/>
  <c r="AY6" i="1"/>
  <c r="AY9" i="1"/>
  <c r="AY11" i="1"/>
  <c r="AY18" i="1"/>
  <c r="AY27" i="1"/>
  <c r="AY7" i="1"/>
  <c r="AY14" i="1"/>
  <c r="AY13" i="1"/>
  <c r="AO11" i="1"/>
  <c r="AY62" i="1" l="1"/>
  <c r="AY58" i="1"/>
  <c r="AY61" i="1"/>
  <c r="AY60" i="1"/>
  <c r="AY59" i="1"/>
  <c r="W22" i="10"/>
  <c r="W23" i="10"/>
  <c r="Z24" i="10"/>
  <c r="W21" i="10"/>
  <c r="Z17" i="10"/>
  <c r="G10" i="10"/>
  <c r="Q24" i="10"/>
  <c r="AO12" i="1"/>
  <c r="H11" i="10" l="1"/>
  <c r="AO13" i="1"/>
  <c r="AO14" i="1" l="1"/>
  <c r="E39" i="1"/>
  <c r="AO15" i="1" l="1"/>
  <c r="AO16" i="1" l="1"/>
  <c r="AO17" i="1" l="1"/>
  <c r="AO18" i="1" l="1"/>
  <c r="AO19" i="1" l="1"/>
  <c r="AO20" i="1" l="1"/>
  <c r="AO22" i="1" l="1"/>
  <c r="AO23" i="1" l="1"/>
  <c r="AO24" i="1" l="1"/>
  <c r="AO26" i="1" l="1"/>
  <c r="AO27" i="1" l="1"/>
  <c r="AO28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39C435-DA12-4EE9-85C2-4AC152DBF5B8}" keepAlive="1" name="Consulta - DATA_KPI" description="Conexión a la consulta 'DATA_KPI' en el libro." type="5" refreshedVersion="8" background="1" saveData="1">
    <dbPr connection="Provider=Microsoft.Mashup.OleDb.1;Data Source=$Workbook$;Location=DATA_KPI;Extended Properties=&quot;&quot;" command="SELECT * FROM [DATA_KPI]"/>
  </connection>
  <connection id="2" xr16:uid="{F3C698EB-B2EB-4550-B620-9D998CC2B1E8}" keepAlive="1" name="Consulta - DATA_KPI_PRE" description="Conexión a la consulta 'DATA_KPI_PRE' en el libro." type="5" refreshedVersion="8" background="1" saveData="1">
    <dbPr connection="Provider=Microsoft.Mashup.OleDb.1;Data Source=$Workbook$;Location=DATA_KPI_PRE;Extended Properties=&quot;&quot;" command="SELECT * FROM [DATA_KPI_PRE]"/>
  </connection>
</connections>
</file>

<file path=xl/sharedStrings.xml><?xml version="1.0" encoding="utf-8"?>
<sst xmlns="http://schemas.openxmlformats.org/spreadsheetml/2006/main" count="15824" uniqueCount="2199">
  <si>
    <t>Restaurantes</t>
  </si>
  <si>
    <t>Salón</t>
  </si>
  <si>
    <t>Llevar</t>
  </si>
  <si>
    <t>Express</t>
  </si>
  <si>
    <t>Total</t>
  </si>
  <si>
    <t>%</t>
  </si>
  <si>
    <t>Alajuela</t>
  </si>
  <si>
    <t>City Mall</t>
  </si>
  <si>
    <t>Coronado</t>
  </si>
  <si>
    <t>Curridabat</t>
  </si>
  <si>
    <t>Desamparados</t>
  </si>
  <si>
    <t>Escazú</t>
  </si>
  <si>
    <t>Guadalupe</t>
  </si>
  <si>
    <t>Heredia</t>
  </si>
  <si>
    <t>Lincoln</t>
  </si>
  <si>
    <t>Oxígeno</t>
  </si>
  <si>
    <t>Pinares</t>
  </si>
  <si>
    <t>Real Alajuela</t>
  </si>
  <si>
    <t>Real Cariari</t>
  </si>
  <si>
    <t>Sabana</t>
  </si>
  <si>
    <t>San José</t>
  </si>
  <si>
    <t>Santa Ana</t>
  </si>
  <si>
    <t>Terramall</t>
  </si>
  <si>
    <t>TOTAL</t>
  </si>
  <si>
    <t>Guachipelin</t>
  </si>
  <si>
    <t>San Francisco</t>
  </si>
  <si>
    <t>Cartago</t>
  </si>
  <si>
    <t>Fecha Final</t>
  </si>
  <si>
    <t>Fecha Inicio</t>
  </si>
  <si>
    <t>KPI</t>
  </si>
  <si>
    <t>TQP</t>
  </si>
  <si>
    <t>LLAVE</t>
  </si>
  <si>
    <t>ANO</t>
  </si>
  <si>
    <t>RESTAURANTE</t>
  </si>
  <si>
    <t>CANAL</t>
  </si>
  <si>
    <t>MONTO</t>
  </si>
  <si>
    <t>Ventas</t>
  </si>
  <si>
    <t>Ventanita Rohrmoser</t>
  </si>
  <si>
    <t>UberEats</t>
  </si>
  <si>
    <t>Ventanita Tres Rios</t>
  </si>
  <si>
    <t>Ventanita Multiflores</t>
  </si>
  <si>
    <t>Ventanita Monterán</t>
  </si>
  <si>
    <t>Ventanita Pozos</t>
  </si>
  <si>
    <t>Ventanita Ayarco</t>
  </si>
  <si>
    <t>Multiplaza Escazú</t>
  </si>
  <si>
    <t>Ventanita San Pablo</t>
  </si>
  <si>
    <t>Ventanita Sabanilla</t>
  </si>
  <si>
    <t>Ventanita Santo Domingo</t>
  </si>
  <si>
    <t>Multiplaza del Este</t>
  </si>
  <si>
    <t>Tibas</t>
  </si>
  <si>
    <t>Ventanita Cartago</t>
  </si>
  <si>
    <t>Parque Diversiones</t>
  </si>
  <si>
    <t>FC Parque Diversiones</t>
  </si>
  <si>
    <t>AutoPollo</t>
  </si>
  <si>
    <t>Transacciones</t>
  </si>
  <si>
    <t>Corportativo</t>
  </si>
  <si>
    <t>Agrupaciones</t>
  </si>
  <si>
    <t>Mal</t>
  </si>
  <si>
    <t>Bien</t>
  </si>
  <si>
    <t>Muy Bien</t>
  </si>
  <si>
    <t>Ventanitas</t>
  </si>
  <si>
    <t>PRE</t>
  </si>
  <si>
    <t>%P</t>
  </si>
  <si>
    <t>ECommerce</t>
  </si>
  <si>
    <t>Corporativo</t>
  </si>
  <si>
    <t>CODALMACEN</t>
  </si>
  <si>
    <t>CREF</t>
  </si>
  <si>
    <t>S01</t>
  </si>
  <si>
    <t>S04</t>
  </si>
  <si>
    <t>S06</t>
  </si>
  <si>
    <t>S08</t>
  </si>
  <si>
    <t>S09</t>
  </si>
  <si>
    <t>S10</t>
  </si>
  <si>
    <t>S12</t>
  </si>
  <si>
    <t>S13</t>
  </si>
  <si>
    <t>S14</t>
  </si>
  <si>
    <t>S19</t>
  </si>
  <si>
    <t>S20</t>
  </si>
  <si>
    <t>S21</t>
  </si>
  <si>
    <t>S27</t>
  </si>
  <si>
    <t>S31</t>
  </si>
  <si>
    <t>S32</t>
  </si>
  <si>
    <t>S38</t>
  </si>
  <si>
    <t>S39</t>
  </si>
  <si>
    <t>S42</t>
  </si>
  <si>
    <t>S67</t>
  </si>
  <si>
    <t>S71</t>
  </si>
  <si>
    <t>S72</t>
  </si>
  <si>
    <t>S86</t>
  </si>
  <si>
    <t>S87</t>
  </si>
  <si>
    <t>S89</t>
  </si>
  <si>
    <t>S91</t>
  </si>
  <si>
    <t>V01</t>
  </si>
  <si>
    <t>V02</t>
  </si>
  <si>
    <t>V05</t>
  </si>
  <si>
    <t>V06</t>
  </si>
  <si>
    <t>V07</t>
  </si>
  <si>
    <t>V10</t>
  </si>
  <si>
    <t>V11</t>
  </si>
  <si>
    <t>V12</t>
  </si>
  <si>
    <t>V13</t>
  </si>
  <si>
    <t>V24</t>
  </si>
  <si>
    <t>Restaurantes Nuevos</t>
  </si>
  <si>
    <t>Agrupacion</t>
  </si>
  <si>
    <t>Restaurante</t>
  </si>
  <si>
    <t>Codalmacen</t>
  </si>
  <si>
    <t>Lllevar</t>
  </si>
  <si>
    <t>Participación (Formato por canal)</t>
  </si>
  <si>
    <t>S22</t>
  </si>
  <si>
    <t>Participaciones</t>
  </si>
  <si>
    <t>Part. V Restaurantes UBER</t>
  </si>
  <si>
    <t>Part. V Ventanitas UBER</t>
  </si>
  <si>
    <t>Ave. Escazú</t>
  </si>
  <si>
    <t>Plaza Práktico</t>
  </si>
  <si>
    <t>S24</t>
  </si>
  <si>
    <t>DD/MM/ANO</t>
  </si>
  <si>
    <t>Avenida Escazú</t>
  </si>
  <si>
    <t>Total SSS</t>
  </si>
  <si>
    <t>Nuevos Restaurantes</t>
  </si>
  <si>
    <t>Rosti</t>
  </si>
  <si>
    <t xml:space="preserve">Total </t>
  </si>
  <si>
    <t>% Crecimiento</t>
  </si>
  <si>
    <t>% Presupuesto</t>
  </si>
  <si>
    <t>Salon</t>
  </si>
  <si>
    <t>Presupuesto 2024</t>
  </si>
  <si>
    <t>Real 2023</t>
  </si>
  <si>
    <t>Real 2024</t>
  </si>
  <si>
    <t>UBER</t>
  </si>
  <si>
    <t>U     B     E     R</t>
  </si>
  <si>
    <t>E      C     O     M    M     E     R     C     E</t>
  </si>
  <si>
    <t xml:space="preserve">L     O     C     A     L  </t>
  </si>
  <si>
    <t>Local</t>
  </si>
  <si>
    <t>D   E   S   V   I   A  C   I   O   N</t>
  </si>
  <si>
    <t>T     O     T     A     L</t>
  </si>
  <si>
    <t>Express -Ecommerce</t>
  </si>
  <si>
    <t>2025_Corporativo_AutoPollo_TQP</t>
  </si>
  <si>
    <t>2025_Corporativo_AutoPollo_Transacciones</t>
  </si>
  <si>
    <t>2025_Corporativo_AutoPollo_Ventas</t>
  </si>
  <si>
    <t>2025_Corporativo_ECommerce_TQP</t>
  </si>
  <si>
    <t>2025_Corporativo_ECommerce_Transacciones</t>
  </si>
  <si>
    <t>2025_Corporativo_ECommerce_Ventas</t>
  </si>
  <si>
    <t>2025_Corporativo_Express_TQP</t>
  </si>
  <si>
    <t>2025_Corporativo_Express_Transacciones</t>
  </si>
  <si>
    <t>2025_Corporativo_Express_Ventas</t>
  </si>
  <si>
    <t>2025_Corporativo_Llevar_TQP</t>
  </si>
  <si>
    <t>2025_Corporativo_Llevar_Transacciones</t>
  </si>
  <si>
    <t>2025_Corporativo_Llevar_Ventas</t>
  </si>
  <si>
    <t>2025_Corporativo_Salón_TQP</t>
  </si>
  <si>
    <t>2025_Corporativo_Salón_Transacciones</t>
  </si>
  <si>
    <t>2025_Corporativo_Salón_Ventas</t>
  </si>
  <si>
    <t>2025_Corporativo_Total_TQP</t>
  </si>
  <si>
    <t>2025_Corporativo_Total_Transacciones</t>
  </si>
  <si>
    <t>2025_Corporativo_Total_Ventas</t>
  </si>
  <si>
    <t>2025_Corporativo_UberEats_TQP</t>
  </si>
  <si>
    <t>2025_Corporativo_UberEats_Transacciones</t>
  </si>
  <si>
    <t>2025_Corporativo_UberEats_Ventas</t>
  </si>
  <si>
    <t>2025_Restaurantes_AutoPollo_TQP</t>
  </si>
  <si>
    <t>2025_Restaurantes_AutoPollo_Transacciones</t>
  </si>
  <si>
    <t>2025_Restaurantes_AutoPollo_Ventas</t>
  </si>
  <si>
    <t>2025_Restaurantes_ECommerce_TQP</t>
  </si>
  <si>
    <t>2025_Restaurantes_ECommerce_Transacciones</t>
  </si>
  <si>
    <t>2025_Restaurantes_ECommerce_Ventas</t>
  </si>
  <si>
    <t>2025_Restaurantes_Express_TQP</t>
  </si>
  <si>
    <t>2025_Restaurantes_Express_Transacciones</t>
  </si>
  <si>
    <t>2025_Restaurantes_Express_Ventas</t>
  </si>
  <si>
    <t>2025_Restaurantes_Llevar_TQP</t>
  </si>
  <si>
    <t>2025_Restaurantes_Llevar_Transacciones</t>
  </si>
  <si>
    <t>2025_Restaurantes_Llevar_Ventas</t>
  </si>
  <si>
    <t>2025_Restaurantes_Salón_TQP</t>
  </si>
  <si>
    <t>2025_Restaurantes_Salón_Transacciones</t>
  </si>
  <si>
    <t>2025_Restaurantes_Salón_Ventas</t>
  </si>
  <si>
    <t>2025_Restaurantes_Total_TQP</t>
  </si>
  <si>
    <t>2025_Restaurantes_Total_Transacciones</t>
  </si>
  <si>
    <t>2025_Restaurantes_Total_Ventas</t>
  </si>
  <si>
    <t>2025_Restaurantes_UberEats_TQP</t>
  </si>
  <si>
    <t>2025_Restaurantes_UberEats_Transacciones</t>
  </si>
  <si>
    <t>2025_Restaurantes_UberEats_Ventas</t>
  </si>
  <si>
    <t>2025_S01_AutoPollo_TQP</t>
  </si>
  <si>
    <t>2025_S01_AutoPollo_Transacciones</t>
  </si>
  <si>
    <t>2025_S01_AutoPollo_Ventas</t>
  </si>
  <si>
    <t>2025_S01_ECommerce_TQP</t>
  </si>
  <si>
    <t>2025_S01_ECommerce_Transacciones</t>
  </si>
  <si>
    <t>2025_S01_ECommerce_Ventas</t>
  </si>
  <si>
    <t>2025_S01_Express_TQP</t>
  </si>
  <si>
    <t>2025_S01_Express_Transacciones</t>
  </si>
  <si>
    <t>2025_S01_Express_Ventas</t>
  </si>
  <si>
    <t>2025_S01_Llevar_TQP</t>
  </si>
  <si>
    <t>2025_S01_Llevar_Transacciones</t>
  </si>
  <si>
    <t>2025_S01_Llevar_Ventas</t>
  </si>
  <si>
    <t>2025_S01_Salón_TQP</t>
  </si>
  <si>
    <t>2025_S01_Salón_Transacciones</t>
  </si>
  <si>
    <t>2025_S01_Salón_Ventas</t>
  </si>
  <si>
    <t>2025_S01_Total_TQP</t>
  </si>
  <si>
    <t>2025_S01_Total_Transacciones</t>
  </si>
  <si>
    <t>2025_S01_Total_Ventas</t>
  </si>
  <si>
    <t>2025_S01_UberEats_TQP</t>
  </si>
  <si>
    <t>2025_S01_UberEats_Transacciones</t>
  </si>
  <si>
    <t>2025_S01_UberEats_Ventas</t>
  </si>
  <si>
    <t>2025_S04_Express_TQP</t>
  </si>
  <si>
    <t>2025_S04_Express_Transacciones</t>
  </si>
  <si>
    <t>2025_S04_Express_Ventas</t>
  </si>
  <si>
    <t>2025_S04_Llevar_TQP</t>
  </si>
  <si>
    <t>2025_S04_Llevar_Transacciones</t>
  </si>
  <si>
    <t>2025_S04_Llevar_Ventas</t>
  </si>
  <si>
    <t>2025_S04_Salón_TQP</t>
  </si>
  <si>
    <t>2025_S04_Salón_Transacciones</t>
  </si>
  <si>
    <t>2025_S04_Salón_Ventas</t>
  </si>
  <si>
    <t>2025_S04_Total_TQP</t>
  </si>
  <si>
    <t>2025_S04_Total_Transacciones</t>
  </si>
  <si>
    <t>2025_S04_Total_Ventas</t>
  </si>
  <si>
    <t>2025_S04_UberEats_TQP</t>
  </si>
  <si>
    <t>2025_S04_UberEats_Transacciones</t>
  </si>
  <si>
    <t>2025_S04_UberEats_Ventas</t>
  </si>
  <si>
    <t>2025_S06_Llevar_TQP</t>
  </si>
  <si>
    <t>2025_S06_Llevar_Transacciones</t>
  </si>
  <si>
    <t>2025_S06_Llevar_Ventas</t>
  </si>
  <si>
    <t>2025_S06_Salón_TQP</t>
  </si>
  <si>
    <t>2025_S06_Salón_Transacciones</t>
  </si>
  <si>
    <t>2025_S06_Salón_Ventas</t>
  </si>
  <si>
    <t>2025_S06_Total_TQP</t>
  </si>
  <si>
    <t>2025_S06_Total_Transacciones</t>
  </si>
  <si>
    <t>2025_S06_Total_Ventas</t>
  </si>
  <si>
    <t>2025_S06_UberEats_TQP</t>
  </si>
  <si>
    <t>2025_S06_UberEats_Transacciones</t>
  </si>
  <si>
    <t>2025_S06_UberEats_Ventas</t>
  </si>
  <si>
    <t>2025_S08_AutoPollo_TQP</t>
  </si>
  <si>
    <t>2025_S08_AutoPollo_Transacciones</t>
  </si>
  <si>
    <t>2025_S08_AutoPollo_Ventas</t>
  </si>
  <si>
    <t>2025_S08_ECommerce_TQP</t>
  </si>
  <si>
    <t>2025_S08_ECommerce_Transacciones</t>
  </si>
  <si>
    <t>2025_S08_ECommerce_Ventas</t>
  </si>
  <si>
    <t>2025_S08_Llevar_TQP</t>
  </si>
  <si>
    <t>2025_S08_Llevar_Transacciones</t>
  </si>
  <si>
    <t>2025_S08_Llevar_Ventas</t>
  </si>
  <si>
    <t>2025_S08_Salón_TQP</t>
  </si>
  <si>
    <t>2025_S08_Salón_Transacciones</t>
  </si>
  <si>
    <t>2025_S08_Salón_Ventas</t>
  </si>
  <si>
    <t>2025_S08_Total_TQP</t>
  </si>
  <si>
    <t>2025_S08_Total_Transacciones</t>
  </si>
  <si>
    <t>2025_S08_Total_Ventas</t>
  </si>
  <si>
    <t>2025_S08_UberEats_TQP</t>
  </si>
  <si>
    <t>2025_S08_UberEats_Transacciones</t>
  </si>
  <si>
    <t>2025_S08_UberEats_Ventas</t>
  </si>
  <si>
    <t>2025_S09_Express_TQP</t>
  </si>
  <si>
    <t>2025_S09_Express_Transacciones</t>
  </si>
  <si>
    <t>2025_S09_Express_Ventas</t>
  </si>
  <si>
    <t>2025_S09_Llevar_TQP</t>
  </si>
  <si>
    <t>2025_S09_Llevar_Transacciones</t>
  </si>
  <si>
    <t>2025_S09_Llevar_Ventas</t>
  </si>
  <si>
    <t>2025_S09_Salón_TQP</t>
  </si>
  <si>
    <t>2025_S09_Salón_Transacciones</t>
  </si>
  <si>
    <t>2025_S09_Salón_Ventas</t>
  </si>
  <si>
    <t>2025_S09_Total_TQP</t>
  </si>
  <si>
    <t>2025_S09_Total_Transacciones</t>
  </si>
  <si>
    <t>2025_S09_Total_Ventas</t>
  </si>
  <si>
    <t>2025_S09_UberEats_TQP</t>
  </si>
  <si>
    <t>2025_S09_UberEats_Transacciones</t>
  </si>
  <si>
    <t>2025_S09_UberEats_Ventas</t>
  </si>
  <si>
    <t>2025_S10_Llevar_TQP</t>
  </si>
  <si>
    <t>2025_S10_Llevar_Transacciones</t>
  </si>
  <si>
    <t>2025_S10_Llevar_Ventas</t>
  </si>
  <si>
    <t>2025_S10_Salón_TQP</t>
  </si>
  <si>
    <t>2025_S10_Salón_Transacciones</t>
  </si>
  <si>
    <t>2025_S10_Salón_Ventas</t>
  </si>
  <si>
    <t>2025_S10_Total_TQP</t>
  </si>
  <si>
    <t>2025_S10_Total_Transacciones</t>
  </si>
  <si>
    <t>2025_S10_Total_Ventas</t>
  </si>
  <si>
    <t>2025_S10_UberEats_TQP</t>
  </si>
  <si>
    <t>2025_S10_UberEats_Transacciones</t>
  </si>
  <si>
    <t>2025_S10_UberEats_Ventas</t>
  </si>
  <si>
    <t>2025_S12_Express_TQP</t>
  </si>
  <si>
    <t>2025_S12_Express_Transacciones</t>
  </si>
  <si>
    <t>2025_S12_Express_Ventas</t>
  </si>
  <si>
    <t>2025_S12_Llevar_TQP</t>
  </si>
  <si>
    <t>2025_S12_Llevar_Transacciones</t>
  </si>
  <si>
    <t>2025_S12_Llevar_Ventas</t>
  </si>
  <si>
    <t>2025_S12_Salón_TQP</t>
  </si>
  <si>
    <t>2025_S12_Salón_Transacciones</t>
  </si>
  <si>
    <t>2025_S12_Salón_Ventas</t>
  </si>
  <si>
    <t>2025_S12_Total_TQP</t>
  </si>
  <si>
    <t>2025_S12_Total_Transacciones</t>
  </si>
  <si>
    <t>2025_S12_Total_Ventas</t>
  </si>
  <si>
    <t>2025_S12_UberEats_TQP</t>
  </si>
  <si>
    <t>2025_S12_UberEats_Transacciones</t>
  </si>
  <si>
    <t>2025_S12_UberEats_Ventas</t>
  </si>
  <si>
    <t>2025_S13_AutoPollo_TQP</t>
  </si>
  <si>
    <t>2025_S13_AutoPollo_Transacciones</t>
  </si>
  <si>
    <t>2025_S13_AutoPollo_Ventas</t>
  </si>
  <si>
    <t>2025_S13_Llevar_TQP</t>
  </si>
  <si>
    <t>2025_S13_Llevar_Transacciones</t>
  </si>
  <si>
    <t>2025_S13_Llevar_Ventas</t>
  </si>
  <si>
    <t>2025_S13_Salón_TQP</t>
  </si>
  <si>
    <t>2025_S13_Salón_Transacciones</t>
  </si>
  <si>
    <t>2025_S13_Salón_Ventas</t>
  </si>
  <si>
    <t>2025_S13_Total_TQP</t>
  </si>
  <si>
    <t>2025_S13_Total_Transacciones</t>
  </si>
  <si>
    <t>2025_S13_Total_Ventas</t>
  </si>
  <si>
    <t>2025_S13_UberEats_TQP</t>
  </si>
  <si>
    <t>2025_S13_UberEats_Transacciones</t>
  </si>
  <si>
    <t>2025_S13_UberEats_Ventas</t>
  </si>
  <si>
    <t>2025_S14_Express_TQP</t>
  </si>
  <si>
    <t>2025_S14_Express_Transacciones</t>
  </si>
  <si>
    <t>2025_S14_Express_Ventas</t>
  </si>
  <si>
    <t>2025_S14_Llevar_TQP</t>
  </si>
  <si>
    <t>2025_S14_Llevar_Transacciones</t>
  </si>
  <si>
    <t>2025_S14_Llevar_Ventas</t>
  </si>
  <si>
    <t>2025_S14_Salón_TQP</t>
  </si>
  <si>
    <t>2025_S14_Salón_Transacciones</t>
  </si>
  <si>
    <t>2025_S14_Salón_Ventas</t>
  </si>
  <si>
    <t>2025_S14_Total_TQP</t>
  </si>
  <si>
    <t>2025_S14_Total_Transacciones</t>
  </si>
  <si>
    <t>2025_S14_Total_Ventas</t>
  </si>
  <si>
    <t>2025_S14_UberEats_TQP</t>
  </si>
  <si>
    <t>2025_S14_UberEats_Transacciones</t>
  </si>
  <si>
    <t>2025_S14_UberEats_Ventas</t>
  </si>
  <si>
    <t>2025_S19_Express_TQP</t>
  </si>
  <si>
    <t>2025_S19_Express_Transacciones</t>
  </si>
  <si>
    <t>2025_S19_Express_Ventas</t>
  </si>
  <si>
    <t>2025_S19_Llevar_TQP</t>
  </si>
  <si>
    <t>2025_S19_Llevar_Transacciones</t>
  </si>
  <si>
    <t>2025_S19_Llevar_Ventas</t>
  </si>
  <si>
    <t>2025_S19_Salón_TQP</t>
  </si>
  <si>
    <t>2025_S19_Salón_Transacciones</t>
  </si>
  <si>
    <t>2025_S19_Salón_Ventas</t>
  </si>
  <si>
    <t>2025_S19_Total_TQP</t>
  </si>
  <si>
    <t>2025_S19_Total_Transacciones</t>
  </si>
  <si>
    <t>2025_S19_Total_Ventas</t>
  </si>
  <si>
    <t>2025_S19_UberEats_TQP</t>
  </si>
  <si>
    <t>2025_S19_UberEats_Transacciones</t>
  </si>
  <si>
    <t>2025_S19_UberEats_Ventas</t>
  </si>
  <si>
    <t>2025_S20_Express_TQP</t>
  </si>
  <si>
    <t>2025_S20_Express_Transacciones</t>
  </si>
  <si>
    <t>2025_S20_Express_Ventas</t>
  </si>
  <si>
    <t>2025_S20_Llevar_TQP</t>
  </si>
  <si>
    <t>2025_S20_Llevar_Transacciones</t>
  </si>
  <si>
    <t>2025_S20_Llevar_Ventas</t>
  </si>
  <si>
    <t>2025_S20_Salón_TQP</t>
  </si>
  <si>
    <t>2025_S20_Salón_Transacciones</t>
  </si>
  <si>
    <t>2025_S20_Salón_Ventas</t>
  </si>
  <si>
    <t>2025_S20_Total_TQP</t>
  </si>
  <si>
    <t>2025_S20_Total_Transacciones</t>
  </si>
  <si>
    <t>2025_S20_Total_Ventas</t>
  </si>
  <si>
    <t>2025_S20_UberEats_TQP</t>
  </si>
  <si>
    <t>2025_S20_UberEats_Transacciones</t>
  </si>
  <si>
    <t>2025_S20_UberEats_Ventas</t>
  </si>
  <si>
    <t>2025_S21_Llevar_TQP</t>
  </si>
  <si>
    <t>2025_S21_Llevar_Transacciones</t>
  </si>
  <si>
    <t>2025_S21_Llevar_Ventas</t>
  </si>
  <si>
    <t>2025_S21_Salón_TQP</t>
  </si>
  <si>
    <t>2025_S21_Salón_Transacciones</t>
  </si>
  <si>
    <t>2025_S21_Salón_Ventas</t>
  </si>
  <si>
    <t>2025_S21_Total_TQP</t>
  </si>
  <si>
    <t>2025_S21_Total_Transacciones</t>
  </si>
  <si>
    <t>2025_S21_Total_Ventas</t>
  </si>
  <si>
    <t>2025_S21_UberEats_TQP</t>
  </si>
  <si>
    <t>2025_S21_UberEats_Transacciones</t>
  </si>
  <si>
    <t>2025_S21_UberEats_Ventas</t>
  </si>
  <si>
    <t>2025_S22_Llevar_TQP</t>
  </si>
  <si>
    <t>2025_S22_Llevar_Transacciones</t>
  </si>
  <si>
    <t>2025_S22_Llevar_Ventas</t>
  </si>
  <si>
    <t>2025_S22_Salón_TQP</t>
  </si>
  <si>
    <t>2025_S22_Salón_Transacciones</t>
  </si>
  <si>
    <t>2025_S22_Salón_Ventas</t>
  </si>
  <si>
    <t>2025_S22_Total_TQP</t>
  </si>
  <si>
    <t>2025_S22_Total_Transacciones</t>
  </si>
  <si>
    <t>2025_S22_Total_Ventas</t>
  </si>
  <si>
    <t>2025_S24_Llevar_TQP</t>
  </si>
  <si>
    <t>2025_S24_Llevar_Transacciones</t>
  </si>
  <si>
    <t>2025_S24_Llevar_Ventas</t>
  </si>
  <si>
    <t>2025_S24_Salón_TQP</t>
  </si>
  <si>
    <t>2025_S24_Salón_Transacciones</t>
  </si>
  <si>
    <t>2025_S24_Salón_Ventas</t>
  </si>
  <si>
    <t>2025_S24_Total_TQP</t>
  </si>
  <si>
    <t>2025_S24_Total_Transacciones</t>
  </si>
  <si>
    <t>2025_S24_Total_Ventas</t>
  </si>
  <si>
    <t>2025_S24_UberEats_TQP</t>
  </si>
  <si>
    <t>2025_S24_UberEats_Transacciones</t>
  </si>
  <si>
    <t>2025_S24_UberEats_Ventas</t>
  </si>
  <si>
    <t>2025_S27_Express_TQP</t>
  </si>
  <si>
    <t>2025_S27_Express_Transacciones</t>
  </si>
  <si>
    <t>2025_S27_Express_Ventas</t>
  </si>
  <si>
    <t>2025_S27_Llevar_TQP</t>
  </si>
  <si>
    <t>2025_S27_Llevar_Transacciones</t>
  </si>
  <si>
    <t>2025_S27_Llevar_Ventas</t>
  </si>
  <si>
    <t>2025_S27_Salón_TQP</t>
  </si>
  <si>
    <t>2025_S27_Salón_Transacciones</t>
  </si>
  <si>
    <t>2025_S27_Salón_Ventas</t>
  </si>
  <si>
    <t>2025_S27_Total_TQP</t>
  </si>
  <si>
    <t>2025_S27_Total_Transacciones</t>
  </si>
  <si>
    <t>2025_S27_Total_Ventas</t>
  </si>
  <si>
    <t>2025_S27_UberEats_TQP</t>
  </si>
  <si>
    <t>2025_S27_UberEats_Transacciones</t>
  </si>
  <si>
    <t>2025_S27_UberEats_Ventas</t>
  </si>
  <si>
    <t>2025_S31_Llevar_TQP</t>
  </si>
  <si>
    <t>2025_S31_Llevar_Transacciones</t>
  </si>
  <si>
    <t>2025_S31_Llevar_Ventas</t>
  </si>
  <si>
    <t>2025_S31_Salón_TQP</t>
  </si>
  <si>
    <t>2025_S31_Salón_Transacciones</t>
  </si>
  <si>
    <t>2025_S31_Salón_Ventas</t>
  </si>
  <si>
    <t>2025_S31_Total_TQP</t>
  </si>
  <si>
    <t>2025_S31_Total_Transacciones</t>
  </si>
  <si>
    <t>2025_S31_Total_Ventas</t>
  </si>
  <si>
    <t>2025_S31_UberEats_TQP</t>
  </si>
  <si>
    <t>2025_S31_UberEats_Transacciones</t>
  </si>
  <si>
    <t>2025_S31_UberEats_Ventas</t>
  </si>
  <si>
    <t>2025_S32_Llevar_TQP</t>
  </si>
  <si>
    <t>2025_S32_Llevar_Transacciones</t>
  </si>
  <si>
    <t>2025_S32_Llevar_Ventas</t>
  </si>
  <si>
    <t>2025_S32_Salón_TQP</t>
  </si>
  <si>
    <t>2025_S32_Salón_Transacciones</t>
  </si>
  <si>
    <t>2025_S32_Salón_Ventas</t>
  </si>
  <si>
    <t>2025_S32_Total_TQP</t>
  </si>
  <si>
    <t>2025_S32_Total_Transacciones</t>
  </si>
  <si>
    <t>2025_S32_Total_Ventas</t>
  </si>
  <si>
    <t>2025_S32_UberEats_TQP</t>
  </si>
  <si>
    <t>2025_S32_UberEats_Transacciones</t>
  </si>
  <si>
    <t>2025_S32_UberEats_Ventas</t>
  </si>
  <si>
    <t>2025_S38_Llevar_TQP</t>
  </si>
  <si>
    <t>2025_S38_Llevar_Transacciones</t>
  </si>
  <si>
    <t>2025_S38_Llevar_Ventas</t>
  </si>
  <si>
    <t>2025_S38_Salón_TQP</t>
  </si>
  <si>
    <t>2025_S38_Salón_Transacciones</t>
  </si>
  <si>
    <t>2025_S38_Salón_Ventas</t>
  </si>
  <si>
    <t>2025_S38_Total_TQP</t>
  </si>
  <si>
    <t>2025_S38_Total_Transacciones</t>
  </si>
  <si>
    <t>2025_S38_Total_Ventas</t>
  </si>
  <si>
    <t>2025_S38_UberEats_TQP</t>
  </si>
  <si>
    <t>2025_S38_UberEats_Transacciones</t>
  </si>
  <si>
    <t>2025_S38_UberEats_Ventas</t>
  </si>
  <si>
    <t>2025_S39_Llevar_TQP</t>
  </si>
  <si>
    <t>2025_S39_Llevar_Transacciones</t>
  </si>
  <si>
    <t>2025_S39_Llevar_Ventas</t>
  </si>
  <si>
    <t>2025_S39_Salón_TQP</t>
  </si>
  <si>
    <t>2025_S39_Salón_Transacciones</t>
  </si>
  <si>
    <t>2025_S39_Salón_Ventas</t>
  </si>
  <si>
    <t>2025_S39_Total_TQP</t>
  </si>
  <si>
    <t>2025_S39_Total_Transacciones</t>
  </si>
  <si>
    <t>2025_S39_Total_Ventas</t>
  </si>
  <si>
    <t>2025_S39_UberEats_TQP</t>
  </si>
  <si>
    <t>2025_S39_UberEats_Transacciones</t>
  </si>
  <si>
    <t>2025_S39_UberEats_Ventas</t>
  </si>
  <si>
    <t>2025_S42_ECommerce_TQP</t>
  </si>
  <si>
    <t>2025_S42_ECommerce_Transacciones</t>
  </si>
  <si>
    <t>2025_S42_ECommerce_Ventas</t>
  </si>
  <si>
    <t>2025_S42_Express_TQP</t>
  </si>
  <si>
    <t>2025_S42_Express_Transacciones</t>
  </si>
  <si>
    <t>2025_S42_Express_Ventas</t>
  </si>
  <si>
    <t>2025_S42_Llevar_TQP</t>
  </si>
  <si>
    <t>2025_S42_Llevar_Transacciones</t>
  </si>
  <si>
    <t>2025_S42_Llevar_Ventas</t>
  </si>
  <si>
    <t>2025_S42_Salón_TQP</t>
  </si>
  <si>
    <t>2025_S42_Salón_Transacciones</t>
  </si>
  <si>
    <t>2025_S42_Salón_Ventas</t>
  </si>
  <si>
    <t>2025_S42_Total_TQP</t>
  </si>
  <si>
    <t>2025_S42_Total_Transacciones</t>
  </si>
  <si>
    <t>2025_S42_Total_Ventas</t>
  </si>
  <si>
    <t>2025_S42_UberEats_TQP</t>
  </si>
  <si>
    <t>2025_S42_UberEats_Transacciones</t>
  </si>
  <si>
    <t>2025_S42_UberEats_Ventas</t>
  </si>
  <si>
    <t>2025_S67_Express_TQP</t>
  </si>
  <si>
    <t>2025_S67_Express_Transacciones</t>
  </si>
  <si>
    <t>2025_S67_Express_Ventas</t>
  </si>
  <si>
    <t>2025_S67_Llevar_TQP</t>
  </si>
  <si>
    <t>2025_S67_Llevar_Transacciones</t>
  </si>
  <si>
    <t>2025_S67_Llevar_Ventas</t>
  </si>
  <si>
    <t>2025_S67_Salón_TQP</t>
  </si>
  <si>
    <t>2025_S67_Salón_Transacciones</t>
  </si>
  <si>
    <t>2025_S67_Salón_Ventas</t>
  </si>
  <si>
    <t>2025_S67_Total_TQP</t>
  </si>
  <si>
    <t>2025_S67_Total_Transacciones</t>
  </si>
  <si>
    <t>2025_S67_Total_Ventas</t>
  </si>
  <si>
    <t>2025_S67_UberEats_TQP</t>
  </si>
  <si>
    <t>2025_S67_UberEats_Transacciones</t>
  </si>
  <si>
    <t>2025_S67_UberEats_Ventas</t>
  </si>
  <si>
    <t>2025_S71_Express_TQP</t>
  </si>
  <si>
    <t>2025_S71_Express_Transacciones</t>
  </si>
  <si>
    <t>2025_S71_Express_Ventas</t>
  </si>
  <si>
    <t>2025_S71_Llevar_TQP</t>
  </si>
  <si>
    <t>2025_S71_Llevar_Transacciones</t>
  </si>
  <si>
    <t>2025_S71_Llevar_Ventas</t>
  </si>
  <si>
    <t>2025_S71_Salón_TQP</t>
  </si>
  <si>
    <t>2025_S71_Salón_Transacciones</t>
  </si>
  <si>
    <t>2025_S71_Salón_Ventas</t>
  </si>
  <si>
    <t>2025_S71_Total_TQP</t>
  </si>
  <si>
    <t>2025_S71_Total_Transacciones</t>
  </si>
  <si>
    <t>2025_S71_Total_Ventas</t>
  </si>
  <si>
    <t>2025_S71_UberEats_TQP</t>
  </si>
  <si>
    <t>2025_S71_UberEats_Transacciones</t>
  </si>
  <si>
    <t>2025_S71_UberEats_Ventas</t>
  </si>
  <si>
    <t>2025_S72_Llevar_TQP</t>
  </si>
  <si>
    <t>2025_S72_Llevar_Transacciones</t>
  </si>
  <si>
    <t>2025_S72_Llevar_Ventas</t>
  </si>
  <si>
    <t>2025_S72_Salón_TQP</t>
  </si>
  <si>
    <t>2025_S72_Salón_Transacciones</t>
  </si>
  <si>
    <t>2025_S72_Salón_Ventas</t>
  </si>
  <si>
    <t>2025_S72_Total_TQP</t>
  </si>
  <si>
    <t>2025_S72_Total_Transacciones</t>
  </si>
  <si>
    <t>2025_S72_Total_Ventas</t>
  </si>
  <si>
    <t>2025_S72_UberEats_TQP</t>
  </si>
  <si>
    <t>2025_S72_UberEats_Transacciones</t>
  </si>
  <si>
    <t>2025_S72_UberEats_Ventas</t>
  </si>
  <si>
    <t>2025_S86_Llevar_TQP</t>
  </si>
  <si>
    <t>2025_S86_Llevar_Transacciones</t>
  </si>
  <si>
    <t>2025_S86_Llevar_Ventas</t>
  </si>
  <si>
    <t>2025_S86_Salón_TQP</t>
  </si>
  <si>
    <t>2025_S86_Salón_Transacciones</t>
  </si>
  <si>
    <t>2025_S86_Salón_Ventas</t>
  </si>
  <si>
    <t>2025_S86_Total_TQP</t>
  </si>
  <si>
    <t>2025_S86_Total_Transacciones</t>
  </si>
  <si>
    <t>2025_S86_Total_Ventas</t>
  </si>
  <si>
    <t>2025_S87_Llevar_TQP</t>
  </si>
  <si>
    <t>2025_S87_Llevar_Transacciones</t>
  </si>
  <si>
    <t>2025_S87_Llevar_Ventas</t>
  </si>
  <si>
    <t>2025_S87_Total_TQP</t>
  </si>
  <si>
    <t>2025_S87_Total_Transacciones</t>
  </si>
  <si>
    <t>2025_S87_Total_Ventas</t>
  </si>
  <si>
    <t>2025_S89_Salón_TQP</t>
  </si>
  <si>
    <t>2025_S89_Salón_Transacciones</t>
  </si>
  <si>
    <t>2025_S89_Salón_Ventas</t>
  </si>
  <si>
    <t>2025_S89_Total_TQP</t>
  </si>
  <si>
    <t>2025_S89_Total_Transacciones</t>
  </si>
  <si>
    <t>2025_S89_Total_Ventas</t>
  </si>
  <si>
    <t>2025_S89_UberEats_TQP</t>
  </si>
  <si>
    <t>2025_S89_UberEats_Transacciones</t>
  </si>
  <si>
    <t>2025_S89_UberEats_Ventas</t>
  </si>
  <si>
    <t>2025_S91_Salón_TQP</t>
  </si>
  <si>
    <t>2025_S91_Salón_Transacciones</t>
  </si>
  <si>
    <t>2025_S91_Salón_Ventas</t>
  </si>
  <si>
    <t>2025_S91_Total_TQP</t>
  </si>
  <si>
    <t>2025_S91_Total_Transacciones</t>
  </si>
  <si>
    <t>2025_S91_Total_Ventas</t>
  </si>
  <si>
    <t>2025_S91_UberEats_TQP</t>
  </si>
  <si>
    <t>2025_S91_UberEats_Transacciones</t>
  </si>
  <si>
    <t>2025_S91_UberEats_Ventas</t>
  </si>
  <si>
    <t>2025_V01_Salón_TQP</t>
  </si>
  <si>
    <t>2025_V01_Salón_Transacciones</t>
  </si>
  <si>
    <t>2025_V01_Salón_Ventas</t>
  </si>
  <si>
    <t>2025_V01_Total_TQP</t>
  </si>
  <si>
    <t>2025_V01_Total_Transacciones</t>
  </si>
  <si>
    <t>2025_V01_Total_Ventas</t>
  </si>
  <si>
    <t>2025_V01_UberEats_TQP</t>
  </si>
  <si>
    <t>2025_V01_UberEats_Transacciones</t>
  </si>
  <si>
    <t>2025_V01_UberEats_Ventas</t>
  </si>
  <si>
    <t>2025_V02_Salón_TQP</t>
  </si>
  <si>
    <t>2025_V02_Salón_Transacciones</t>
  </si>
  <si>
    <t>2025_V02_Salón_Ventas</t>
  </si>
  <si>
    <t>2025_V02_Total_TQP</t>
  </si>
  <si>
    <t>2025_V02_Total_Transacciones</t>
  </si>
  <si>
    <t>2025_V02_Total_Ventas</t>
  </si>
  <si>
    <t>2025_V02_UberEats_TQP</t>
  </si>
  <si>
    <t>2025_V02_UberEats_Transacciones</t>
  </si>
  <si>
    <t>2025_V02_UberEats_Ventas</t>
  </si>
  <si>
    <t>2025_V05_Salón_TQP</t>
  </si>
  <si>
    <t>2025_V05_Salón_Transacciones</t>
  </si>
  <si>
    <t>2025_V05_Salón_Ventas</t>
  </si>
  <si>
    <t>2025_V05_Total_TQP</t>
  </si>
  <si>
    <t>2025_V05_Total_Transacciones</t>
  </si>
  <si>
    <t>2025_V05_Total_Ventas</t>
  </si>
  <si>
    <t>2025_V05_UberEats_TQP</t>
  </si>
  <si>
    <t>2025_V05_UberEats_Transacciones</t>
  </si>
  <si>
    <t>2025_V05_UberEats_Ventas</t>
  </si>
  <si>
    <t>2025_V06_Salón_TQP</t>
  </si>
  <si>
    <t>2025_V06_Salón_Transacciones</t>
  </si>
  <si>
    <t>2025_V06_Salón_Ventas</t>
  </si>
  <si>
    <t>2025_V06_Total_TQP</t>
  </si>
  <si>
    <t>2025_V06_Total_Transacciones</t>
  </si>
  <si>
    <t>2025_V06_Total_Ventas</t>
  </si>
  <si>
    <t>2025_V06_UberEats_TQP</t>
  </si>
  <si>
    <t>2025_V06_UberEats_Transacciones</t>
  </si>
  <si>
    <t>2025_V06_UberEats_Ventas</t>
  </si>
  <si>
    <t>2025_V07_Salón_TQP</t>
  </si>
  <si>
    <t>2025_V07_Salón_Transacciones</t>
  </si>
  <si>
    <t>2025_V07_Salón_Ventas</t>
  </si>
  <si>
    <t>2025_V07_Total_TQP</t>
  </si>
  <si>
    <t>2025_V07_Total_Transacciones</t>
  </si>
  <si>
    <t>2025_V07_Total_Ventas</t>
  </si>
  <si>
    <t>2025_V07_UberEats_TQP</t>
  </si>
  <si>
    <t>2025_V07_UberEats_Transacciones</t>
  </si>
  <si>
    <t>2025_V07_UberEats_Ventas</t>
  </si>
  <si>
    <t>2025_V10_Salón_TQP</t>
  </si>
  <si>
    <t>2025_V10_Salón_Transacciones</t>
  </si>
  <si>
    <t>2025_V10_Salón_Ventas</t>
  </si>
  <si>
    <t>2025_V10_Total_TQP</t>
  </si>
  <si>
    <t>2025_V10_Total_Transacciones</t>
  </si>
  <si>
    <t>2025_V10_Total_Ventas</t>
  </si>
  <si>
    <t>2025_V10_UberEats_TQP</t>
  </si>
  <si>
    <t>2025_V10_UberEats_Transacciones</t>
  </si>
  <si>
    <t>2025_V10_UberEats_Ventas</t>
  </si>
  <si>
    <t>2025_V11_Salón_TQP</t>
  </si>
  <si>
    <t>2025_V11_Salón_Transacciones</t>
  </si>
  <si>
    <t>2025_V11_Salón_Ventas</t>
  </si>
  <si>
    <t>2025_V11_Total_TQP</t>
  </si>
  <si>
    <t>2025_V11_Total_Transacciones</t>
  </si>
  <si>
    <t>2025_V11_Total_Ventas</t>
  </si>
  <si>
    <t>2025_V11_UberEats_TQP</t>
  </si>
  <si>
    <t>2025_V11_UberEats_Transacciones</t>
  </si>
  <si>
    <t>2025_V11_UberEats_Ventas</t>
  </si>
  <si>
    <t>2025_V12_Salón_TQP</t>
  </si>
  <si>
    <t>2025_V12_Salón_Transacciones</t>
  </si>
  <si>
    <t>2025_V12_Salón_Ventas</t>
  </si>
  <si>
    <t>2025_V12_Total_TQP</t>
  </si>
  <si>
    <t>2025_V12_Total_Transacciones</t>
  </si>
  <si>
    <t>2025_V12_Total_Ventas</t>
  </si>
  <si>
    <t>2025_V12_UberEats_TQP</t>
  </si>
  <si>
    <t>2025_V12_UberEats_Transacciones</t>
  </si>
  <si>
    <t>2025_V12_UberEats_Ventas</t>
  </si>
  <si>
    <t>2025_V13_Salón_TQP</t>
  </si>
  <si>
    <t>2025_V13_Salón_Transacciones</t>
  </si>
  <si>
    <t>2025_V13_Salón_Ventas</t>
  </si>
  <si>
    <t>2025_V13_Total_TQP</t>
  </si>
  <si>
    <t>2025_V13_Total_Transacciones</t>
  </si>
  <si>
    <t>2025_V13_Total_Ventas</t>
  </si>
  <si>
    <t>2025_V13_UberEats_TQP</t>
  </si>
  <si>
    <t>2025_V13_UberEats_Transacciones</t>
  </si>
  <si>
    <t>2025_V13_UberEats_Ventas</t>
  </si>
  <si>
    <t>2025_V24_Salón_TQP</t>
  </si>
  <si>
    <t>2025_V24_Salón_Transacciones</t>
  </si>
  <si>
    <t>2025_V24_Salón_Ventas</t>
  </si>
  <si>
    <t>2025_V24_Total_TQP</t>
  </si>
  <si>
    <t>2025_V24_Total_Transacciones</t>
  </si>
  <si>
    <t>2025_V24_Total_Ventas</t>
  </si>
  <si>
    <t>2025_V24_UberEats_TQP</t>
  </si>
  <si>
    <t>2025_V24_UberEats_Transacciones</t>
  </si>
  <si>
    <t>2025_V24_UberEats_Ventas</t>
  </si>
  <si>
    <t>2025_Ventanitas_Salón_TQP</t>
  </si>
  <si>
    <t>2025_Ventanitas_Salón_Transacciones</t>
  </si>
  <si>
    <t>2025_Ventanitas_Salón_Ventas</t>
  </si>
  <si>
    <t>2025_Ventanitas_Total_TQP</t>
  </si>
  <si>
    <t>2025_Ventanitas_Total_Transacciones</t>
  </si>
  <si>
    <t>2025_Ventanitas_Total_Ventas</t>
  </si>
  <si>
    <t>2025_Ventanitas_UberEats_TQP</t>
  </si>
  <si>
    <t>2025_Ventanitas_UberEats_Transacciones</t>
  </si>
  <si>
    <t>2025_Ventanitas_UberEats_Ventas</t>
  </si>
  <si>
    <t>San Jose</t>
  </si>
  <si>
    <t>Oxigeno</t>
  </si>
  <si>
    <t>2025_S22_Express_Transacciones</t>
  </si>
  <si>
    <t>2025_S24_Express_Transacciones</t>
  </si>
  <si>
    <t>2025_S22_Express_TQP</t>
  </si>
  <si>
    <t>2025_S22_Express_Ventas</t>
  </si>
  <si>
    <t>2025_S24_Express_TQP</t>
  </si>
  <si>
    <t>2025_S24_Express_Ventas</t>
  </si>
  <si>
    <t>Ventanita San Isidro</t>
  </si>
  <si>
    <t>V26</t>
  </si>
  <si>
    <t>S44</t>
  </si>
  <si>
    <t>2026_Corporativo_AutoPollo_TQP</t>
  </si>
  <si>
    <t>2026_Corporativo_AutoPollo_Transacciones</t>
  </si>
  <si>
    <t>2026_Corporativo_AutoPollo_Ventas</t>
  </si>
  <si>
    <t>2026_Corporativo_ECommerce_TQP</t>
  </si>
  <si>
    <t>2026_Corporativo_ECommerce_Transacciones</t>
  </si>
  <si>
    <t>2026_Corporativo_ECommerce_Ventas</t>
  </si>
  <si>
    <t>2026_Corporativo_Express_TQP</t>
  </si>
  <si>
    <t>2026_Corporativo_Express_Transacciones</t>
  </si>
  <si>
    <t>2026_Corporativo_Express_Ventas</t>
  </si>
  <si>
    <t>2026_Corporativo_Llevar_TQP</t>
  </si>
  <si>
    <t>2026_Corporativo_Llevar_Transacciones</t>
  </si>
  <si>
    <t>2026_Corporativo_Llevar_Ventas</t>
  </si>
  <si>
    <t>2026_Corporativo_Salón_TQP</t>
  </si>
  <si>
    <t>2026_Corporativo_Salón_Transacciones</t>
  </si>
  <si>
    <t>2026_Corporativo_Salón_Ventas</t>
  </si>
  <si>
    <t>2026_Corporativo_Total_TQP</t>
  </si>
  <si>
    <t>2026_Corporativo_Total_Transacciones</t>
  </si>
  <si>
    <t>2026_Corporativo_Total_Ventas</t>
  </si>
  <si>
    <t>2026_Corporativo_UberEats_TQP</t>
  </si>
  <si>
    <t>2026_Corporativo_UberEats_Transacciones</t>
  </si>
  <si>
    <t>2026_Corporativo_UberEats_Ventas</t>
  </si>
  <si>
    <t>2026_G30_AutoPollo_TQP</t>
  </si>
  <si>
    <t>G30</t>
  </si>
  <si>
    <t>2026_G30_AutoPollo_Transacciones</t>
  </si>
  <si>
    <t>2026_G30_AutoPollo_Ventas</t>
  </si>
  <si>
    <t>2026_G30_ECommerce_TQP</t>
  </si>
  <si>
    <t>2026_G30_ECommerce_Transacciones</t>
  </si>
  <si>
    <t>2026_G30_ECommerce_Ventas</t>
  </si>
  <si>
    <t>2026_G30_Express_TQP</t>
  </si>
  <si>
    <t>2026_G30_Express_Transacciones</t>
  </si>
  <si>
    <t>2026_G30_Express_Ventas</t>
  </si>
  <si>
    <t>2026_G30_Llevar_TQP</t>
  </si>
  <si>
    <t>2026_G30_Llevar_Transacciones</t>
  </si>
  <si>
    <t>2026_G30_Llevar_Ventas</t>
  </si>
  <si>
    <t>2026_G30_Salón_TQP</t>
  </si>
  <si>
    <t>2026_G30_Salón_Transacciones</t>
  </si>
  <si>
    <t>2026_G30_Salón_Ventas</t>
  </si>
  <si>
    <t>2026_G30_Total_TQP</t>
  </si>
  <si>
    <t>2026_G30_Total_Transacciones</t>
  </si>
  <si>
    <t>2026_G30_Total_Ventas</t>
  </si>
  <si>
    <t>2026_G30_UberEats_TQP</t>
  </si>
  <si>
    <t>2026_G30_UberEats_Transacciones</t>
  </si>
  <si>
    <t>2026_G30_UberEats_Ventas</t>
  </si>
  <si>
    <t>2026_G31_AutoPollo_TQP</t>
  </si>
  <si>
    <t>G31</t>
  </si>
  <si>
    <t>Free Standing</t>
  </si>
  <si>
    <t>2026_G31_AutoPollo_Transacciones</t>
  </si>
  <si>
    <t>2026_G31_AutoPollo_Ventas</t>
  </si>
  <si>
    <t>2026_G31_ECommerce_TQP</t>
  </si>
  <si>
    <t>2026_G31_ECommerce_Transacciones</t>
  </si>
  <si>
    <t>2026_G31_ECommerce_Ventas</t>
  </si>
  <si>
    <t>2026_G31_Express_TQP</t>
  </si>
  <si>
    <t>2026_G31_Express_Transacciones</t>
  </si>
  <si>
    <t>2026_G31_Express_Ventas</t>
  </si>
  <si>
    <t>2026_G31_Llevar_TQP</t>
  </si>
  <si>
    <t>2026_G31_Llevar_Transacciones</t>
  </si>
  <si>
    <t>2026_G31_Llevar_Ventas</t>
  </si>
  <si>
    <t>2026_G31_Salón_TQP</t>
  </si>
  <si>
    <t>2026_G31_Salón_Transacciones</t>
  </si>
  <si>
    <t>2026_G31_Salón_Ventas</t>
  </si>
  <si>
    <t>2026_G31_Total_TQP</t>
  </si>
  <si>
    <t>2026_G31_Total_Transacciones</t>
  </si>
  <si>
    <t>2026_G31_Total_Ventas</t>
  </si>
  <si>
    <t>2026_G31_UberEats_TQP</t>
  </si>
  <si>
    <t>2026_G31_UberEats_Transacciones</t>
  </si>
  <si>
    <t>2026_G31_UberEats_Ventas</t>
  </si>
  <si>
    <t>2026_G32_AutoPollo_TQP</t>
  </si>
  <si>
    <t>G32</t>
  </si>
  <si>
    <t>Mall</t>
  </si>
  <si>
    <t>2026_G32_AutoPollo_Transacciones</t>
  </si>
  <si>
    <t>2026_G32_AutoPollo_Ventas</t>
  </si>
  <si>
    <t>2026_G32_ECommerce_TQP</t>
  </si>
  <si>
    <t>2026_G32_ECommerce_Transacciones</t>
  </si>
  <si>
    <t>2026_G32_ECommerce_Ventas</t>
  </si>
  <si>
    <t>2026_G32_Express_TQP</t>
  </si>
  <si>
    <t>2026_G32_Express_Transacciones</t>
  </si>
  <si>
    <t>2026_G32_Express_Ventas</t>
  </si>
  <si>
    <t>2026_G32_Llevar_TQP</t>
  </si>
  <si>
    <t>2026_G32_Llevar_Transacciones</t>
  </si>
  <si>
    <t>2026_G32_Llevar_Ventas</t>
  </si>
  <si>
    <t>2026_G32_Salón_TQP</t>
  </si>
  <si>
    <t>2026_G32_Salón_Transacciones</t>
  </si>
  <si>
    <t>2026_G32_Salón_Ventas</t>
  </si>
  <si>
    <t>2026_G32_Total_TQP</t>
  </si>
  <si>
    <t>2026_G32_Total_Transacciones</t>
  </si>
  <si>
    <t>2026_G32_Total_Ventas</t>
  </si>
  <si>
    <t>2026_G32_UberEats_TQP</t>
  </si>
  <si>
    <t>2026_G32_UberEats_Transacciones</t>
  </si>
  <si>
    <t>2026_G32_UberEats_Ventas</t>
  </si>
  <si>
    <t>2026_G33_AutoPollo_TQP</t>
  </si>
  <si>
    <t>G33</t>
  </si>
  <si>
    <t>Plaza</t>
  </si>
  <si>
    <t>2026_G33_AutoPollo_Transacciones</t>
  </si>
  <si>
    <t>2026_G33_AutoPollo_Ventas</t>
  </si>
  <si>
    <t>2026_G33_ECommerce_TQP</t>
  </si>
  <si>
    <t>2026_G33_ECommerce_Transacciones</t>
  </si>
  <si>
    <t>2026_G33_ECommerce_Ventas</t>
  </si>
  <si>
    <t>2026_G33_Express_TQP</t>
  </si>
  <si>
    <t>2026_G33_Express_Transacciones</t>
  </si>
  <si>
    <t>2026_G33_Express_Ventas</t>
  </si>
  <si>
    <t>2026_G33_Llevar_TQP</t>
  </si>
  <si>
    <t>2026_G33_Llevar_Transacciones</t>
  </si>
  <si>
    <t>2026_G33_Llevar_Ventas</t>
  </si>
  <si>
    <t>2026_G33_Salón_TQP</t>
  </si>
  <si>
    <t>2026_G33_Salón_Transacciones</t>
  </si>
  <si>
    <t>2026_G33_Salón_Ventas</t>
  </si>
  <si>
    <t>2026_G33_Total_TQP</t>
  </si>
  <si>
    <t>2026_G33_Total_Transacciones</t>
  </si>
  <si>
    <t>2026_G33_Total_Ventas</t>
  </si>
  <si>
    <t>2026_G33_UberEats_TQP</t>
  </si>
  <si>
    <t>2026_G33_UberEats_Transacciones</t>
  </si>
  <si>
    <t>2026_G33_UberEats_Ventas</t>
  </si>
  <si>
    <t>2026_G34_AutoPollo_TQP</t>
  </si>
  <si>
    <t>G34</t>
  </si>
  <si>
    <t>2026_G34_AutoPollo_Transacciones</t>
  </si>
  <si>
    <t>2026_G34_AutoPollo_Ventas</t>
  </si>
  <si>
    <t>2026_G34_ECommerce_TQP</t>
  </si>
  <si>
    <t>2026_G34_ECommerce_Transacciones</t>
  </si>
  <si>
    <t>2026_G34_ECommerce_Ventas</t>
  </si>
  <si>
    <t>2026_G34_Express_TQP</t>
  </si>
  <si>
    <t>2026_G34_Express_Transacciones</t>
  </si>
  <si>
    <t>2026_G34_Express_Ventas</t>
  </si>
  <si>
    <t>2026_G34_Llevar_TQP</t>
  </si>
  <si>
    <t>2026_G34_Llevar_Transacciones</t>
  </si>
  <si>
    <t>2026_G34_Llevar_Ventas</t>
  </si>
  <si>
    <t>2026_G34_Salón_TQP</t>
  </si>
  <si>
    <t>2026_G34_Salón_Transacciones</t>
  </si>
  <si>
    <t>2026_G34_Salón_Ventas</t>
  </si>
  <si>
    <t>2026_G34_Total_TQP</t>
  </si>
  <si>
    <t>2026_G34_Total_Transacciones</t>
  </si>
  <si>
    <t>2026_G34_Total_Ventas</t>
  </si>
  <si>
    <t>2026_G34_UberEats_TQP</t>
  </si>
  <si>
    <t>2026_G34_UberEats_Transacciones</t>
  </si>
  <si>
    <t>2026_G34_UberEats_Ventas</t>
  </si>
  <si>
    <t>2026_G35_AutoPollo_TQP</t>
  </si>
  <si>
    <t>G35</t>
  </si>
  <si>
    <t>2026_G35_AutoPollo_Transacciones</t>
  </si>
  <si>
    <t>2026_G35_AutoPollo_Ventas</t>
  </si>
  <si>
    <t>2026_G35_ECommerce_TQP</t>
  </si>
  <si>
    <t>2026_G35_ECommerce_Transacciones</t>
  </si>
  <si>
    <t>2026_G35_ECommerce_Ventas</t>
  </si>
  <si>
    <t>2026_G35_Express_TQP</t>
  </si>
  <si>
    <t>2026_G35_Express_Transacciones</t>
  </si>
  <si>
    <t>2026_G35_Express_Ventas</t>
  </si>
  <si>
    <t>2026_G35_Llevar_TQP</t>
  </si>
  <si>
    <t>2026_G35_Llevar_Transacciones</t>
  </si>
  <si>
    <t>2026_G35_Llevar_Ventas</t>
  </si>
  <si>
    <t>2026_G35_Salón_TQP</t>
  </si>
  <si>
    <t>2026_G35_Salón_Transacciones</t>
  </si>
  <si>
    <t>2026_G35_Salón_Ventas</t>
  </si>
  <si>
    <t>2026_G35_Total_TQP</t>
  </si>
  <si>
    <t>2026_G35_Total_Transacciones</t>
  </si>
  <si>
    <t>2026_G35_Total_Ventas</t>
  </si>
  <si>
    <t>2026_G35_UberEats_TQP</t>
  </si>
  <si>
    <t>2026_G35_UberEats_Transacciones</t>
  </si>
  <si>
    <t>2026_G35_UberEats_Ventas</t>
  </si>
  <si>
    <t>2026_G36_AutoPollo_TQP</t>
  </si>
  <si>
    <t>G36</t>
  </si>
  <si>
    <t>Zona 1</t>
  </si>
  <si>
    <t>2026_G36_AutoPollo_Transacciones</t>
  </si>
  <si>
    <t>2026_G36_AutoPollo_Ventas</t>
  </si>
  <si>
    <t>2026_G36_ECommerce_TQP</t>
  </si>
  <si>
    <t>2026_G36_ECommerce_Transacciones</t>
  </si>
  <si>
    <t>2026_G36_ECommerce_Ventas</t>
  </si>
  <si>
    <t>2026_G36_Express_TQP</t>
  </si>
  <si>
    <t>2026_G36_Express_Transacciones</t>
  </si>
  <si>
    <t>2026_G36_Express_Ventas</t>
  </si>
  <si>
    <t>2026_G36_Llevar_TQP</t>
  </si>
  <si>
    <t>2026_G36_Llevar_Transacciones</t>
  </si>
  <si>
    <t>2026_G36_Llevar_Ventas</t>
  </si>
  <si>
    <t>2026_G36_Salón_TQP</t>
  </si>
  <si>
    <t>2026_G36_Salón_Transacciones</t>
  </si>
  <si>
    <t>2026_G36_Salón_Ventas</t>
  </si>
  <si>
    <t>2026_G36_Total_TQP</t>
  </si>
  <si>
    <t>2026_G36_Total_Transacciones</t>
  </si>
  <si>
    <t>2026_G36_Total_Ventas</t>
  </si>
  <si>
    <t>2026_G36_UberEats_TQP</t>
  </si>
  <si>
    <t>2026_G36_UberEats_Transacciones</t>
  </si>
  <si>
    <t>2026_G36_UberEats_Ventas</t>
  </si>
  <si>
    <t>2026_G37_AutoPollo_TQP</t>
  </si>
  <si>
    <t>G37</t>
  </si>
  <si>
    <t>Zona 2</t>
  </si>
  <si>
    <t>2026_G37_AutoPollo_Transacciones</t>
  </si>
  <si>
    <t>2026_G37_AutoPollo_Ventas</t>
  </si>
  <si>
    <t>2026_G37_ECommerce_TQP</t>
  </si>
  <si>
    <t>2026_G37_ECommerce_Transacciones</t>
  </si>
  <si>
    <t>2026_G37_ECommerce_Ventas</t>
  </si>
  <si>
    <t>2026_G37_Express_TQP</t>
  </si>
  <si>
    <t>2026_G37_Express_Transacciones</t>
  </si>
  <si>
    <t>2026_G37_Express_Ventas</t>
  </si>
  <si>
    <t>2026_G37_Llevar_TQP</t>
  </si>
  <si>
    <t>2026_G37_Llevar_Transacciones</t>
  </si>
  <si>
    <t>2026_G37_Llevar_Ventas</t>
  </si>
  <si>
    <t>2026_G37_Salón_TQP</t>
  </si>
  <si>
    <t>2026_G37_Salón_Transacciones</t>
  </si>
  <si>
    <t>2026_G37_Salón_Ventas</t>
  </si>
  <si>
    <t>2026_G37_Total_TQP</t>
  </si>
  <si>
    <t>2026_G37_Total_Transacciones</t>
  </si>
  <si>
    <t>2026_G37_Total_Ventas</t>
  </si>
  <si>
    <t>2026_G37_UberEats_TQP</t>
  </si>
  <si>
    <t>2026_G37_UberEats_Transacciones</t>
  </si>
  <si>
    <t>2026_G37_UberEats_Ventas</t>
  </si>
  <si>
    <t>2026_G38_AutoPollo_TQP</t>
  </si>
  <si>
    <t>G38</t>
  </si>
  <si>
    <t>Zona 3</t>
  </si>
  <si>
    <t>2026_G38_AutoPollo_Transacciones</t>
  </si>
  <si>
    <t>2026_G38_AutoPollo_Ventas</t>
  </si>
  <si>
    <t>2026_G38_ECommerce_TQP</t>
  </si>
  <si>
    <t>2026_G38_ECommerce_Transacciones</t>
  </si>
  <si>
    <t>2026_G38_ECommerce_Ventas</t>
  </si>
  <si>
    <t>2026_G38_Express_TQP</t>
  </si>
  <si>
    <t>2026_G38_Express_Transacciones</t>
  </si>
  <si>
    <t>2026_G38_Express_Ventas</t>
  </si>
  <si>
    <t>2026_G38_Llevar_TQP</t>
  </si>
  <si>
    <t>2026_G38_Llevar_Transacciones</t>
  </si>
  <si>
    <t>2026_G38_Llevar_Ventas</t>
  </si>
  <si>
    <t>2026_G38_Salón_TQP</t>
  </si>
  <si>
    <t>2026_G38_Salón_Transacciones</t>
  </si>
  <si>
    <t>2026_G38_Salón_Ventas</t>
  </si>
  <si>
    <t>2026_G38_Total_TQP</t>
  </si>
  <si>
    <t>2026_G38_Total_Transacciones</t>
  </si>
  <si>
    <t>2026_G38_Total_Ventas</t>
  </si>
  <si>
    <t>2026_G38_UberEats_TQP</t>
  </si>
  <si>
    <t>2026_G38_UberEats_Transacciones</t>
  </si>
  <si>
    <t>2026_G38_UberEats_Ventas</t>
  </si>
  <si>
    <t>2026_G39_AutoPollo_TQP</t>
  </si>
  <si>
    <t>G39</t>
  </si>
  <si>
    <t>Nuevos</t>
  </si>
  <si>
    <t>2026_G39_AutoPollo_Transacciones</t>
  </si>
  <si>
    <t>2026_G39_AutoPollo_Ventas</t>
  </si>
  <si>
    <t>2026_G39_ECommerce_TQP</t>
  </si>
  <si>
    <t>2026_G39_ECommerce_Transacciones</t>
  </si>
  <si>
    <t>2026_G39_ECommerce_Ventas</t>
  </si>
  <si>
    <t>2026_G39_Express_TQP</t>
  </si>
  <si>
    <t>2026_G39_Express_Transacciones</t>
  </si>
  <si>
    <t>2026_G39_Express_Ventas</t>
  </si>
  <si>
    <t>2026_G39_Llevar_TQP</t>
  </si>
  <si>
    <t>2026_G39_Llevar_Transacciones</t>
  </si>
  <si>
    <t>2026_G39_Llevar_Ventas</t>
  </si>
  <si>
    <t>2026_G39_Salón_TQP</t>
  </si>
  <si>
    <t>2026_G39_Salón_Transacciones</t>
  </si>
  <si>
    <t>2026_G39_Salón_Ventas</t>
  </si>
  <si>
    <t>2026_G39_Total_TQP</t>
  </si>
  <si>
    <t>2026_G39_Total_Transacciones</t>
  </si>
  <si>
    <t>2026_G39_Total_Ventas</t>
  </si>
  <si>
    <t>2026_G39_UberEats_TQP</t>
  </si>
  <si>
    <t>2026_G39_UberEats_Transacciones</t>
  </si>
  <si>
    <t>2026_G39_UberEats_Ventas</t>
  </si>
  <si>
    <t>2026_Restaurantes Nuevos_AutoPollo_TQP</t>
  </si>
  <si>
    <t>2026_Restaurantes Nuevos_AutoPollo_Transacciones</t>
  </si>
  <si>
    <t>2026_Restaurantes Nuevos_AutoPollo_Ventas</t>
  </si>
  <si>
    <t>2026_Restaurantes Nuevos_ECommerce_TQP</t>
  </si>
  <si>
    <t>2026_Restaurantes Nuevos_ECommerce_Transacciones</t>
  </si>
  <si>
    <t>2026_Restaurantes Nuevos_ECommerce_Ventas</t>
  </si>
  <si>
    <t>2026_Restaurantes Nuevos_Express_TQP</t>
  </si>
  <si>
    <t>2026_Restaurantes Nuevos_Express_Transacciones</t>
  </si>
  <si>
    <t>2026_Restaurantes Nuevos_Express_Ventas</t>
  </si>
  <si>
    <t>2026_Restaurantes Nuevos_Llevar_TQP</t>
  </si>
  <si>
    <t>2026_Restaurantes Nuevos_Llevar_Transacciones</t>
  </si>
  <si>
    <t>2026_Restaurantes Nuevos_Llevar_Ventas</t>
  </si>
  <si>
    <t>2026_Restaurantes Nuevos_Salón_TQP</t>
  </si>
  <si>
    <t>2026_Restaurantes Nuevos_Salón_Transacciones</t>
  </si>
  <si>
    <t>2026_Restaurantes Nuevos_Salón_Ventas</t>
  </si>
  <si>
    <t>2026_Restaurantes Nuevos_Total_TQP</t>
  </si>
  <si>
    <t>2026_Restaurantes Nuevos_Total_Transacciones</t>
  </si>
  <si>
    <t>2026_Restaurantes Nuevos_Total_Ventas</t>
  </si>
  <si>
    <t>2026_Restaurantes Nuevos_UberEats_TQP</t>
  </si>
  <si>
    <t>2026_Restaurantes Nuevos_UberEats_Transacciones</t>
  </si>
  <si>
    <t>2026_Restaurantes Nuevos_UberEats_Ventas</t>
  </si>
  <si>
    <t>2026_Restaurantes_AutoPollo_TQP</t>
  </si>
  <si>
    <t>2026_Restaurantes_AutoPollo_Transacciones</t>
  </si>
  <si>
    <t>2026_Restaurantes_AutoPollo_Ventas</t>
  </si>
  <si>
    <t>2026_Restaurantes_ECommerce_Ventas</t>
  </si>
  <si>
    <t>2026_Restaurantes_Express_TQP</t>
  </si>
  <si>
    <t>2026_Restaurantes_Express_Transacciones</t>
  </si>
  <si>
    <t>2026_Restaurantes_Express_Ventas</t>
  </si>
  <si>
    <t>2026_Restaurantes_Llevar_TQP</t>
  </si>
  <si>
    <t>2026_Restaurantes_Llevar_Transacciones</t>
  </si>
  <si>
    <t>2026_Restaurantes_Llevar_Ventas</t>
  </si>
  <si>
    <t>2026_Restaurantes_Salón_TQP</t>
  </si>
  <si>
    <t>2026_Restaurantes_Salón_Transacciones</t>
  </si>
  <si>
    <t>2026_Restaurantes_Salón_Ventas</t>
  </si>
  <si>
    <t>2026_Restaurantes_Total_TQP</t>
  </si>
  <si>
    <t>2026_Restaurantes_Total_Transacciones</t>
  </si>
  <si>
    <t>2026_Restaurantes_Total_Ventas</t>
  </si>
  <si>
    <t>2026_Restaurantes_UberEats_TQP</t>
  </si>
  <si>
    <t>2026_Restaurantes_UberEats_Transacciones</t>
  </si>
  <si>
    <t>2026_Restaurantes_UberEats_Ventas</t>
  </si>
  <si>
    <t>2026_S01_AutoPollo_TQP</t>
  </si>
  <si>
    <t>2026_S01_AutoPollo_Transacciones</t>
  </si>
  <si>
    <t>2026_S01_AutoPollo_Ventas</t>
  </si>
  <si>
    <t>2026_S01_ECommerce_TQP</t>
  </si>
  <si>
    <t>2026_S01_ECommerce_Transacciones</t>
  </si>
  <si>
    <t>2026_S01_ECommerce_Ventas</t>
  </si>
  <si>
    <t>2026_S01_Express_TQP</t>
  </si>
  <si>
    <t>2026_S01_Express_Transacciones</t>
  </si>
  <si>
    <t>2026_S01_Express_Ventas</t>
  </si>
  <si>
    <t>2026_S01_Llevar_TQP</t>
  </si>
  <si>
    <t>2026_S01_Llevar_Transacciones</t>
  </si>
  <si>
    <t>2026_S01_Llevar_Ventas</t>
  </si>
  <si>
    <t>2026_S01_Salón_TQP</t>
  </si>
  <si>
    <t>2026_S01_Salón_Transacciones</t>
  </si>
  <si>
    <t>2026_S01_Salón_Ventas</t>
  </si>
  <si>
    <t>2026_S01_Total_TQP</t>
  </si>
  <si>
    <t>2026_S01_Total_Transacciones</t>
  </si>
  <si>
    <t>2026_S01_Total_Ventas</t>
  </si>
  <si>
    <t>2026_S01_UberEats_TQP</t>
  </si>
  <si>
    <t>2026_S01_UberEats_Transacciones</t>
  </si>
  <si>
    <t>2026_S01_UberEats_Ventas</t>
  </si>
  <si>
    <t>2026_S04_AutoPollo_TQP</t>
  </si>
  <si>
    <t>2026_S04_AutoPollo_Transacciones</t>
  </si>
  <si>
    <t>2026_S04_AutoPollo_Ventas</t>
  </si>
  <si>
    <t>2026_S04_ECommerce_TQP</t>
  </si>
  <si>
    <t>2026_S04_ECommerce_Transacciones</t>
  </si>
  <si>
    <t>2026_S04_ECommerce_Ventas</t>
  </si>
  <si>
    <t>2026_S04_Express_TQP</t>
  </si>
  <si>
    <t>2026_S04_Express_Transacciones</t>
  </si>
  <si>
    <t>2026_S04_Express_Ventas</t>
  </si>
  <si>
    <t>2026_S04_Llevar_TQP</t>
  </si>
  <si>
    <t>2026_S04_Llevar_Transacciones</t>
  </si>
  <si>
    <t>2026_S04_Llevar_Ventas</t>
  </si>
  <si>
    <t>2026_S04_Salón_TQP</t>
  </si>
  <si>
    <t>2026_S04_Salón_Transacciones</t>
  </si>
  <si>
    <t>2026_S04_Salón_Ventas</t>
  </si>
  <si>
    <t>2026_S04_Total_TQP</t>
  </si>
  <si>
    <t>2026_S04_Total_Transacciones</t>
  </si>
  <si>
    <t>2026_S04_Total_Ventas</t>
  </si>
  <si>
    <t>2026_S04_UberEats_TQP</t>
  </si>
  <si>
    <t>2026_S04_UberEats_Transacciones</t>
  </si>
  <si>
    <t>2026_S04_UberEats_Ventas</t>
  </si>
  <si>
    <t>2026_S06_AutoPollo_TQP</t>
  </si>
  <si>
    <t>Multiplaza</t>
  </si>
  <si>
    <t>2026_S06_AutoPollo_Transacciones</t>
  </si>
  <si>
    <t>2026_S06_AutoPollo_Ventas</t>
  </si>
  <si>
    <t>2026_S06_ECommerce_TQP</t>
  </si>
  <si>
    <t>2026_S06_ECommerce_Transacciones</t>
  </si>
  <si>
    <t>2026_S06_ECommerce_Ventas</t>
  </si>
  <si>
    <t>2026_S06_Express_TQP</t>
  </si>
  <si>
    <t>2026_S06_Express_Transacciones</t>
  </si>
  <si>
    <t>2026_S06_Express_Ventas</t>
  </si>
  <si>
    <t>2026_S06_Llevar_TQP</t>
  </si>
  <si>
    <t>2026_S06_Llevar_Transacciones</t>
  </si>
  <si>
    <t>2026_S06_Llevar_Ventas</t>
  </si>
  <si>
    <t>2026_S06_Salón_TQP</t>
  </si>
  <si>
    <t>2026_S06_Salón_Transacciones</t>
  </si>
  <si>
    <t>2026_S06_Salón_Ventas</t>
  </si>
  <si>
    <t>2026_S06_Total_TQP</t>
  </si>
  <si>
    <t>2026_S06_Total_Transacciones</t>
  </si>
  <si>
    <t>2026_S06_Total_Ventas</t>
  </si>
  <si>
    <t>2026_S06_UberEats_TQP</t>
  </si>
  <si>
    <t>2026_S06_UberEats_Transacciones</t>
  </si>
  <si>
    <t>2026_S06_UberEats_Ventas</t>
  </si>
  <si>
    <t>2026_S08_AutoPollo_TQP</t>
  </si>
  <si>
    <t>2026_S08_AutoPollo_Transacciones</t>
  </si>
  <si>
    <t>2026_S08_AutoPollo_Ventas</t>
  </si>
  <si>
    <t>2026_S08_ECommerce_TQP</t>
  </si>
  <si>
    <t>2026_S08_ECommerce_Transacciones</t>
  </si>
  <si>
    <t>2026_S08_ECommerce_Ventas</t>
  </si>
  <si>
    <t>2026_S08_Express_TQP</t>
  </si>
  <si>
    <t>2026_S08_Express_Transacciones</t>
  </si>
  <si>
    <t>2026_S08_Express_Ventas</t>
  </si>
  <si>
    <t>2026_S08_Llevar_TQP</t>
  </si>
  <si>
    <t>2026_S08_Llevar_Transacciones</t>
  </si>
  <si>
    <t>2026_S08_Llevar_Ventas</t>
  </si>
  <si>
    <t>2026_S08_Salón_TQP</t>
  </si>
  <si>
    <t>2026_S08_Salón_Transacciones</t>
  </si>
  <si>
    <t>2026_S08_Salón_Ventas</t>
  </si>
  <si>
    <t>2026_S08_Total_TQP</t>
  </si>
  <si>
    <t>2026_S08_Total_Transacciones</t>
  </si>
  <si>
    <t>2026_S08_Total_Ventas</t>
  </si>
  <si>
    <t>2026_S08_UberEats_TQP</t>
  </si>
  <si>
    <t>2026_S08_UberEats_Transacciones</t>
  </si>
  <si>
    <t>2026_S08_UberEats_Ventas</t>
  </si>
  <si>
    <t>2026_S09_AutoPollo_TQP</t>
  </si>
  <si>
    <t>Escazu</t>
  </si>
  <si>
    <t>2026_S09_AutoPollo_Transacciones</t>
  </si>
  <si>
    <t>2026_S09_AutoPollo_Ventas</t>
  </si>
  <si>
    <t>2026_S09_ECommerce_TQP</t>
  </si>
  <si>
    <t>2026_S09_ECommerce_Transacciones</t>
  </si>
  <si>
    <t>2026_S09_ECommerce_Ventas</t>
  </si>
  <si>
    <t>2026_S09_Express_TQP</t>
  </si>
  <si>
    <t>2026_S09_Express_Transacciones</t>
  </si>
  <si>
    <t>2026_S09_Express_Ventas</t>
  </si>
  <si>
    <t>2026_S09_Llevar_TQP</t>
  </si>
  <si>
    <t>2026_S09_Llevar_Transacciones</t>
  </si>
  <si>
    <t>2026_S09_Llevar_Ventas</t>
  </si>
  <si>
    <t>2026_S09_Salón_TQP</t>
  </si>
  <si>
    <t>2026_S09_Salón_Transacciones</t>
  </si>
  <si>
    <t>2026_S09_Salón_Ventas</t>
  </si>
  <si>
    <t>2026_S09_Total_TQP</t>
  </si>
  <si>
    <t>2026_S09_Total_Transacciones</t>
  </si>
  <si>
    <t>2026_S09_Total_Ventas</t>
  </si>
  <si>
    <t>2026_S09_UberEats_TQP</t>
  </si>
  <si>
    <t>2026_S09_UberEats_Transacciones</t>
  </si>
  <si>
    <t>2026_S09_UberEats_Ventas</t>
  </si>
  <si>
    <t>2026_S10_AutoPollo_TQP</t>
  </si>
  <si>
    <t>2026_S10_AutoPollo_Transacciones</t>
  </si>
  <si>
    <t>2026_S10_AutoPollo_Ventas</t>
  </si>
  <si>
    <t>2026_S10_ECommerce_TQP</t>
  </si>
  <si>
    <t>2026_S10_ECommerce_Transacciones</t>
  </si>
  <si>
    <t>2026_S10_ECommerce_Ventas</t>
  </si>
  <si>
    <t>2026_S10_Express_TQP</t>
  </si>
  <si>
    <t>2026_S10_Express_Transacciones</t>
  </si>
  <si>
    <t>2026_S10_Express_Ventas</t>
  </si>
  <si>
    <t>2026_S10_Llevar_TQP</t>
  </si>
  <si>
    <t>2026_S10_Llevar_Transacciones</t>
  </si>
  <si>
    <t>2026_S10_Llevar_Ventas</t>
  </si>
  <si>
    <t>2026_S10_Salón_TQP</t>
  </si>
  <si>
    <t>2026_S10_Salón_Transacciones</t>
  </si>
  <si>
    <t>2026_S10_Salón_Ventas</t>
  </si>
  <si>
    <t>2026_S10_Total_TQP</t>
  </si>
  <si>
    <t>2026_S10_Total_Transacciones</t>
  </si>
  <si>
    <t>2026_S10_Total_Ventas</t>
  </si>
  <si>
    <t>2026_S10_UberEats_TQP</t>
  </si>
  <si>
    <t>2026_S10_UberEats_Transacciones</t>
  </si>
  <si>
    <t>2026_S10_UberEats_Ventas</t>
  </si>
  <si>
    <t>2026_S12_AutoPollo_TQP</t>
  </si>
  <si>
    <t>2026_S12_AutoPollo_Transacciones</t>
  </si>
  <si>
    <t>2026_S12_AutoPollo_Ventas</t>
  </si>
  <si>
    <t>2026_S12_ECommerce_TQP</t>
  </si>
  <si>
    <t>2026_S12_ECommerce_Transacciones</t>
  </si>
  <si>
    <t>2026_S12_ECommerce_Ventas</t>
  </si>
  <si>
    <t>2026_S12_Express_TQP</t>
  </si>
  <si>
    <t>2026_S12_Express_Transacciones</t>
  </si>
  <si>
    <t>2026_S12_Express_Ventas</t>
  </si>
  <si>
    <t>2026_S12_Llevar_TQP</t>
  </si>
  <si>
    <t>2026_S12_Llevar_Transacciones</t>
  </si>
  <si>
    <t>2026_S12_Llevar_Ventas</t>
  </si>
  <si>
    <t>2026_S12_Salón_TQP</t>
  </si>
  <si>
    <t>2026_S12_Salón_Transacciones</t>
  </si>
  <si>
    <t>2026_S12_Salón_Ventas</t>
  </si>
  <si>
    <t>2026_S12_Total_TQP</t>
  </si>
  <si>
    <t>2026_S12_Total_Transacciones</t>
  </si>
  <si>
    <t>2026_S12_Total_Ventas</t>
  </si>
  <si>
    <t>2026_S12_UberEats_TQP</t>
  </si>
  <si>
    <t>2026_S12_UberEats_Transacciones</t>
  </si>
  <si>
    <t>2026_S12_UberEats_Ventas</t>
  </si>
  <si>
    <t>2026_S13_AutoPollo_TQP</t>
  </si>
  <si>
    <t>2026_S13_AutoPollo_Transacciones</t>
  </si>
  <si>
    <t>2026_S13_AutoPollo_Ventas</t>
  </si>
  <si>
    <t>2026_S13_ECommerce_TQP</t>
  </si>
  <si>
    <t>2026_S13_ECommerce_Transacciones</t>
  </si>
  <si>
    <t>2026_S13_ECommerce_Ventas</t>
  </si>
  <si>
    <t>2026_S13_Express_TQP</t>
  </si>
  <si>
    <t>2026_S13_Express_Transacciones</t>
  </si>
  <si>
    <t>2026_S13_Express_Ventas</t>
  </si>
  <si>
    <t>2026_S13_Llevar_TQP</t>
  </si>
  <si>
    <t>2026_S13_Llevar_Transacciones</t>
  </si>
  <si>
    <t>2026_S13_Llevar_Ventas</t>
  </si>
  <si>
    <t>2026_S13_Salón_TQP</t>
  </si>
  <si>
    <t>2026_S13_Salón_Transacciones</t>
  </si>
  <si>
    <t>2026_S13_Salón_Ventas</t>
  </si>
  <si>
    <t>2026_S13_Total_TQP</t>
  </si>
  <si>
    <t>2026_S13_Total_Transacciones</t>
  </si>
  <si>
    <t>2026_S13_Total_Ventas</t>
  </si>
  <si>
    <t>2026_S13_UberEats_TQP</t>
  </si>
  <si>
    <t>2026_S13_UberEats_Transacciones</t>
  </si>
  <si>
    <t>2026_S13_UberEats_Ventas</t>
  </si>
  <si>
    <t>2026_S14_AutoPollo_TQP</t>
  </si>
  <si>
    <t>2026_S14_AutoPollo_Transacciones</t>
  </si>
  <si>
    <t>2026_S14_AutoPollo_Ventas</t>
  </si>
  <si>
    <t>2026_S14_ECommerce_TQP</t>
  </si>
  <si>
    <t>2026_S14_ECommerce_Transacciones</t>
  </si>
  <si>
    <t>2026_S14_ECommerce_Ventas</t>
  </si>
  <si>
    <t>2026_S14_Express_TQP</t>
  </si>
  <si>
    <t>2026_S14_Express_Transacciones</t>
  </si>
  <si>
    <t>2026_S14_Express_Ventas</t>
  </si>
  <si>
    <t>2026_S14_Llevar_TQP</t>
  </si>
  <si>
    <t>2026_S14_Llevar_Transacciones</t>
  </si>
  <si>
    <t>2026_S14_Llevar_Ventas</t>
  </si>
  <si>
    <t>2026_S14_Salón_TQP</t>
  </si>
  <si>
    <t>2026_S14_Salón_Transacciones</t>
  </si>
  <si>
    <t>2026_S14_Salón_Ventas</t>
  </si>
  <si>
    <t>2026_S14_Total_TQP</t>
  </si>
  <si>
    <t>2026_S14_Total_Transacciones</t>
  </si>
  <si>
    <t>2026_S14_Total_Ventas</t>
  </si>
  <si>
    <t>2026_S14_UberEats_TQP</t>
  </si>
  <si>
    <t>2026_S14_UberEats_Transacciones</t>
  </si>
  <si>
    <t>2026_S14_UberEats_Ventas</t>
  </si>
  <si>
    <t>2026_S19_AutoPollo_TQP</t>
  </si>
  <si>
    <t>2026_S19_AutoPollo_Transacciones</t>
  </si>
  <si>
    <t>2026_S19_AutoPollo_Ventas</t>
  </si>
  <si>
    <t>2026_S19_ECommerce_TQP</t>
  </si>
  <si>
    <t>2026_S19_ECommerce_Transacciones</t>
  </si>
  <si>
    <t>2026_S19_ECommerce_Ventas</t>
  </si>
  <si>
    <t>2026_S19_Express_TQP</t>
  </si>
  <si>
    <t>2026_S19_Express_Transacciones</t>
  </si>
  <si>
    <t>2026_S19_Express_Ventas</t>
  </si>
  <si>
    <t>2026_S19_Llevar_TQP</t>
  </si>
  <si>
    <t>2026_S19_Llevar_Transacciones</t>
  </si>
  <si>
    <t>2026_S19_Llevar_Ventas</t>
  </si>
  <si>
    <t>2026_S19_Salón_TQP</t>
  </si>
  <si>
    <t>2026_S19_Salón_Transacciones</t>
  </si>
  <si>
    <t>2026_S19_Salón_Ventas</t>
  </si>
  <si>
    <t>2026_S19_Total_TQP</t>
  </si>
  <si>
    <t>2026_S19_Total_Transacciones</t>
  </si>
  <si>
    <t>2026_S19_Total_Ventas</t>
  </si>
  <si>
    <t>2026_S19_UberEats_TQP</t>
  </si>
  <si>
    <t>2026_S19_UberEats_Transacciones</t>
  </si>
  <si>
    <t>2026_S19_UberEats_Ventas</t>
  </si>
  <si>
    <t>2026_S20_AutoPollo_TQP</t>
  </si>
  <si>
    <t>2026_S20_AutoPollo_Transacciones</t>
  </si>
  <si>
    <t>2026_S20_AutoPollo_Ventas</t>
  </si>
  <si>
    <t>2026_S20_ECommerce_TQP</t>
  </si>
  <si>
    <t>2026_S20_ECommerce_Transacciones</t>
  </si>
  <si>
    <t>2026_S20_ECommerce_Ventas</t>
  </si>
  <si>
    <t>2026_S20_Express_TQP</t>
  </si>
  <si>
    <t>2026_S20_Express_Transacciones</t>
  </si>
  <si>
    <t>2026_S20_Express_Ventas</t>
  </si>
  <si>
    <t>2026_S20_Llevar_TQP</t>
  </si>
  <si>
    <t>2026_S20_Llevar_Transacciones</t>
  </si>
  <si>
    <t>2026_S20_Llevar_Ventas</t>
  </si>
  <si>
    <t>2026_S20_Salón_TQP</t>
  </si>
  <si>
    <t>2026_S20_Salón_Transacciones</t>
  </si>
  <si>
    <t>2026_S20_Salón_Ventas</t>
  </si>
  <si>
    <t>2026_S20_Total_TQP</t>
  </si>
  <si>
    <t>2026_S20_Total_Transacciones</t>
  </si>
  <si>
    <t>2026_S20_Total_Ventas</t>
  </si>
  <si>
    <t>2026_S20_UberEats_TQP</t>
  </si>
  <si>
    <t>2026_S20_UberEats_Transacciones</t>
  </si>
  <si>
    <t>2026_S20_UberEats_Ventas</t>
  </si>
  <si>
    <t>2026_S21_AutoPollo_TQP</t>
  </si>
  <si>
    <t>2026_S21_AutoPollo_Transacciones</t>
  </si>
  <si>
    <t>2026_S21_AutoPollo_Ventas</t>
  </si>
  <si>
    <t>2026_S21_ECommerce_TQP</t>
  </si>
  <si>
    <t>2026_S21_ECommerce_Transacciones</t>
  </si>
  <si>
    <t>2026_S21_ECommerce_Ventas</t>
  </si>
  <si>
    <t>2026_S21_Express_TQP</t>
  </si>
  <si>
    <t>2026_S21_Express_Transacciones</t>
  </si>
  <si>
    <t>2026_S21_Express_Ventas</t>
  </si>
  <si>
    <t>2026_S21_Llevar_TQP</t>
  </si>
  <si>
    <t>2026_S21_Llevar_Transacciones</t>
  </si>
  <si>
    <t>2026_S21_Llevar_Ventas</t>
  </si>
  <si>
    <t>2026_S21_Salón_TQP</t>
  </si>
  <si>
    <t>2026_S21_Salón_Transacciones</t>
  </si>
  <si>
    <t>2026_S21_Salón_Ventas</t>
  </si>
  <si>
    <t>2026_S21_Total_TQP</t>
  </si>
  <si>
    <t>2026_S21_Total_Transacciones</t>
  </si>
  <si>
    <t>2026_S21_Total_Ventas</t>
  </si>
  <si>
    <t>2026_S21_UberEats_TQP</t>
  </si>
  <si>
    <t>2026_S21_UberEats_Transacciones</t>
  </si>
  <si>
    <t>2026_S21_UberEats_Ventas</t>
  </si>
  <si>
    <t>2026_S22_AutoPollo_TQP</t>
  </si>
  <si>
    <t>Avenida Escazu</t>
  </si>
  <si>
    <t>2026_S22_AutoPollo_Transacciones</t>
  </si>
  <si>
    <t>2026_S22_AutoPollo_Ventas</t>
  </si>
  <si>
    <t>2026_S22_ECommerce_TQP</t>
  </si>
  <si>
    <t>2026_S22_ECommerce_Transacciones</t>
  </si>
  <si>
    <t>2026_S22_ECommerce_Ventas</t>
  </si>
  <si>
    <t>2026_S22_Express_TQP</t>
  </si>
  <si>
    <t>2026_S22_Express_Transacciones</t>
  </si>
  <si>
    <t>2026_S22_Express_Ventas</t>
  </si>
  <si>
    <t>2026_S22_Llevar_TQP</t>
  </si>
  <si>
    <t>2026_S22_Llevar_Transacciones</t>
  </si>
  <si>
    <t>2026_S22_Llevar_Ventas</t>
  </si>
  <si>
    <t>2026_S22_Salón_TQP</t>
  </si>
  <si>
    <t>2026_S22_Salón_Transacciones</t>
  </si>
  <si>
    <t>2026_S22_Salón_Ventas</t>
  </si>
  <si>
    <t>2026_S22_Total_TQP</t>
  </si>
  <si>
    <t>2026_S22_Total_Transacciones</t>
  </si>
  <si>
    <t>2026_S22_Total_Ventas</t>
  </si>
  <si>
    <t>2026_S22_UberEats_TQP</t>
  </si>
  <si>
    <t>2026_S22_UberEats_Transacciones</t>
  </si>
  <si>
    <t>2026_S22_UberEats_Ventas</t>
  </si>
  <si>
    <t>2026_S24_AutoPollo_TQP</t>
  </si>
  <si>
    <t>Plaza Praktico</t>
  </si>
  <si>
    <t>2026_S24_AutoPollo_Transacciones</t>
  </si>
  <si>
    <t>2026_S24_AutoPollo_Ventas</t>
  </si>
  <si>
    <t>2026_S24_ECommerce_TQP</t>
  </si>
  <si>
    <t>2026_S24_ECommerce_Transacciones</t>
  </si>
  <si>
    <t>2026_S24_ECommerce_Ventas</t>
  </si>
  <si>
    <t>2026_S24_Express_TQP</t>
  </si>
  <si>
    <t>2026_S24_Express_Transacciones</t>
  </si>
  <si>
    <t>2026_S24_Express_Ventas</t>
  </si>
  <si>
    <t>2026_S24_Llevar_TQP</t>
  </si>
  <si>
    <t>2026_S24_Llevar_Transacciones</t>
  </si>
  <si>
    <t>2026_S24_Llevar_Ventas</t>
  </si>
  <si>
    <t>2026_S24_Salón_TQP</t>
  </si>
  <si>
    <t>2026_S24_Salón_Transacciones</t>
  </si>
  <si>
    <t>2026_S24_Salón_Ventas</t>
  </si>
  <si>
    <t>2026_S24_Total_TQP</t>
  </si>
  <si>
    <t>2026_S24_Total_Transacciones</t>
  </si>
  <si>
    <t>2026_S24_Total_Ventas</t>
  </si>
  <si>
    <t>2026_S24_UberEats_TQP</t>
  </si>
  <si>
    <t>2026_S24_UberEats_Transacciones</t>
  </si>
  <si>
    <t>2026_S24_UberEats_Ventas</t>
  </si>
  <si>
    <t>2026_S27_AutoPollo_TQP</t>
  </si>
  <si>
    <t>Cariari</t>
  </si>
  <si>
    <t>2026_S27_AutoPollo_Transacciones</t>
  </si>
  <si>
    <t>2026_S27_AutoPollo_Ventas</t>
  </si>
  <si>
    <t>2026_S27_ECommerce_TQP</t>
  </si>
  <si>
    <t>2026_S27_ECommerce_Transacciones</t>
  </si>
  <si>
    <t>2026_S27_ECommerce_Ventas</t>
  </si>
  <si>
    <t>2026_S27_Express_TQP</t>
  </si>
  <si>
    <t>2026_S27_Express_Transacciones</t>
  </si>
  <si>
    <t>2026_S27_Express_Ventas</t>
  </si>
  <si>
    <t>2026_S27_Llevar_TQP</t>
  </si>
  <si>
    <t>2026_S27_Llevar_Transacciones</t>
  </si>
  <si>
    <t>2026_S27_Llevar_Ventas</t>
  </si>
  <si>
    <t>2026_S27_Salón_TQP</t>
  </si>
  <si>
    <t>2026_S27_Salón_Transacciones</t>
  </si>
  <si>
    <t>2026_S27_Salón_Ventas</t>
  </si>
  <si>
    <t>2026_S27_Total_TQP</t>
  </si>
  <si>
    <t>2026_S27_Total_Transacciones</t>
  </si>
  <si>
    <t>2026_S27_Total_Ventas</t>
  </si>
  <si>
    <t>2026_S27_UberEats_TQP</t>
  </si>
  <si>
    <t>2026_S27_UberEats_Transacciones</t>
  </si>
  <si>
    <t>2026_S27_UberEats_Ventas</t>
  </si>
  <si>
    <t>2026_S31_AutoPollo_TQP</t>
  </si>
  <si>
    <t>Multi Este</t>
  </si>
  <si>
    <t>2026_S31_AutoPollo_Transacciones</t>
  </si>
  <si>
    <t>2026_S31_AutoPollo_Ventas</t>
  </si>
  <si>
    <t>2026_S31_ECommerce_TQP</t>
  </si>
  <si>
    <t>2026_S31_ECommerce_Transacciones</t>
  </si>
  <si>
    <t>2026_S31_ECommerce_Ventas</t>
  </si>
  <si>
    <t>2026_S31_Express_TQP</t>
  </si>
  <si>
    <t>2026_S31_Express_Transacciones</t>
  </si>
  <si>
    <t>2026_S31_Express_Ventas</t>
  </si>
  <si>
    <t>2026_S31_Llevar_TQP</t>
  </si>
  <si>
    <t>2026_S31_Llevar_Transacciones</t>
  </si>
  <si>
    <t>2026_S31_Llevar_Ventas</t>
  </si>
  <si>
    <t>2026_S31_Salón_TQP</t>
  </si>
  <si>
    <t>2026_S31_Salón_Transacciones</t>
  </si>
  <si>
    <t>2026_S31_Salón_Ventas</t>
  </si>
  <si>
    <t>2026_S31_Total_TQP</t>
  </si>
  <si>
    <t>2026_S31_Total_Transacciones</t>
  </si>
  <si>
    <t>2026_S31_Total_Ventas</t>
  </si>
  <si>
    <t>2026_S31_UberEats_TQP</t>
  </si>
  <si>
    <t>2026_S31_UberEats_Transacciones</t>
  </si>
  <si>
    <t>2026_S31_UberEats_Ventas</t>
  </si>
  <si>
    <t>2026_S32_AutoPollo_TQP</t>
  </si>
  <si>
    <t>2026_S32_AutoPollo_Transacciones</t>
  </si>
  <si>
    <t>2026_S32_AutoPollo_Ventas</t>
  </si>
  <si>
    <t>2026_S32_ECommerce_TQP</t>
  </si>
  <si>
    <t>2026_S32_ECommerce_Transacciones</t>
  </si>
  <si>
    <t>2026_S32_ECommerce_Ventas</t>
  </si>
  <si>
    <t>2026_S32_Express_TQP</t>
  </si>
  <si>
    <t>2026_S32_Express_Transacciones</t>
  </si>
  <si>
    <t>2026_S32_Express_Ventas</t>
  </si>
  <si>
    <t>2026_S32_Llevar_TQP</t>
  </si>
  <si>
    <t>2026_S32_Llevar_Transacciones</t>
  </si>
  <si>
    <t>2026_S32_Llevar_Ventas</t>
  </si>
  <si>
    <t>2026_S32_Salón_TQP</t>
  </si>
  <si>
    <t>2026_S32_Salón_Transacciones</t>
  </si>
  <si>
    <t>2026_S32_Salón_Ventas</t>
  </si>
  <si>
    <t>2026_S32_Total_TQP</t>
  </si>
  <si>
    <t>2026_S32_Total_Transacciones</t>
  </si>
  <si>
    <t>2026_S32_Total_Ventas</t>
  </si>
  <si>
    <t>2026_S32_UberEats_TQP</t>
  </si>
  <si>
    <t>2026_S32_UberEats_Transacciones</t>
  </si>
  <si>
    <t>2026_S32_UberEats_Ventas</t>
  </si>
  <si>
    <t>2026_S38_AutoPollo_TQP</t>
  </si>
  <si>
    <t>2026_S38_AutoPollo_Transacciones</t>
  </si>
  <si>
    <t>2026_S38_AutoPollo_Ventas</t>
  </si>
  <si>
    <t>2026_S38_ECommerce_TQP</t>
  </si>
  <si>
    <t>2026_S38_ECommerce_Transacciones</t>
  </si>
  <si>
    <t>2026_S38_ECommerce_Ventas</t>
  </si>
  <si>
    <t>2026_S38_Express_TQP</t>
  </si>
  <si>
    <t>2026_S38_Express_Transacciones</t>
  </si>
  <si>
    <t>2026_S38_Express_Ventas</t>
  </si>
  <si>
    <t>2026_S38_Llevar_TQP</t>
  </si>
  <si>
    <t>2026_S38_Llevar_Transacciones</t>
  </si>
  <si>
    <t>2026_S38_Llevar_Ventas</t>
  </si>
  <si>
    <t>2026_S38_Salón_TQP</t>
  </si>
  <si>
    <t>2026_S38_Salón_Transacciones</t>
  </si>
  <si>
    <t>2026_S38_Salón_Ventas</t>
  </si>
  <si>
    <t>2026_S38_Total_TQP</t>
  </si>
  <si>
    <t>2026_S38_Total_Transacciones</t>
  </si>
  <si>
    <t>2026_S38_Total_Ventas</t>
  </si>
  <si>
    <t>2026_S38_UberEats_TQP</t>
  </si>
  <si>
    <t>2026_S38_UberEats_Transacciones</t>
  </si>
  <si>
    <t>2026_S38_UberEats_Ventas</t>
  </si>
  <si>
    <t>2026_S39_AutoPollo_TQP</t>
  </si>
  <si>
    <t>2026_S39_AutoPollo_Transacciones</t>
  </si>
  <si>
    <t>2026_S39_AutoPollo_Ventas</t>
  </si>
  <si>
    <t>2026_S39_ECommerce_TQP</t>
  </si>
  <si>
    <t>2026_S39_ECommerce_Transacciones</t>
  </si>
  <si>
    <t>2026_S39_ECommerce_Ventas</t>
  </si>
  <si>
    <t>2026_S39_Express_TQP</t>
  </si>
  <si>
    <t>2026_S39_Express_Transacciones</t>
  </si>
  <si>
    <t>2026_S39_Express_Ventas</t>
  </si>
  <si>
    <t>2026_S39_Llevar_TQP</t>
  </si>
  <si>
    <t>2026_S39_Llevar_Transacciones</t>
  </si>
  <si>
    <t>2026_S39_Llevar_Ventas</t>
  </si>
  <si>
    <t>2026_S39_Salón_TQP</t>
  </si>
  <si>
    <t>2026_S39_Salón_Transacciones</t>
  </si>
  <si>
    <t>2026_S39_Salón_Ventas</t>
  </si>
  <si>
    <t>2026_S39_Total_TQP</t>
  </si>
  <si>
    <t>2026_S39_Total_Transacciones</t>
  </si>
  <si>
    <t>2026_S39_Total_Ventas</t>
  </si>
  <si>
    <t>2026_S39_UberEats_TQP</t>
  </si>
  <si>
    <t>2026_S39_UberEats_Transacciones</t>
  </si>
  <si>
    <t>2026_S39_UberEats_Ventas</t>
  </si>
  <si>
    <t>2026_S42_AutoPollo_TQP</t>
  </si>
  <si>
    <t>2026_S42_AutoPollo_Transacciones</t>
  </si>
  <si>
    <t>2026_S42_AutoPollo_Ventas</t>
  </si>
  <si>
    <t>2026_S42_ECommerce_TQP</t>
  </si>
  <si>
    <t>2026_S42_ECommerce_Transacciones</t>
  </si>
  <si>
    <t>2026_S42_ECommerce_Ventas</t>
  </si>
  <si>
    <t>2026_S42_Express_TQP</t>
  </si>
  <si>
    <t>2026_S42_Express_Transacciones</t>
  </si>
  <si>
    <t>2026_S42_Express_Ventas</t>
  </si>
  <si>
    <t>2026_S42_Llevar_TQP</t>
  </si>
  <si>
    <t>2026_S42_Llevar_Transacciones</t>
  </si>
  <si>
    <t>2026_S42_Llevar_Ventas</t>
  </si>
  <si>
    <t>2026_S42_Salón_TQP</t>
  </si>
  <si>
    <t>2026_S42_Salón_Transacciones</t>
  </si>
  <si>
    <t>2026_S42_Salón_Ventas</t>
  </si>
  <si>
    <t>2026_S42_Total_TQP</t>
  </si>
  <si>
    <t>2026_S42_Total_Transacciones</t>
  </si>
  <si>
    <t>2026_S42_Total_Ventas</t>
  </si>
  <si>
    <t>2026_S42_UberEats_TQP</t>
  </si>
  <si>
    <t>2026_S42_UberEats_Transacciones</t>
  </si>
  <si>
    <t>2026_S42_UberEats_Ventas</t>
  </si>
  <si>
    <t>2026_S44_AutoPollo_TQP</t>
  </si>
  <si>
    <t>Eventos</t>
  </si>
  <si>
    <t>2026_S44_AutoPollo_Transacciones</t>
  </si>
  <si>
    <t>2026_S44_AutoPollo_Ventas</t>
  </si>
  <si>
    <t>2026_S44_ECommerce_TQP</t>
  </si>
  <si>
    <t>2026_S44_ECommerce_Transacciones</t>
  </si>
  <si>
    <t>2026_S44_ECommerce_Ventas</t>
  </si>
  <si>
    <t>2026_S44_Express_TQP</t>
  </si>
  <si>
    <t>2026_S44_Express_Transacciones</t>
  </si>
  <si>
    <t>2026_S44_Express_Ventas</t>
  </si>
  <si>
    <t>2026_S44_Llevar_TQP</t>
  </si>
  <si>
    <t>2026_S44_Llevar_Transacciones</t>
  </si>
  <si>
    <t>2026_S44_Llevar_Ventas</t>
  </si>
  <si>
    <t>2026_S44_Salón_TQP</t>
  </si>
  <si>
    <t>2026_S44_Salón_Transacciones</t>
  </si>
  <si>
    <t>2026_S44_Salón_Ventas</t>
  </si>
  <si>
    <t>2026_S44_Total_TQP</t>
  </si>
  <si>
    <t>2026_S44_Total_Transacciones</t>
  </si>
  <si>
    <t>2026_S44_Total_Ventas</t>
  </si>
  <si>
    <t>2026_S44_UberEats_TQP</t>
  </si>
  <si>
    <t>2026_S44_UberEats_Transacciones</t>
  </si>
  <si>
    <t>2026_S44_UberEats_Ventas</t>
  </si>
  <si>
    <t>2026_S67_AutoPollo_TQP</t>
  </si>
  <si>
    <t>2026_S67_AutoPollo_Transacciones</t>
  </si>
  <si>
    <t>2026_S67_AutoPollo_Ventas</t>
  </si>
  <si>
    <t>2026_S67_ECommerce_TQP</t>
  </si>
  <si>
    <t>2026_S67_ECommerce_Transacciones</t>
  </si>
  <si>
    <t>2026_S67_ECommerce_Ventas</t>
  </si>
  <si>
    <t>2026_S67_Express_TQP</t>
  </si>
  <si>
    <t>2026_S67_Express_Transacciones</t>
  </si>
  <si>
    <t>2026_S67_Express_Ventas</t>
  </si>
  <si>
    <t>2026_S67_Llevar_TQP</t>
  </si>
  <si>
    <t>2026_S67_Llevar_Transacciones</t>
  </si>
  <si>
    <t>2026_S67_Llevar_Ventas</t>
  </si>
  <si>
    <t>2026_S67_Salón_TQP</t>
  </si>
  <si>
    <t>2026_S67_Salón_Transacciones</t>
  </si>
  <si>
    <t>2026_S67_Salón_Ventas</t>
  </si>
  <si>
    <t>2026_S67_Total_TQP</t>
  </si>
  <si>
    <t>2026_S67_Total_Transacciones</t>
  </si>
  <si>
    <t>2026_S67_Total_Ventas</t>
  </si>
  <si>
    <t>2026_S67_UberEats_TQP</t>
  </si>
  <si>
    <t>2026_S67_UberEats_Transacciones</t>
  </si>
  <si>
    <t>2026_S67_UberEats_Ventas</t>
  </si>
  <si>
    <t>2026_S71_AutoPollo_TQP</t>
  </si>
  <si>
    <t>2026_S71_AutoPollo_Transacciones</t>
  </si>
  <si>
    <t>2026_S71_AutoPollo_Ventas</t>
  </si>
  <si>
    <t>2026_S71_ECommerce_TQP</t>
  </si>
  <si>
    <t>2026_S71_ECommerce_Transacciones</t>
  </si>
  <si>
    <t>2026_S71_ECommerce_Ventas</t>
  </si>
  <si>
    <t>2026_S71_Express_TQP</t>
  </si>
  <si>
    <t>2026_S71_Express_Transacciones</t>
  </si>
  <si>
    <t>2026_S71_Express_Ventas</t>
  </si>
  <si>
    <t>2026_S71_Llevar_TQP</t>
  </si>
  <si>
    <t>2026_S71_Llevar_Transacciones</t>
  </si>
  <si>
    <t>2026_S71_Llevar_Ventas</t>
  </si>
  <si>
    <t>2026_S71_Salón_TQP</t>
  </si>
  <si>
    <t>2026_S71_Salón_Transacciones</t>
  </si>
  <si>
    <t>2026_S71_Salón_Ventas</t>
  </si>
  <si>
    <t>2026_S71_Total_TQP</t>
  </si>
  <si>
    <t>2026_S71_Total_Transacciones</t>
  </si>
  <si>
    <t>2026_S71_Total_Ventas</t>
  </si>
  <si>
    <t>2026_S71_UberEats_TQP</t>
  </si>
  <si>
    <t>2026_S71_UberEats_Transacciones</t>
  </si>
  <si>
    <t>2026_S71_UberEats_Ventas</t>
  </si>
  <si>
    <t>2026_S72_AutoPollo_TQP</t>
  </si>
  <si>
    <t>2026_S72_AutoPollo_Transacciones</t>
  </si>
  <si>
    <t>2026_S72_AutoPollo_Ventas</t>
  </si>
  <si>
    <t>2026_S72_ECommerce_TQP</t>
  </si>
  <si>
    <t>2026_S72_ECommerce_Transacciones</t>
  </si>
  <si>
    <t>2026_S72_ECommerce_Ventas</t>
  </si>
  <si>
    <t>2026_S72_Express_TQP</t>
  </si>
  <si>
    <t>2026_S72_Express_Transacciones</t>
  </si>
  <si>
    <t>2026_S72_Express_Ventas</t>
  </si>
  <si>
    <t>2026_S72_Llevar_TQP</t>
  </si>
  <si>
    <t>2026_S72_Llevar_Transacciones</t>
  </si>
  <si>
    <t>2026_S72_Llevar_Ventas</t>
  </si>
  <si>
    <t>2026_S72_Salón_TQP</t>
  </si>
  <si>
    <t>2026_S72_Salón_Transacciones</t>
  </si>
  <si>
    <t>2026_S72_Salón_Ventas</t>
  </si>
  <si>
    <t>2026_S72_Total_TQP</t>
  </si>
  <si>
    <t>2026_S72_Total_Transacciones</t>
  </si>
  <si>
    <t>2026_S72_Total_Ventas</t>
  </si>
  <si>
    <t>2026_S72_UberEats_TQP</t>
  </si>
  <si>
    <t>2026_S72_UberEats_Transacciones</t>
  </si>
  <si>
    <t>2026_S72_UberEats_Ventas</t>
  </si>
  <si>
    <t>2026_S84_AutoPollo_TQP</t>
  </si>
  <si>
    <t>S84</t>
  </si>
  <si>
    <t>Mall San Pedro</t>
  </si>
  <si>
    <t>2026_S84_AutoPollo_Transacciones</t>
  </si>
  <si>
    <t>2026_S84_AutoPollo_Ventas</t>
  </si>
  <si>
    <t>2026_S84_ECommerce_TQP</t>
  </si>
  <si>
    <t>2026_S84_ECommerce_Transacciones</t>
  </si>
  <si>
    <t>2026_S84_ECommerce_Ventas</t>
  </si>
  <si>
    <t>2026_S84_Express_TQP</t>
  </si>
  <si>
    <t>2026_S84_Express_Transacciones</t>
  </si>
  <si>
    <t>2026_S84_Express_Ventas</t>
  </si>
  <si>
    <t>2026_S84_Llevar_TQP</t>
  </si>
  <si>
    <t>2026_S84_Llevar_Transacciones</t>
  </si>
  <si>
    <t>2026_S84_Llevar_Ventas</t>
  </si>
  <si>
    <t>2026_S84_Salón_TQP</t>
  </si>
  <si>
    <t>2026_S84_Salón_Transacciones</t>
  </si>
  <si>
    <t>2026_S84_Salón_Ventas</t>
  </si>
  <si>
    <t>2026_S84_Total_TQP</t>
  </si>
  <si>
    <t>2026_S84_Total_Transacciones</t>
  </si>
  <si>
    <t>2026_S84_Total_Ventas</t>
  </si>
  <si>
    <t>2026_S84_UberEats_TQP</t>
  </si>
  <si>
    <t>2026_S84_UberEats_Transacciones</t>
  </si>
  <si>
    <t>2026_S84_UberEats_Ventas</t>
  </si>
  <si>
    <t>2026_S85_AutoPollo_TQP</t>
  </si>
  <si>
    <t>S85</t>
  </si>
  <si>
    <t>Multicentro</t>
  </si>
  <si>
    <t>2026_S85_AutoPollo_Transacciones</t>
  </si>
  <si>
    <t>2026_S85_AutoPollo_Ventas</t>
  </si>
  <si>
    <t>2026_S85_ECommerce_TQP</t>
  </si>
  <si>
    <t>2026_S85_ECommerce_Transacciones</t>
  </si>
  <si>
    <t>2026_S85_ECommerce_Ventas</t>
  </si>
  <si>
    <t>2026_S85_Express_TQP</t>
  </si>
  <si>
    <t>2026_S85_Express_Transacciones</t>
  </si>
  <si>
    <t>2026_S85_Express_Ventas</t>
  </si>
  <si>
    <t>2026_S85_Llevar_TQP</t>
  </si>
  <si>
    <t>2026_S85_Llevar_Transacciones</t>
  </si>
  <si>
    <t>2026_S85_Llevar_Ventas</t>
  </si>
  <si>
    <t>2026_S85_Salón_TQP</t>
  </si>
  <si>
    <t>2026_S85_Salón_Transacciones</t>
  </si>
  <si>
    <t>2026_S85_Salón_Ventas</t>
  </si>
  <si>
    <t>2026_S85_Total_TQP</t>
  </si>
  <si>
    <t>2026_S85_Total_Transacciones</t>
  </si>
  <si>
    <t>2026_S85_Total_Ventas</t>
  </si>
  <si>
    <t>2026_S85_UberEats_TQP</t>
  </si>
  <si>
    <t>2026_S85_UberEats_Transacciones</t>
  </si>
  <si>
    <t>2026_S85_UberEats_Ventas</t>
  </si>
  <si>
    <t>2026_S86_AutoPollo_TQP</t>
  </si>
  <si>
    <t>Parque de Diversiones</t>
  </si>
  <si>
    <t>2026_S86_AutoPollo_Transacciones</t>
  </si>
  <si>
    <t>2026_S86_AutoPollo_Ventas</t>
  </si>
  <si>
    <t>2026_S86_ECommerce_TQP</t>
  </si>
  <si>
    <t>2026_S86_ECommerce_Transacciones</t>
  </si>
  <si>
    <t>2026_S86_ECommerce_Ventas</t>
  </si>
  <si>
    <t>2026_S86_Express_TQP</t>
  </si>
  <si>
    <t>2026_S86_Express_Transacciones</t>
  </si>
  <si>
    <t>2026_S86_Express_Ventas</t>
  </si>
  <si>
    <t>2026_S86_Llevar_TQP</t>
  </si>
  <si>
    <t>2026_S86_Llevar_Transacciones</t>
  </si>
  <si>
    <t>2026_S86_Llevar_Ventas</t>
  </si>
  <si>
    <t>2026_S86_Salón_TQP</t>
  </si>
  <si>
    <t>2026_S86_Salón_Transacciones</t>
  </si>
  <si>
    <t>2026_S86_Salón_Ventas</t>
  </si>
  <si>
    <t>2026_S86_Total_TQP</t>
  </si>
  <si>
    <t>2026_S86_Total_Transacciones</t>
  </si>
  <si>
    <t>2026_S86_Total_Ventas</t>
  </si>
  <si>
    <t>2026_S86_UberEats_TQP</t>
  </si>
  <si>
    <t>2026_S86_UberEats_Transacciones</t>
  </si>
  <si>
    <t>2026_S86_UberEats_Ventas</t>
  </si>
  <si>
    <t>2026_S87_AutoPollo_TQP</t>
  </si>
  <si>
    <t>2026_S87_AutoPollo_Transacciones</t>
  </si>
  <si>
    <t>2026_S87_AutoPollo_Ventas</t>
  </si>
  <si>
    <t>2026_S87_ECommerce_TQP</t>
  </si>
  <si>
    <t>2026_S87_ECommerce_Transacciones</t>
  </si>
  <si>
    <t>2026_S87_ECommerce_Ventas</t>
  </si>
  <si>
    <t>2026_S87_Express_TQP</t>
  </si>
  <si>
    <t>2026_S87_Express_Transacciones</t>
  </si>
  <si>
    <t>2026_S87_Express_Ventas</t>
  </si>
  <si>
    <t>2026_S87_Llevar_TQP</t>
  </si>
  <si>
    <t>2026_S87_Llevar_Transacciones</t>
  </si>
  <si>
    <t>2026_S87_Llevar_Ventas</t>
  </si>
  <si>
    <t>2026_S87_Salón_TQP</t>
  </si>
  <si>
    <t>2026_S87_Salón_Transacciones</t>
  </si>
  <si>
    <t>2026_S87_Salón_Ventas</t>
  </si>
  <si>
    <t>2026_S87_Total_TQP</t>
  </si>
  <si>
    <t>2026_S87_Total_Transacciones</t>
  </si>
  <si>
    <t>2026_S87_Total_Ventas</t>
  </si>
  <si>
    <t>2026_S87_UberEats_TQP</t>
  </si>
  <si>
    <t>2026_S87_UberEats_Transacciones</t>
  </si>
  <si>
    <t>2026_S87_UberEats_Ventas</t>
  </si>
  <si>
    <t>2026_S89_AutoPollo_TQP</t>
  </si>
  <si>
    <t>2026_S89_AutoPollo_Transacciones</t>
  </si>
  <si>
    <t>2026_S89_AutoPollo_Ventas</t>
  </si>
  <si>
    <t>2026_S89_ECommerce_TQP</t>
  </si>
  <si>
    <t>2026_S89_ECommerce_Transacciones</t>
  </si>
  <si>
    <t>2026_S89_ECommerce_Ventas</t>
  </si>
  <si>
    <t>2026_S89_Express_TQP</t>
  </si>
  <si>
    <t>2026_S89_Express_Transacciones</t>
  </si>
  <si>
    <t>2026_S89_Express_Ventas</t>
  </si>
  <si>
    <t>2026_S89_Llevar_TQP</t>
  </si>
  <si>
    <t>2026_S89_Llevar_Transacciones</t>
  </si>
  <si>
    <t>2026_S89_Llevar_Ventas</t>
  </si>
  <si>
    <t>2026_S89_Salón_TQP</t>
  </si>
  <si>
    <t>2026_S89_Salón_Transacciones</t>
  </si>
  <si>
    <t>2026_S89_Salón_Ventas</t>
  </si>
  <si>
    <t>2026_S89_Total_TQP</t>
  </si>
  <si>
    <t>2026_S89_Total_Transacciones</t>
  </si>
  <si>
    <t>2026_S89_Total_Ventas</t>
  </si>
  <si>
    <t>2026_S89_UberEats_TQP</t>
  </si>
  <si>
    <t>2026_S89_UberEats_Transacciones</t>
  </si>
  <si>
    <t>2026_S89_UberEats_Ventas</t>
  </si>
  <si>
    <t>2026_S91_AutoPollo_TQP</t>
  </si>
  <si>
    <t>San Francisco Heredia</t>
  </si>
  <si>
    <t>2026_S91_AutoPollo_Transacciones</t>
  </si>
  <si>
    <t>2026_S91_AutoPollo_Ventas</t>
  </si>
  <si>
    <t>2026_S91_ECommerce_TQP</t>
  </si>
  <si>
    <t>2026_S91_ECommerce_Transacciones</t>
  </si>
  <si>
    <t>2026_S91_ECommerce_Ventas</t>
  </si>
  <si>
    <t>2026_S91_Express_TQP</t>
  </si>
  <si>
    <t>2026_S91_Express_Transacciones</t>
  </si>
  <si>
    <t>2026_S91_Express_Ventas</t>
  </si>
  <si>
    <t>2026_S91_Llevar_TQP</t>
  </si>
  <si>
    <t>2026_S91_Llevar_Transacciones</t>
  </si>
  <si>
    <t>2026_S91_Llevar_Ventas</t>
  </si>
  <si>
    <t>2026_S91_Salón_TQP</t>
  </si>
  <si>
    <t>2026_S91_Salón_Transacciones</t>
  </si>
  <si>
    <t>2026_S91_Salón_Ventas</t>
  </si>
  <si>
    <t>2026_S91_Total_TQP</t>
  </si>
  <si>
    <t>2026_S91_Total_Transacciones</t>
  </si>
  <si>
    <t>2026_S91_Total_Ventas</t>
  </si>
  <si>
    <t>2026_S91_UberEats_TQP</t>
  </si>
  <si>
    <t>2026_S91_UberEats_Transacciones</t>
  </si>
  <si>
    <t>2026_S91_UberEats_Ventas</t>
  </si>
  <si>
    <t>2026_V01_AutoPollo_TQP</t>
  </si>
  <si>
    <t>V. Sabanilla</t>
  </si>
  <si>
    <t>2026_V01_AutoPollo_Transacciones</t>
  </si>
  <si>
    <t>2026_V01_AutoPollo_Ventas</t>
  </si>
  <si>
    <t>2026_V01_ECommerce_TQP</t>
  </si>
  <si>
    <t>2026_V01_ECommerce_Transacciones</t>
  </si>
  <si>
    <t>2026_V01_ECommerce_Ventas</t>
  </si>
  <si>
    <t>2026_V01_Express_TQP</t>
  </si>
  <si>
    <t>2026_V01_Express_Transacciones</t>
  </si>
  <si>
    <t>2026_V01_Express_Ventas</t>
  </si>
  <si>
    <t>2026_V01_Llevar_TQP</t>
  </si>
  <si>
    <t>2026_V01_Llevar_Transacciones</t>
  </si>
  <si>
    <t>2026_V01_Llevar_Ventas</t>
  </si>
  <si>
    <t>2026_V01_Salón_TQP</t>
  </si>
  <si>
    <t>2026_V01_Salón_Transacciones</t>
  </si>
  <si>
    <t>2026_V01_Salón_Ventas</t>
  </si>
  <si>
    <t>2026_V01_Total_TQP</t>
  </si>
  <si>
    <t>2026_V01_Total_Transacciones</t>
  </si>
  <si>
    <t>2026_V01_Total_Ventas</t>
  </si>
  <si>
    <t>2026_V01_UberEats_TQP</t>
  </si>
  <si>
    <t>2026_V01_UberEats_Transacciones</t>
  </si>
  <si>
    <t>2026_V01_UberEats_Ventas</t>
  </si>
  <si>
    <t>2026_V02_AutoPollo_TQP</t>
  </si>
  <si>
    <t>V. Pozos</t>
  </si>
  <si>
    <t>2026_V02_AutoPollo_Transacciones</t>
  </si>
  <si>
    <t>2026_V02_AutoPollo_Ventas</t>
  </si>
  <si>
    <t>2026_V02_ECommerce_TQP</t>
  </si>
  <si>
    <t>2026_V02_ECommerce_Transacciones</t>
  </si>
  <si>
    <t>2026_V02_ECommerce_Ventas</t>
  </si>
  <si>
    <t>2026_V02_Express_TQP</t>
  </si>
  <si>
    <t>2026_V02_Express_Transacciones</t>
  </si>
  <si>
    <t>2026_V02_Express_Ventas</t>
  </si>
  <si>
    <t>2026_V02_Llevar_TQP</t>
  </si>
  <si>
    <t>2026_V02_Llevar_Transacciones</t>
  </si>
  <si>
    <t>2026_V02_Llevar_Ventas</t>
  </si>
  <si>
    <t>2026_V02_Salón_TQP</t>
  </si>
  <si>
    <t>2026_V02_Salón_Transacciones</t>
  </si>
  <si>
    <t>2026_V02_Salón_Ventas</t>
  </si>
  <si>
    <t>2026_V02_Total_TQP</t>
  </si>
  <si>
    <t>2026_V02_Total_Transacciones</t>
  </si>
  <si>
    <t>2026_V02_Total_Ventas</t>
  </si>
  <si>
    <t>2026_V02_UberEats_TQP</t>
  </si>
  <si>
    <t>2026_V02_UberEats_Transacciones</t>
  </si>
  <si>
    <t>2026_V02_UberEats_Ventas</t>
  </si>
  <si>
    <t>2026_V05_AutoPollo_TQP</t>
  </si>
  <si>
    <t>V. Polideportivo</t>
  </si>
  <si>
    <t>2026_V05_AutoPollo_Transacciones</t>
  </si>
  <si>
    <t>2026_V05_AutoPollo_Ventas</t>
  </si>
  <si>
    <t>2026_V05_ECommerce_TQP</t>
  </si>
  <si>
    <t>2026_V05_ECommerce_Transacciones</t>
  </si>
  <si>
    <t>2026_V05_ECommerce_Ventas</t>
  </si>
  <si>
    <t>2026_V05_Express_TQP</t>
  </si>
  <si>
    <t>2026_V05_Express_Transacciones</t>
  </si>
  <si>
    <t>2026_V05_Express_Ventas</t>
  </si>
  <si>
    <t>2026_V05_Llevar_TQP</t>
  </si>
  <si>
    <t>2026_V05_Llevar_Transacciones</t>
  </si>
  <si>
    <t>2026_V05_Llevar_Ventas</t>
  </si>
  <si>
    <t>2026_V05_Salón_TQP</t>
  </si>
  <si>
    <t>2026_V05_Salón_Transacciones</t>
  </si>
  <si>
    <t>2026_V05_Salón_Ventas</t>
  </si>
  <si>
    <t>2026_V05_Total_TQP</t>
  </si>
  <si>
    <t>2026_V05_Total_Transacciones</t>
  </si>
  <si>
    <t>2026_V05_Total_Ventas</t>
  </si>
  <si>
    <t>2026_V05_UberEats_TQP</t>
  </si>
  <si>
    <t>2026_V05_UberEats_Transacciones</t>
  </si>
  <si>
    <t>2026_V05_UberEats_Ventas</t>
  </si>
  <si>
    <t>2026_V06_AutoPollo_TQP</t>
  </si>
  <si>
    <t>V. Multiflores</t>
  </si>
  <si>
    <t>2026_V06_AutoPollo_Transacciones</t>
  </si>
  <si>
    <t>2026_V06_AutoPollo_Ventas</t>
  </si>
  <si>
    <t>2026_V06_ECommerce_TQP</t>
  </si>
  <si>
    <t>2026_V06_ECommerce_Transacciones</t>
  </si>
  <si>
    <t>2026_V06_ECommerce_Ventas</t>
  </si>
  <si>
    <t>2026_V06_Express_TQP</t>
  </si>
  <si>
    <t>2026_V06_Express_Transacciones</t>
  </si>
  <si>
    <t>2026_V06_Express_Ventas</t>
  </si>
  <si>
    <t>2026_V06_Llevar_TQP</t>
  </si>
  <si>
    <t>2026_V06_Llevar_Transacciones</t>
  </si>
  <si>
    <t>2026_V06_Llevar_Ventas</t>
  </si>
  <si>
    <t>2026_V06_Salón_TQP</t>
  </si>
  <si>
    <t>2026_V06_Salón_Transacciones</t>
  </si>
  <si>
    <t>2026_V06_Salón_Ventas</t>
  </si>
  <si>
    <t>2026_V06_Total_TQP</t>
  </si>
  <si>
    <t>2026_V06_Total_Transacciones</t>
  </si>
  <si>
    <t>2026_V06_Total_Ventas</t>
  </si>
  <si>
    <t>2026_V06_UberEats_TQP</t>
  </si>
  <si>
    <t>2026_V06_UberEats_Transacciones</t>
  </si>
  <si>
    <t>2026_V06_UberEats_Ventas</t>
  </si>
  <si>
    <t>2026_V07_AutoPollo_TQP</t>
  </si>
  <si>
    <t>V. San Pablo</t>
  </si>
  <si>
    <t>2026_V07_AutoPollo_Transacciones</t>
  </si>
  <si>
    <t>2026_V07_AutoPollo_Ventas</t>
  </si>
  <si>
    <t>2026_V07_ECommerce_TQP</t>
  </si>
  <si>
    <t>2026_V07_ECommerce_Transacciones</t>
  </si>
  <si>
    <t>2026_V07_ECommerce_Ventas</t>
  </si>
  <si>
    <t>2026_V07_Express_TQP</t>
  </si>
  <si>
    <t>2026_V07_Express_Transacciones</t>
  </si>
  <si>
    <t>2026_V07_Express_Ventas</t>
  </si>
  <si>
    <t>2026_V07_Llevar_TQP</t>
  </si>
  <si>
    <t>2026_V07_Llevar_Transacciones</t>
  </si>
  <si>
    <t>2026_V07_Llevar_Ventas</t>
  </si>
  <si>
    <t>2026_V07_Salón_TQP</t>
  </si>
  <si>
    <t>2026_V07_Salón_Transacciones</t>
  </si>
  <si>
    <t>2026_V07_Salón_Ventas</t>
  </si>
  <si>
    <t>2026_V07_Total_TQP</t>
  </si>
  <si>
    <t>2026_V07_Total_Transacciones</t>
  </si>
  <si>
    <t>2026_V07_Total_Ventas</t>
  </si>
  <si>
    <t>2026_V07_UberEats_TQP</t>
  </si>
  <si>
    <t>2026_V07_UberEats_Transacciones</t>
  </si>
  <si>
    <t>2026_V07_UberEats_Ventas</t>
  </si>
  <si>
    <t>2026_V10_AutoPollo_TQP</t>
  </si>
  <si>
    <t>V. Tres Rios</t>
  </si>
  <si>
    <t>2026_V10_AutoPollo_Transacciones</t>
  </si>
  <si>
    <t>2026_V10_AutoPollo_Ventas</t>
  </si>
  <si>
    <t>2026_V10_ECommerce_TQP</t>
  </si>
  <si>
    <t>2026_V10_ECommerce_Transacciones</t>
  </si>
  <si>
    <t>2026_V10_ECommerce_Ventas</t>
  </si>
  <si>
    <t>2026_V10_Express_TQP</t>
  </si>
  <si>
    <t>2026_V10_Express_Transacciones</t>
  </si>
  <si>
    <t>2026_V10_Express_Ventas</t>
  </si>
  <si>
    <t>2026_V10_Llevar_TQP</t>
  </si>
  <si>
    <t>2026_V10_Llevar_Transacciones</t>
  </si>
  <si>
    <t>2026_V10_Llevar_Ventas</t>
  </si>
  <si>
    <t>2026_V10_Salón_TQP</t>
  </si>
  <si>
    <t>2026_V10_Salón_Transacciones</t>
  </si>
  <si>
    <t>2026_V10_Salón_Ventas</t>
  </si>
  <si>
    <t>2026_V10_Total_TQP</t>
  </si>
  <si>
    <t>2026_V10_Total_Transacciones</t>
  </si>
  <si>
    <t>2026_V10_Total_Ventas</t>
  </si>
  <si>
    <t>2026_V10_UberEats_TQP</t>
  </si>
  <si>
    <t>2026_V10_UberEats_Transacciones</t>
  </si>
  <si>
    <t>2026_V10_UberEats_Ventas</t>
  </si>
  <si>
    <t>2026_V11_AutoPollo_TQP</t>
  </si>
  <si>
    <t>V. Ayarco</t>
  </si>
  <si>
    <t>2026_V11_AutoPollo_Transacciones</t>
  </si>
  <si>
    <t>2026_V11_AutoPollo_Ventas</t>
  </si>
  <si>
    <t>2026_V11_ECommerce_TQP</t>
  </si>
  <si>
    <t>2026_V11_ECommerce_Transacciones</t>
  </si>
  <si>
    <t>2026_V11_ECommerce_Ventas</t>
  </si>
  <si>
    <t>2026_V11_Express_TQP</t>
  </si>
  <si>
    <t>2026_V11_Express_Transacciones</t>
  </si>
  <si>
    <t>2026_V11_Express_Ventas</t>
  </si>
  <si>
    <t>2026_V11_Llevar_TQP</t>
  </si>
  <si>
    <t>2026_V11_Llevar_Transacciones</t>
  </si>
  <si>
    <t>2026_V11_Llevar_Ventas</t>
  </si>
  <si>
    <t>2026_V11_Salón_TQP</t>
  </si>
  <si>
    <t>2026_V11_Salón_Transacciones</t>
  </si>
  <si>
    <t>2026_V11_Salón_Ventas</t>
  </si>
  <si>
    <t>2026_V11_Total_TQP</t>
  </si>
  <si>
    <t>2026_V11_Total_Transacciones</t>
  </si>
  <si>
    <t>2026_V11_Total_Ventas</t>
  </si>
  <si>
    <t>2026_V11_UberEats_TQP</t>
  </si>
  <si>
    <t>2026_V11_UberEats_Transacciones</t>
  </si>
  <si>
    <t>2026_V11_UberEats_Ventas</t>
  </si>
  <si>
    <t>2026_V12_AutoPollo_TQP</t>
  </si>
  <si>
    <t>V. Santo Domingo</t>
  </si>
  <si>
    <t>2026_V12_AutoPollo_Transacciones</t>
  </si>
  <si>
    <t>2026_V12_AutoPollo_Ventas</t>
  </si>
  <si>
    <t>2026_V12_ECommerce_TQP</t>
  </si>
  <si>
    <t>2026_V12_ECommerce_Transacciones</t>
  </si>
  <si>
    <t>2026_V12_ECommerce_Ventas</t>
  </si>
  <si>
    <t>2026_V12_Express_TQP</t>
  </si>
  <si>
    <t>2026_V12_Express_Transacciones</t>
  </si>
  <si>
    <t>2026_V12_Express_Ventas</t>
  </si>
  <si>
    <t>2026_V12_Llevar_TQP</t>
  </si>
  <si>
    <t>2026_V12_Llevar_Transacciones</t>
  </si>
  <si>
    <t>2026_V12_Llevar_Ventas</t>
  </si>
  <si>
    <t>2026_V12_Salón_TQP</t>
  </si>
  <si>
    <t>2026_V12_Salón_Transacciones</t>
  </si>
  <si>
    <t>2026_V12_Salón_Ventas</t>
  </si>
  <si>
    <t>2026_V12_Total_TQP</t>
  </si>
  <si>
    <t>2026_V12_Total_Transacciones</t>
  </si>
  <si>
    <t>2026_V12_Total_Ventas</t>
  </si>
  <si>
    <t>2026_V12_UberEats_TQP</t>
  </si>
  <si>
    <t>2026_V12_UberEats_Transacciones</t>
  </si>
  <si>
    <t>2026_V12_UberEats_Ventas</t>
  </si>
  <si>
    <t>2026_V13_AutoPollo_TQP</t>
  </si>
  <si>
    <t>V. Monteran</t>
  </si>
  <si>
    <t>2026_V13_AutoPollo_Transacciones</t>
  </si>
  <si>
    <t>2026_V13_AutoPollo_Ventas</t>
  </si>
  <si>
    <t>2026_V13_ECommerce_TQP</t>
  </si>
  <si>
    <t>2026_V13_ECommerce_Transacciones</t>
  </si>
  <si>
    <t>2026_V13_ECommerce_Ventas</t>
  </si>
  <si>
    <t>2026_V13_Express_TQP</t>
  </si>
  <si>
    <t>2026_V13_Express_Transacciones</t>
  </si>
  <si>
    <t>2026_V13_Express_Ventas</t>
  </si>
  <si>
    <t>2026_V13_Llevar_TQP</t>
  </si>
  <si>
    <t>2026_V13_Llevar_Transacciones</t>
  </si>
  <si>
    <t>2026_V13_Llevar_Ventas</t>
  </si>
  <si>
    <t>2026_V13_Salón_TQP</t>
  </si>
  <si>
    <t>2026_V13_Salón_Transacciones</t>
  </si>
  <si>
    <t>2026_V13_Salón_Ventas</t>
  </si>
  <si>
    <t>2026_V13_Total_TQP</t>
  </si>
  <si>
    <t>2026_V13_Total_Transacciones</t>
  </si>
  <si>
    <t>2026_V13_Total_Ventas</t>
  </si>
  <si>
    <t>2026_V13_UberEats_TQP</t>
  </si>
  <si>
    <t>2026_V13_UberEats_Transacciones</t>
  </si>
  <si>
    <t>2026_V13_UberEats_Ventas</t>
  </si>
  <si>
    <t>2026_V18_AutoPollo_TQP</t>
  </si>
  <si>
    <t>V18</t>
  </si>
  <si>
    <t>2026_V18_AutoPollo_Transacciones</t>
  </si>
  <si>
    <t>2026_V18_AutoPollo_Ventas</t>
  </si>
  <si>
    <t>2026_V18_ECommerce_TQP</t>
  </si>
  <si>
    <t>2026_V18_ECommerce_Transacciones</t>
  </si>
  <si>
    <t>2026_V18_ECommerce_Ventas</t>
  </si>
  <si>
    <t>2026_V18_Express_TQP</t>
  </si>
  <si>
    <t>2026_V18_Express_Transacciones</t>
  </si>
  <si>
    <t>2026_V18_Express_Ventas</t>
  </si>
  <si>
    <t>2026_V18_Llevar_TQP</t>
  </si>
  <si>
    <t>2026_V18_Llevar_Transacciones</t>
  </si>
  <si>
    <t>2026_V18_Llevar_Ventas</t>
  </si>
  <si>
    <t>2026_V18_Salón_TQP</t>
  </si>
  <si>
    <t>2026_V18_Salón_Transacciones</t>
  </si>
  <si>
    <t>2026_V18_Salón_Ventas</t>
  </si>
  <si>
    <t>2026_V18_Total_TQP</t>
  </si>
  <si>
    <t>2026_V18_Total_Transacciones</t>
  </si>
  <si>
    <t>2026_V18_Total_Ventas</t>
  </si>
  <si>
    <t>2026_V18_UberEats_TQP</t>
  </si>
  <si>
    <t>2026_V18_UberEats_Transacciones</t>
  </si>
  <si>
    <t>2026_V18_UberEats_Ventas</t>
  </si>
  <si>
    <t>2026_V23_AutoPollo_TQP</t>
  </si>
  <si>
    <t>V23</t>
  </si>
  <si>
    <t>V. Concasa</t>
  </si>
  <si>
    <t>2026_V23_AutoPollo_Transacciones</t>
  </si>
  <si>
    <t>2026_V23_AutoPollo_Ventas</t>
  </si>
  <si>
    <t>2026_V23_ECommerce_TQP</t>
  </si>
  <si>
    <t>2026_V23_ECommerce_Transacciones</t>
  </si>
  <si>
    <t>2026_V23_ECommerce_Ventas</t>
  </si>
  <si>
    <t>2026_V23_Express_TQP</t>
  </si>
  <si>
    <t>2026_V23_Express_Transacciones</t>
  </si>
  <si>
    <t>2026_V23_Express_Ventas</t>
  </si>
  <si>
    <t>2026_V23_Llevar_TQP</t>
  </si>
  <si>
    <t>2026_V23_Llevar_Transacciones</t>
  </si>
  <si>
    <t>2026_V23_Llevar_Ventas</t>
  </si>
  <si>
    <t>2026_V23_Salón_TQP</t>
  </si>
  <si>
    <t>2026_V23_Salón_Transacciones</t>
  </si>
  <si>
    <t>2026_V23_Salón_Ventas</t>
  </si>
  <si>
    <t>2026_V23_Total_TQP</t>
  </si>
  <si>
    <t>2026_V23_Total_Transacciones</t>
  </si>
  <si>
    <t>2026_V23_Total_Ventas</t>
  </si>
  <si>
    <t>2026_V23_UberEats_TQP</t>
  </si>
  <si>
    <t>2026_V23_UberEats_Transacciones</t>
  </si>
  <si>
    <t>2026_V23_UberEats_Ventas</t>
  </si>
  <si>
    <t>2026_V24_AutoPollo_TQP</t>
  </si>
  <si>
    <t>V. Rohrmoser</t>
  </si>
  <si>
    <t>2026_V24_AutoPollo_Transacciones</t>
  </si>
  <si>
    <t>2026_V24_AutoPollo_Ventas</t>
  </si>
  <si>
    <t>2026_V24_ECommerce_TQP</t>
  </si>
  <si>
    <t>2026_V24_ECommerce_Transacciones</t>
  </si>
  <si>
    <t>2026_V24_ECommerce_Ventas</t>
  </si>
  <si>
    <t>2026_V24_Express_TQP</t>
  </si>
  <si>
    <t>2026_V24_Express_Transacciones</t>
  </si>
  <si>
    <t>2026_V24_Express_Ventas</t>
  </si>
  <si>
    <t>2026_V24_Llevar_TQP</t>
  </si>
  <si>
    <t>2026_V24_Llevar_Transacciones</t>
  </si>
  <si>
    <t>2026_V24_Llevar_Ventas</t>
  </si>
  <si>
    <t>2026_V24_Salón_TQP</t>
  </si>
  <si>
    <t>2026_V24_Salón_Transacciones</t>
  </si>
  <si>
    <t>2026_V24_Salón_Ventas</t>
  </si>
  <si>
    <t>2026_V24_Total_TQP</t>
  </si>
  <si>
    <t>2026_V24_Total_Transacciones</t>
  </si>
  <si>
    <t>2026_V24_Total_Ventas</t>
  </si>
  <si>
    <t>2026_V24_UberEats_TQP</t>
  </si>
  <si>
    <t>2026_V24_UberEats_Transacciones</t>
  </si>
  <si>
    <t>2026_V24_UberEats_Ventas</t>
  </si>
  <si>
    <t>2026_V26_AutoPollo_TQP</t>
  </si>
  <si>
    <t>V. San Isidro</t>
  </si>
  <si>
    <t>2026_V26_AutoPollo_Transacciones</t>
  </si>
  <si>
    <t>2026_V26_AutoPollo_Ventas</t>
  </si>
  <si>
    <t>2026_V26_ECommerce_TQP</t>
  </si>
  <si>
    <t>2026_V26_ECommerce_Transacciones</t>
  </si>
  <si>
    <t>2026_V26_ECommerce_Ventas</t>
  </si>
  <si>
    <t>2026_V26_Express_TQP</t>
  </si>
  <si>
    <t>2026_V26_Express_Transacciones</t>
  </si>
  <si>
    <t>2026_V26_Express_Ventas</t>
  </si>
  <si>
    <t>2026_V26_Llevar_TQP</t>
  </si>
  <si>
    <t>2026_V26_Llevar_Transacciones</t>
  </si>
  <si>
    <t>2026_V26_Llevar_Ventas</t>
  </si>
  <si>
    <t>2026_V26_Salón_TQP</t>
  </si>
  <si>
    <t>2026_V26_Salón_Transacciones</t>
  </si>
  <si>
    <t>2026_V26_Salón_Ventas</t>
  </si>
  <si>
    <t>2026_V26_Total_TQP</t>
  </si>
  <si>
    <t>2026_V26_Total_Transacciones</t>
  </si>
  <si>
    <t>2026_V26_Total_Ventas</t>
  </si>
  <si>
    <t>2026_V26_UberEats_TQP</t>
  </si>
  <si>
    <t>2026_V26_UberEats_Transacciones</t>
  </si>
  <si>
    <t>2026_V26_UberEats_Ventas</t>
  </si>
  <si>
    <t>2026_Ventanitas_AutoPollo_TQP</t>
  </si>
  <si>
    <t>2026_Ventanitas_AutoPollo_Transacciones</t>
  </si>
  <si>
    <t>2026_Ventanitas_AutoPollo_Ventas</t>
  </si>
  <si>
    <t>2026_Ventanitas_ECommerce_TQP</t>
  </si>
  <si>
    <t>2026_Ventanitas_ECommerce_Transacciones</t>
  </si>
  <si>
    <t>2026_Ventanitas_ECommerce_Ventas</t>
  </si>
  <si>
    <t>2026_Ventanitas_Express_TQP</t>
  </si>
  <si>
    <t>2026_Ventanitas_Express_Transacciones</t>
  </si>
  <si>
    <t>2026_Ventanitas_Express_Ventas</t>
  </si>
  <si>
    <t>2026_Ventanitas_Llevar_TQP</t>
  </si>
  <si>
    <t>2026_Ventanitas_Llevar_Transacciones</t>
  </si>
  <si>
    <t>2026_Ventanitas_Llevar_Ventas</t>
  </si>
  <si>
    <t>2026_Ventanitas_Salón_TQP</t>
  </si>
  <si>
    <t>2026_Ventanitas_Salón_Transacciones</t>
  </si>
  <si>
    <t>2026_Ventanitas_Salón_Ventas</t>
  </si>
  <si>
    <t>2026_Ventanitas_Total_TQP</t>
  </si>
  <si>
    <t>2026_Ventanitas_Total_Transacciones</t>
  </si>
  <si>
    <t>2026_Ventanitas_Total_Ventas</t>
  </si>
  <si>
    <t>2026_Ventanitas_UberEats_TQP</t>
  </si>
  <si>
    <t>2026_Ventanitas_UberEats_Transacciones</t>
  </si>
  <si>
    <t>2026_Ventanitas_UberEats_Ventas</t>
  </si>
  <si>
    <t>Multicentro Desamparados</t>
  </si>
  <si>
    <t>2026_Corporativo_Todos_TQP</t>
  </si>
  <si>
    <t>Todos</t>
  </si>
  <si>
    <t>2026_Corporativo_Todos_Transacciones</t>
  </si>
  <si>
    <t>2026_Corporativo_Todos_Ventas</t>
  </si>
  <si>
    <t>2026_G30_Todos_TQP</t>
  </si>
  <si>
    <t>2026_G30_Todos_Transacciones</t>
  </si>
  <si>
    <t>2026_G30_Todos_Ventas</t>
  </si>
  <si>
    <t>2026_G31_Todos_TQP</t>
  </si>
  <si>
    <t>2026_G31_Todos_Transacciones</t>
  </si>
  <si>
    <t>2026_G31_Todos_Ventas</t>
  </si>
  <si>
    <t>2026_G32_Todos_TQP</t>
  </si>
  <si>
    <t>2026_G32_Todos_Transacciones</t>
  </si>
  <si>
    <t>2026_G32_Todos_Ventas</t>
  </si>
  <si>
    <t>2026_G33_Todos_TQP</t>
  </si>
  <si>
    <t>2026_G33_Todos_Transacciones</t>
  </si>
  <si>
    <t>2026_G33_Todos_Ventas</t>
  </si>
  <si>
    <t>2026_G34_Todos_TQP</t>
  </si>
  <si>
    <t>2026_G34_Todos_Transacciones</t>
  </si>
  <si>
    <t>2026_G34_Todos_Ventas</t>
  </si>
  <si>
    <t>2026_G35_Todos_TQP</t>
  </si>
  <si>
    <t>2026_G35_Todos_Transacciones</t>
  </si>
  <si>
    <t>2026_G35_Todos_Ventas</t>
  </si>
  <si>
    <t>2026_G36_Todos_TQP</t>
  </si>
  <si>
    <t>2026_G36_Todos_Transacciones</t>
  </si>
  <si>
    <t>2026_G36_Todos_Ventas</t>
  </si>
  <si>
    <t>2026_G37_Todos_TQP</t>
  </si>
  <si>
    <t>2026_G37_Todos_Transacciones</t>
  </si>
  <si>
    <t>2026_G37_Todos_Ventas</t>
  </si>
  <si>
    <t>2026_G38_Todos_TQP</t>
  </si>
  <si>
    <t>2026_G38_Todos_Transacciones</t>
  </si>
  <si>
    <t>2026_G38_Todos_Ventas</t>
  </si>
  <si>
    <t>2026_G39_Todos_TQP</t>
  </si>
  <si>
    <t>2026_G39_Todos_Transacciones</t>
  </si>
  <si>
    <t>2026_G39_Todos_Ventas</t>
  </si>
  <si>
    <t>2026_Restaurantes Nuevos_Todos_TQP</t>
  </si>
  <si>
    <t>2026_Restaurantes Nuevos_Todos_Transacciones</t>
  </si>
  <si>
    <t>2026_Restaurantes Nuevos_Todos_Ventas</t>
  </si>
  <si>
    <t>2026_Restaurantes_Todos_Ventas</t>
  </si>
  <si>
    <t>2026_S01_Todos_TQP</t>
  </si>
  <si>
    <t>2026_S01_Todos_Transacciones</t>
  </si>
  <si>
    <t>2026_S01_Todos_Ventas</t>
  </si>
  <si>
    <t>2026_S04_Todos_TQP</t>
  </si>
  <si>
    <t>2026_S04_Todos_Transacciones</t>
  </si>
  <si>
    <t>2026_S04_Todos_Ventas</t>
  </si>
  <si>
    <t>2026_S06_Todos_TQP</t>
  </si>
  <si>
    <t>2026_S06_Todos_Transacciones</t>
  </si>
  <si>
    <t>2026_S06_Todos_Ventas</t>
  </si>
  <si>
    <t>2026_S08_Todos_TQP</t>
  </si>
  <si>
    <t>2026_S08_Todos_Transacciones</t>
  </si>
  <si>
    <t>2026_S08_Todos_Ventas</t>
  </si>
  <si>
    <t>2026_S09_Todos_TQP</t>
  </si>
  <si>
    <t>2026_S09_Todos_Transacciones</t>
  </si>
  <si>
    <t>2026_S09_Todos_Ventas</t>
  </si>
  <si>
    <t>2026_S10_Todos_TQP</t>
  </si>
  <si>
    <t>2026_S10_Todos_Transacciones</t>
  </si>
  <si>
    <t>2026_S10_Todos_Ventas</t>
  </si>
  <si>
    <t>2026_S12_Todos_TQP</t>
  </si>
  <si>
    <t>2026_S12_Todos_Transacciones</t>
  </si>
  <si>
    <t>2026_S12_Todos_Ventas</t>
  </si>
  <si>
    <t>2026_S13_Todos_TQP</t>
  </si>
  <si>
    <t>2026_S13_Todos_Transacciones</t>
  </si>
  <si>
    <t>2026_S13_Todos_Ventas</t>
  </si>
  <si>
    <t>2026_S14_Todos_TQP</t>
  </si>
  <si>
    <t>2026_S14_Todos_Transacciones</t>
  </si>
  <si>
    <t>2026_S14_Todos_Ventas</t>
  </si>
  <si>
    <t>2026_S19_Todos_TQP</t>
  </si>
  <si>
    <t>2026_S19_Todos_Transacciones</t>
  </si>
  <si>
    <t>2026_S19_Todos_Ventas</t>
  </si>
  <si>
    <t>2026_S20_Todos_TQP</t>
  </si>
  <si>
    <t>2026_S20_Todos_Transacciones</t>
  </si>
  <si>
    <t>2026_S20_Todos_Ventas</t>
  </si>
  <si>
    <t>2026_S21_Todos_TQP</t>
  </si>
  <si>
    <t>2026_S21_Todos_Transacciones</t>
  </si>
  <si>
    <t>2026_S21_Todos_Ventas</t>
  </si>
  <si>
    <t>2026_S22_Todos_TQP</t>
  </si>
  <si>
    <t>2026_S22_Todos_Transacciones</t>
  </si>
  <si>
    <t>2026_S22_Todos_Ventas</t>
  </si>
  <si>
    <t>2026_S24_Todos_TQP</t>
  </si>
  <si>
    <t>2026_S24_Todos_Transacciones</t>
  </si>
  <si>
    <t>2026_S24_Todos_Ventas</t>
  </si>
  <si>
    <t>2026_S27_Todos_TQP</t>
  </si>
  <si>
    <t>2026_S27_Todos_Transacciones</t>
  </si>
  <si>
    <t>2026_S27_Todos_Ventas</t>
  </si>
  <si>
    <t>2026_S31_Todos_TQP</t>
  </si>
  <si>
    <t>2026_S31_Todos_Transacciones</t>
  </si>
  <si>
    <t>2026_S31_Todos_Ventas</t>
  </si>
  <si>
    <t>2026_S32_Todos_TQP</t>
  </si>
  <si>
    <t>2026_S32_Todos_Transacciones</t>
  </si>
  <si>
    <t>2026_S32_Todos_Ventas</t>
  </si>
  <si>
    <t>2026_S38_Todos_TQP</t>
  </si>
  <si>
    <t>2026_S38_Todos_Transacciones</t>
  </si>
  <si>
    <t>2026_S38_Todos_Ventas</t>
  </si>
  <si>
    <t>2026_S39_Todos_TQP</t>
  </si>
  <si>
    <t>2026_S39_Todos_Transacciones</t>
  </si>
  <si>
    <t>2026_S39_Todos_Ventas</t>
  </si>
  <si>
    <t>2026_S42_Todos_TQP</t>
  </si>
  <si>
    <t>2026_S42_Todos_Transacciones</t>
  </si>
  <si>
    <t>2026_S42_Todos_Ventas</t>
  </si>
  <si>
    <t>2026_S44_Todos_TQP</t>
  </si>
  <si>
    <t>2026_S44_Todos_Transacciones</t>
  </si>
  <si>
    <t>2026_S44_Todos_Ventas</t>
  </si>
  <si>
    <t>2026_S67_Todos_TQP</t>
  </si>
  <si>
    <t>2026_S67_Todos_Transacciones</t>
  </si>
  <si>
    <t>2026_S67_Todos_Ventas</t>
  </si>
  <si>
    <t>2026_S71_Todos_TQP</t>
  </si>
  <si>
    <t>2026_S71_Todos_Transacciones</t>
  </si>
  <si>
    <t>2026_S71_Todos_Ventas</t>
  </si>
  <si>
    <t>2026_S72_Todos_TQP</t>
  </si>
  <si>
    <t>2026_S72_Todos_Transacciones</t>
  </si>
  <si>
    <t>2026_S72_Todos_Ventas</t>
  </si>
  <si>
    <t>2026_S84_Todos_TQP</t>
  </si>
  <si>
    <t>2026_S84_Todos_Transacciones</t>
  </si>
  <si>
    <t>2026_S84_Todos_Ventas</t>
  </si>
  <si>
    <t>2026_S85_Todos_TQP</t>
  </si>
  <si>
    <t>2026_S85_Todos_Transacciones</t>
  </si>
  <si>
    <t>2026_S85_Todos_Ventas</t>
  </si>
  <si>
    <t>2026_S86_Todos_TQP</t>
  </si>
  <si>
    <t>2026_S86_Todos_Transacciones</t>
  </si>
  <si>
    <t>2026_S86_Todos_Ventas</t>
  </si>
  <si>
    <t>2026_S87_Todos_TQP</t>
  </si>
  <si>
    <t>2026_S87_Todos_Transacciones</t>
  </si>
  <si>
    <t>2026_S87_Todos_Ventas</t>
  </si>
  <si>
    <t>2026_S89_Todos_TQP</t>
  </si>
  <si>
    <t>2026_S89_Todos_Transacciones</t>
  </si>
  <si>
    <t>2026_S89_Todos_Ventas</t>
  </si>
  <si>
    <t>2026_S91_Todos_TQP</t>
  </si>
  <si>
    <t>2026_S91_Todos_Transacciones</t>
  </si>
  <si>
    <t>2026_S91_Todos_Ventas</t>
  </si>
  <si>
    <t>2026_V01_Todos_TQP</t>
  </si>
  <si>
    <t>2026_V01_Todos_Transacciones</t>
  </si>
  <si>
    <t>2026_V01_Todos_Ventas</t>
  </si>
  <si>
    <t>2026_V02_Todos_TQP</t>
  </si>
  <si>
    <t>2026_V02_Todos_Transacciones</t>
  </si>
  <si>
    <t>2026_V02_Todos_Ventas</t>
  </si>
  <si>
    <t>2026_V05_Todos_TQP</t>
  </si>
  <si>
    <t>2026_V05_Todos_Transacciones</t>
  </si>
  <si>
    <t>2026_V05_Todos_Ventas</t>
  </si>
  <si>
    <t>2026_V06_Todos_TQP</t>
  </si>
  <si>
    <t>2026_V06_Todos_Transacciones</t>
  </si>
  <si>
    <t>2026_V06_Todos_Ventas</t>
  </si>
  <si>
    <t>2026_V07_Todos_TQP</t>
  </si>
  <si>
    <t>2026_V07_Todos_Transacciones</t>
  </si>
  <si>
    <t>2026_V07_Todos_Ventas</t>
  </si>
  <si>
    <t>2026_V10_Todos_TQP</t>
  </si>
  <si>
    <t>2026_V10_Todos_Transacciones</t>
  </si>
  <si>
    <t>2026_V10_Todos_Ventas</t>
  </si>
  <si>
    <t>2026_V11_Todos_TQP</t>
  </si>
  <si>
    <t>2026_V11_Todos_Transacciones</t>
  </si>
  <si>
    <t>2026_V11_Todos_Ventas</t>
  </si>
  <si>
    <t>2026_V12_Todos_TQP</t>
  </si>
  <si>
    <t>2026_V12_Todos_Transacciones</t>
  </si>
  <si>
    <t>2026_V12_Todos_Ventas</t>
  </si>
  <si>
    <t>2026_V13_Todos_TQP</t>
  </si>
  <si>
    <t>2026_V13_Todos_Transacciones</t>
  </si>
  <si>
    <t>2026_V13_Todos_Ventas</t>
  </si>
  <si>
    <t>2026_V18_Todos_TQP</t>
  </si>
  <si>
    <t>2026_V18_Todos_Transacciones</t>
  </si>
  <si>
    <t>2026_V18_Todos_Ventas</t>
  </si>
  <si>
    <t>2026_V23_Todos_TQP</t>
  </si>
  <si>
    <t>2026_V23_Todos_Transacciones</t>
  </si>
  <si>
    <t>2026_V23_Todos_Ventas</t>
  </si>
  <si>
    <t>2026_V24_Todos_TQP</t>
  </si>
  <si>
    <t>2026_V24_Todos_Transacciones</t>
  </si>
  <si>
    <t>2026_V24_Todos_Ventas</t>
  </si>
  <si>
    <t>2026_V26_Todos_TQP</t>
  </si>
  <si>
    <t>2026_V26_Todos_Transacciones</t>
  </si>
  <si>
    <t>2026_V26_Todos_Ventas</t>
  </si>
  <si>
    <t>2026_Ventanitas_Todos_TQP</t>
  </si>
  <si>
    <t>2026_Ventanitas_Todos_Transacciones</t>
  </si>
  <si>
    <t>2026_Ventanitas_Todos_Ventas</t>
  </si>
  <si>
    <t>G40</t>
  </si>
  <si>
    <t>2026_G40_Total_TQP</t>
  </si>
  <si>
    <t>2026_G40_Total_Transacciones</t>
  </si>
  <si>
    <t>2026_G40_Total_Ventas</t>
  </si>
  <si>
    <t>GuachipelÃ­n</t>
  </si>
  <si>
    <t>V. Ciudad ColÃ³n</t>
  </si>
  <si>
    <t>2026_G40_AutoPollo_TQP</t>
  </si>
  <si>
    <t>2026_G40_AutoPollo_Transacciones</t>
  </si>
  <si>
    <t>2026_G40_AutoPollo_Ventas</t>
  </si>
  <si>
    <t>2026_G40_ECommerce_TQP</t>
  </si>
  <si>
    <t>2026_G40_ECommerce_Transacciones</t>
  </si>
  <si>
    <t>2026_G40_ECommerce_Ventas</t>
  </si>
  <si>
    <t>2026_G40_Express_TQP</t>
  </si>
  <si>
    <t>2026_G40_Express_Transacciones</t>
  </si>
  <si>
    <t>2026_G40_Express_Ventas</t>
  </si>
  <si>
    <t>2026_G40_Llevar_TQP</t>
  </si>
  <si>
    <t>2026_G40_Llevar_Transacciones</t>
  </si>
  <si>
    <t>2026_G40_Llevar_Ventas</t>
  </si>
  <si>
    <t>2026_G40_Salón_TQP</t>
  </si>
  <si>
    <t>2026_G40_Salón_Transacciones</t>
  </si>
  <si>
    <t>2026_G40_Salón_Ventas</t>
  </si>
  <si>
    <t>2026_G40_Todos_TQP</t>
  </si>
  <si>
    <t>2026_G40_Todos_Transacciones</t>
  </si>
  <si>
    <t>2026_G40_Todos_Ventas</t>
  </si>
  <si>
    <t>2026_G40_UberEats_TQP</t>
  </si>
  <si>
    <t>2026_G40_UberEats_Transacciones</t>
  </si>
  <si>
    <t>2026_G40_UberEats_Ventas</t>
  </si>
  <si>
    <t>NUEVO</t>
  </si>
  <si>
    <t>TOP 10  Ventas</t>
  </si>
  <si>
    <t>Tiquete promedio</t>
  </si>
  <si>
    <t>Coord</t>
  </si>
  <si>
    <t>Vrs 2025</t>
  </si>
  <si>
    <t>Uber</t>
  </si>
  <si>
    <t>Resumen:</t>
  </si>
  <si>
    <t>#  Problemas</t>
  </si>
  <si>
    <t>Vrs Pres</t>
  </si>
  <si>
    <t>Problema de transacciones de Uber</t>
  </si>
  <si>
    <t>Problema de tiquete promedio de Salon</t>
  </si>
  <si>
    <t>Problema de y transacciones en Salon y Uber + Tiquete promedio de Salon</t>
  </si>
  <si>
    <t>Problema de transacciones de Uber y tiquete promedio de Salon</t>
  </si>
  <si>
    <t>Problema de transacciones de Uber + tiquete promedio Salon</t>
  </si>
  <si>
    <t>Parques</t>
  </si>
  <si>
    <t>Coordinador</t>
  </si>
  <si>
    <t>Coordinador 1</t>
  </si>
  <si>
    <t>Coordinador 2</t>
  </si>
  <si>
    <t>Coordinador 3</t>
  </si>
  <si>
    <t>V</t>
  </si>
  <si>
    <t>Problema de transacciones de Salon + tiquete proemdio salon</t>
  </si>
  <si>
    <t>DIAS COMPARABLES</t>
  </si>
  <si>
    <t>Diferencia</t>
  </si>
  <si>
    <t>P2026</t>
  </si>
  <si>
    <t>M</t>
  </si>
  <si>
    <t>J</t>
  </si>
  <si>
    <t>S</t>
  </si>
  <si>
    <t>D</t>
  </si>
  <si>
    <t>L</t>
  </si>
  <si>
    <t>K</t>
  </si>
  <si>
    <t>SSS</t>
  </si>
  <si>
    <t>Lineal</t>
  </si>
  <si>
    <t>2025_S04_ECommerce_TQP</t>
  </si>
  <si>
    <t>2025_S04_ECommerce_Transacciones</t>
  </si>
  <si>
    <t>2025_S04_ECommerce_Ventas</t>
  </si>
  <si>
    <t>2025_S08_Express_TQP</t>
  </si>
  <si>
    <t>2025_S08_Express_Transacciones</t>
  </si>
  <si>
    <t>2025_S08_Express_Ventas</t>
  </si>
  <si>
    <t>2025_S09_ECommerce_TQP</t>
  </si>
  <si>
    <t>2025_S09_ECommerce_Transacciones</t>
  </si>
  <si>
    <t>2025_S09_ECommerce_Ventas</t>
  </si>
  <si>
    <t>2025_S12_ECommerce_TQP</t>
  </si>
  <si>
    <t>2025_S12_ECommerce_Transacciones</t>
  </si>
  <si>
    <t>2025_S12_ECommerce_Ventas</t>
  </si>
  <si>
    <t>2025_S13_ECommerce_TQP</t>
  </si>
  <si>
    <t>2025_S13_ECommerce_Transacciones</t>
  </si>
  <si>
    <t>2025_S13_ECommerce_Ventas</t>
  </si>
  <si>
    <t>2025_S13_Express_TQP</t>
  </si>
  <si>
    <t>2025_S13_Express_Transacciones</t>
  </si>
  <si>
    <t>2025_S13_Express_Ventas</t>
  </si>
  <si>
    <t>2025_S14_ECommerce_TQP</t>
  </si>
  <si>
    <t>2025_S14_ECommerce_Transacciones</t>
  </si>
  <si>
    <t>2025_S14_ECommerce_Ventas</t>
  </si>
  <si>
    <t>2025_S19_ECommerce_TQP</t>
  </si>
  <si>
    <t>2025_S19_ECommerce_Transacciones</t>
  </si>
  <si>
    <t>2025_S19_ECommerce_Ventas</t>
  </si>
  <si>
    <t>2025_S20_ECommerce_TQP</t>
  </si>
  <si>
    <t>2025_S20_ECommerce_Transacciones</t>
  </si>
  <si>
    <t>2025_S20_ECommerce_Ventas</t>
  </si>
  <si>
    <t>2025_S27_ECommerce_TQP</t>
  </si>
  <si>
    <t>2025_S27_ECommerce_Transacciones</t>
  </si>
  <si>
    <t>2025_S27_ECommerce_Ventas</t>
  </si>
  <si>
    <t>2025_S67_ECommerce_TQP</t>
  </si>
  <si>
    <t>2025_S67_ECommerce_Transacciones</t>
  </si>
  <si>
    <t>2025_S67_ECommerce_Ventas</t>
  </si>
  <si>
    <t>2025_S91_ECommerce_TQP</t>
  </si>
  <si>
    <t>2025_S91_ECommerce_Transacciones</t>
  </si>
  <si>
    <t>2025_S91_ECommerce_Ventas</t>
  </si>
  <si>
    <t>2025_S91_Express_TQP</t>
  </si>
  <si>
    <t>2025_S91_Express_Transacciones</t>
  </si>
  <si>
    <t>2025_S91_Express_Ventas</t>
  </si>
  <si>
    <t>2025_S91_Llevar_TQP</t>
  </si>
  <si>
    <t>2025_S91_Llevar_Transacciones</t>
  </si>
  <si>
    <t>2025_S91_Llevar_Ventas</t>
  </si>
  <si>
    <t>2025_V01_Express_TQP</t>
  </si>
  <si>
    <t>2025_V01_Express_Transacciones</t>
  </si>
  <si>
    <t>2025_V01_Express_Ventas</t>
  </si>
  <si>
    <t>2025_V01_Llevar_TQP</t>
  </si>
  <si>
    <t>2025_V01_Llevar_Transacciones</t>
  </si>
  <si>
    <t>2025_V01_Llevar_Ventas</t>
  </si>
  <si>
    <t>2025_V07_Llevar_TQP</t>
  </si>
  <si>
    <t>2025_V07_Llevar_Transacciones</t>
  </si>
  <si>
    <t>2025_V07_Llevar_Ventas</t>
  </si>
  <si>
    <t>2025_V12_Express_TQP</t>
  </si>
  <si>
    <t>2025_V12_Express_Transacciones</t>
  </si>
  <si>
    <t>2025_V12_Express_Ventas</t>
  </si>
  <si>
    <t>2025_V12_Llevar_TQP</t>
  </si>
  <si>
    <t>2025_V12_Llevar_Transacciones</t>
  </si>
  <si>
    <t>2025_V12_Llevar_Ventas</t>
  </si>
  <si>
    <t>2025_Ventanitas_Express_TQP</t>
  </si>
  <si>
    <t>2025_Ventanitas_Express_Transacciones</t>
  </si>
  <si>
    <t>2025_Ventanitas_Express_Ventas</t>
  </si>
  <si>
    <t>2025_Ventanitas_Llevar_TQP</t>
  </si>
  <si>
    <t>2025_Ventanitas_Llevar_Transacciones</t>
  </si>
  <si>
    <t>2025_Ventanitas_Llevar_Ventas</t>
  </si>
  <si>
    <t>2026_Restaurantes_ECommerce_TQP</t>
  </si>
  <si>
    <t>2026_Restaurantes_ECommerce_Transacciones</t>
  </si>
  <si>
    <t>2025_S89_Llevar_TQP</t>
  </si>
  <si>
    <t>2025_S89_Llevar_Transacciones</t>
  </si>
  <si>
    <t>2025_S89_Llevar_Ventas</t>
  </si>
  <si>
    <t>2025_V02_Llevar_TQP</t>
  </si>
  <si>
    <t>2025_V02_Llevar_Transacciones</t>
  </si>
  <si>
    <t>2025_V02_Llevar_Ventas</t>
  </si>
  <si>
    <t>2025_V24_Llevar_TQP</t>
  </si>
  <si>
    <t>2025_V24_Llevar_Transacciones</t>
  </si>
  <si>
    <t>2025_V24_Llevar_Ventas</t>
  </si>
  <si>
    <t>San José Centro y Sur</t>
  </si>
  <si>
    <t>Coordinador  2</t>
  </si>
  <si>
    <t>Coordinador  1</t>
  </si>
  <si>
    <t>San José Norte</t>
  </si>
  <si>
    <t>San Jose Este</t>
  </si>
  <si>
    <t>San Jose Oeste</t>
  </si>
  <si>
    <t>SAME STORE SALE</t>
  </si>
  <si>
    <t>TOTAL RESTAURANTES</t>
  </si>
  <si>
    <t>TOTAL VENTANITAS</t>
  </si>
  <si>
    <t>TOTAL NUEVOS</t>
  </si>
  <si>
    <t>25/26</t>
  </si>
  <si>
    <t>Ecomm / 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</si>
</sst>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800]dddd\,\ mmmm\ dd\,\ yyyy"/>
    <numFmt numFmtId="165" formatCode="#,##0.00\ _€"/>
    <numFmt numFmtId="166" formatCode="0.0%"/>
    <numFmt numFmtId="167" formatCode="#,##0\ _€"/>
  </numFmts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  <font>
      <sz val="11"/>
      <color theme="7" tint="0.39997558519241921"/>
      <name val="Calibri"/>
      <family val="2"/>
      <scheme val="minor"/>
    </font>
    <font>
      <b/>
      <sz val="14"/>
      <color theme="7" tint="0.39997558519241921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6"/>
      <color theme="7" tint="0.39997558519241921"/>
      <name val="Calibri"/>
      <family val="2"/>
      <scheme val="minor"/>
    </font>
    <font>
      <sz val="16"/>
      <color theme="7" tint="0.39997558519241921"/>
      <name val="Calibri"/>
      <family val="2"/>
      <scheme val="minor"/>
    </font>
    <font>
      <b/>
      <sz val="16"/>
      <color rgb="FFFFC000"/>
      <name val="Calibri"/>
      <family val="2"/>
      <scheme val="minor"/>
    </font>
    <font>
      <sz val="16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399975585192419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54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9" fontId="0" fillId="0" borderId="0" xfId="0" applyNumberFormat="1"/>
    <xf numFmtId="9" fontId="3" fillId="0" borderId="0" xfId="0" applyNumberFormat="1" applyFont="1"/>
    <xf numFmtId="0" fontId="4" fillId="0" borderId="0" xfId="0" applyFont="1"/>
    <xf numFmtId="9" fontId="1" fillId="0" borderId="0" xfId="0" applyNumberFormat="1" applyFont="1"/>
    <xf numFmtId="9" fontId="5" fillId="0" borderId="0" xfId="0" applyNumberFormat="1" applyFont="1"/>
    <xf numFmtId="164" fontId="0" fillId="0" borderId="0" xfId="0" applyNumberFormat="1"/>
    <xf numFmtId="0" fontId="6" fillId="2" borderId="1" xfId="0" applyFont="1" applyFill="1" applyBorder="1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9" fontId="0" fillId="0" borderId="5" xfId="0" applyNumberFormat="1" applyBorder="1"/>
    <xf numFmtId="165" fontId="0" fillId="0" borderId="0" xfId="0" applyNumberFormat="1"/>
    <xf numFmtId="165" fontId="0" fillId="0" borderId="5" xfId="0" applyNumberFormat="1" applyBorder="1"/>
    <xf numFmtId="4" fontId="0" fillId="0" borderId="0" xfId="0" applyNumberFormat="1"/>
    <xf numFmtId="4" fontId="0" fillId="0" borderId="5" xfId="0" applyNumberFormat="1" applyBorder="1"/>
    <xf numFmtId="0" fontId="4" fillId="0" borderId="0" xfId="0" applyFont="1" applyAlignment="1">
      <alignment horizontal="center"/>
    </xf>
    <xf numFmtId="164" fontId="0" fillId="5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/>
    </xf>
    <xf numFmtId="2" fontId="7" fillId="4" borderId="0" xfId="0" applyNumberFormat="1" applyFont="1" applyFill="1" applyAlignment="1">
      <alignment horizontal="center"/>
    </xf>
    <xf numFmtId="166" fontId="0" fillId="0" borderId="0" xfId="0" applyNumberFormat="1"/>
    <xf numFmtId="166" fontId="0" fillId="0" borderId="5" xfId="0" applyNumberFormat="1" applyBorder="1"/>
    <xf numFmtId="14" fontId="0" fillId="0" borderId="0" xfId="0" applyNumberFormat="1"/>
    <xf numFmtId="9" fontId="0" fillId="0" borderId="0" xfId="1" applyFont="1"/>
    <xf numFmtId="9" fontId="0" fillId="0" borderId="5" xfId="1" applyFont="1" applyBorder="1"/>
    <xf numFmtId="9" fontId="0" fillId="0" borderId="0" xfId="1" applyFont="1" applyBorder="1"/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0" fontId="6" fillId="2" borderId="0" xfId="0" applyFont="1" applyFill="1"/>
    <xf numFmtId="9" fontId="1" fillId="0" borderId="0" xfId="1" applyFont="1" applyAlignment="1">
      <alignment horizontal="center"/>
    </xf>
    <xf numFmtId="166" fontId="0" fillId="0" borderId="0" xfId="1" applyNumberFormat="1" applyFont="1"/>
    <xf numFmtId="166" fontId="1" fillId="0" borderId="0" xfId="1" applyNumberFormat="1" applyFont="1" applyAlignment="1">
      <alignment horizontal="center"/>
    </xf>
    <xf numFmtId="166" fontId="0" fillId="0" borderId="5" xfId="1" applyNumberFormat="1" applyFont="1" applyBorder="1"/>
    <xf numFmtId="10" fontId="0" fillId="0" borderId="0" xfId="1" applyNumberFormat="1" applyFont="1"/>
    <xf numFmtId="166" fontId="0" fillId="0" borderId="0" xfId="1" applyNumberFormat="1" applyFont="1" applyBorder="1"/>
    <xf numFmtId="164" fontId="0" fillId="0" borderId="0" xfId="0" applyNumberFormat="1" applyAlignment="1">
      <alignment horizontal="center"/>
    </xf>
    <xf numFmtId="14" fontId="0" fillId="0" borderId="0" xfId="0" quotePrefix="1" applyNumberFormat="1" applyAlignment="1">
      <alignment horizontal="center"/>
    </xf>
    <xf numFmtId="0" fontId="7" fillId="6" borderId="7" xfId="0" applyFont="1" applyFill="1" applyBorder="1" applyAlignment="1">
      <alignment horizontal="center"/>
    </xf>
    <xf numFmtId="0" fontId="7" fillId="6" borderId="8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0" fillId="0" borderId="0" xfId="0" applyFont="1"/>
    <xf numFmtId="3" fontId="11" fillId="0" borderId="0" xfId="0" applyNumberFormat="1" applyFont="1" applyAlignment="1">
      <alignment horizontal="right"/>
    </xf>
    <xf numFmtId="3" fontId="11" fillId="0" borderId="0" xfId="0" applyNumberFormat="1" applyFont="1" applyAlignment="1">
      <alignment horizontal="right" wrapText="1"/>
    </xf>
    <xf numFmtId="0" fontId="11" fillId="2" borderId="0" xfId="0" applyFont="1" applyFill="1" applyAlignment="1">
      <alignment horizontal="center"/>
    </xf>
    <xf numFmtId="0" fontId="0" fillId="8" borderId="9" xfId="0" applyFill="1" applyBorder="1"/>
    <xf numFmtId="0" fontId="0" fillId="8" borderId="10" xfId="0" applyFill="1" applyBorder="1"/>
    <xf numFmtId="0" fontId="0" fillId="8" borderId="11" xfId="0" applyFill="1" applyBorder="1"/>
    <xf numFmtId="0" fontId="0" fillId="8" borderId="12" xfId="0" applyFill="1" applyBorder="1"/>
    <xf numFmtId="0" fontId="0" fillId="8" borderId="14" xfId="0" applyFill="1" applyBorder="1"/>
    <xf numFmtId="0" fontId="0" fillId="8" borderId="13" xfId="0" applyFill="1" applyBorder="1"/>
    <xf numFmtId="0" fontId="1" fillId="8" borderId="12" xfId="0" applyFont="1" applyFill="1" applyBorder="1" applyAlignment="1">
      <alignment horizontal="center"/>
    </xf>
    <xf numFmtId="0" fontId="0" fillId="8" borderId="5" xfId="0" applyFill="1" applyBorder="1"/>
    <xf numFmtId="0" fontId="0" fillId="9" borderId="9" xfId="0" applyFill="1" applyBorder="1"/>
    <xf numFmtId="0" fontId="0" fillId="9" borderId="10" xfId="0" applyFill="1" applyBorder="1"/>
    <xf numFmtId="0" fontId="0" fillId="9" borderId="11" xfId="0" applyFill="1" applyBorder="1"/>
    <xf numFmtId="0" fontId="0" fillId="9" borderId="12" xfId="0" applyFill="1" applyBorder="1"/>
    <xf numFmtId="0" fontId="0" fillId="9" borderId="14" xfId="0" applyFill="1" applyBorder="1"/>
    <xf numFmtId="0" fontId="0" fillId="9" borderId="13" xfId="0" applyFill="1" applyBorder="1"/>
    <xf numFmtId="0" fontId="1" fillId="9" borderId="13" xfId="0" applyFont="1" applyFill="1" applyBorder="1" applyAlignment="1">
      <alignment horizontal="center"/>
    </xf>
    <xf numFmtId="0" fontId="1" fillId="9" borderId="5" xfId="0" applyFont="1" applyFill="1" applyBorder="1"/>
    <xf numFmtId="166" fontId="0" fillId="9" borderId="5" xfId="1" applyNumberFormat="1" applyFont="1" applyFill="1" applyBorder="1"/>
    <xf numFmtId="166" fontId="13" fillId="8" borderId="1" xfId="0" applyNumberFormat="1" applyFont="1" applyFill="1" applyBorder="1"/>
    <xf numFmtId="166" fontId="13" fillId="9" borderId="15" xfId="0" applyNumberFormat="1" applyFont="1" applyFill="1" applyBorder="1"/>
    <xf numFmtId="3" fontId="12" fillId="6" borderId="0" xfId="0" applyNumberFormat="1" applyFont="1" applyFill="1" applyAlignment="1">
      <alignment horizontal="right"/>
    </xf>
    <xf numFmtId="3" fontId="0" fillId="0" borderId="0" xfId="0" applyNumberFormat="1"/>
    <xf numFmtId="0" fontId="10" fillId="0" borderId="0" xfId="0" applyFont="1" applyAlignment="1">
      <alignment horizontal="right"/>
    </xf>
    <xf numFmtId="166" fontId="10" fillId="0" borderId="0" xfId="1" applyNumberFormat="1" applyFont="1"/>
    <xf numFmtId="0" fontId="0" fillId="9" borderId="0" xfId="0" applyFill="1"/>
    <xf numFmtId="3" fontId="0" fillId="0" borderId="5" xfId="0" applyNumberFormat="1" applyBorder="1"/>
    <xf numFmtId="167" fontId="0" fillId="0" borderId="0" xfId="0" applyNumberFormat="1"/>
    <xf numFmtId="167" fontId="0" fillId="0" borderId="5" xfId="0" applyNumberFormat="1" applyBorder="1"/>
    <xf numFmtId="167" fontId="0" fillId="0" borderId="0" xfId="0" applyNumberFormat="1" applyAlignment="1">
      <alignment horizontal="right"/>
    </xf>
    <xf numFmtId="167" fontId="0" fillId="0" borderId="5" xfId="0" applyNumberFormat="1" applyBorder="1" applyAlignment="1">
      <alignment horizontal="right"/>
    </xf>
    <xf numFmtId="0" fontId="0" fillId="0" borderId="5" xfId="0" applyBorder="1"/>
    <xf numFmtId="3" fontId="16" fillId="0" borderId="0" xfId="0" applyNumberFormat="1" applyFont="1"/>
    <xf numFmtId="0" fontId="2" fillId="2" borderId="0" xfId="0" applyFont="1" applyFill="1"/>
    <xf numFmtId="166" fontId="17" fillId="0" borderId="0" xfId="1" applyNumberFormat="1" applyFont="1"/>
    <xf numFmtId="166" fontId="18" fillId="0" borderId="0" xfId="1" applyNumberFormat="1" applyFont="1"/>
    <xf numFmtId="166" fontId="5" fillId="0" borderId="0" xfId="1" applyNumberFormat="1" applyFont="1"/>
    <xf numFmtId="166" fontId="19" fillId="0" borderId="0" xfId="1" applyNumberFormat="1" applyFont="1"/>
    <xf numFmtId="16" fontId="1" fillId="0" borderId="0" xfId="0" applyNumberFormat="1" applyFont="1"/>
    <xf numFmtId="0" fontId="0" fillId="10" borderId="0" xfId="0" applyFill="1" applyAlignment="1">
      <alignment horizontal="center"/>
    </xf>
    <xf numFmtId="4" fontId="0" fillId="10" borderId="0" xfId="0" applyNumberFormat="1" applyFill="1"/>
    <xf numFmtId="4" fontId="0" fillId="10" borderId="0" xfId="0" applyNumberFormat="1" applyFill="1" applyAlignment="1">
      <alignment horizontal="center"/>
    </xf>
    <xf numFmtId="9" fontId="0" fillId="10" borderId="0" xfId="1" applyFont="1" applyFill="1"/>
    <xf numFmtId="0" fontId="1" fillId="0" borderId="0" xfId="0" applyFont="1" applyAlignment="1">
      <alignment horizontal="right"/>
    </xf>
    <xf numFmtId="4" fontId="1" fillId="0" borderId="0" xfId="0" applyNumberFormat="1" applyFont="1"/>
    <xf numFmtId="166" fontId="1" fillId="0" borderId="0" xfId="1" applyNumberFormat="1" applyFont="1"/>
    <xf numFmtId="9" fontId="1" fillId="0" borderId="0" xfId="1" applyFont="1"/>
    <xf numFmtId="0" fontId="1" fillId="2" borderId="0" xfId="0" applyFont="1" applyFill="1" applyAlignment="1">
      <alignment horizontal="left"/>
    </xf>
    <xf numFmtId="0" fontId="4" fillId="0" borderId="0" xfId="0" applyFont="1" applyAlignment="1">
      <alignment horizontal="right" indent="1"/>
    </xf>
    <xf numFmtId="0" fontId="1" fillId="2" borderId="0" xfId="0" applyFont="1" applyFill="1" applyAlignment="1">
      <alignment horizontal="right"/>
    </xf>
    <xf numFmtId="3" fontId="1" fillId="0" borderId="0" xfId="0" applyNumberFormat="1" applyFont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2" fillId="0" borderId="16" xfId="0" applyFont="1" applyBorder="1"/>
    <xf numFmtId="3" fontId="0" fillId="0" borderId="16" xfId="0" applyNumberFormat="1" applyBorder="1"/>
    <xf numFmtId="166" fontId="0" fillId="0" borderId="16" xfId="1" applyNumberFormat="1" applyFont="1" applyBorder="1"/>
    <xf numFmtId="0" fontId="23" fillId="6" borderId="17" xfId="0" applyFont="1" applyFill="1" applyBorder="1" applyAlignment="1">
      <alignment horizontal="center"/>
    </xf>
    <xf numFmtId="0" fontId="20" fillId="9" borderId="16" xfId="0" applyFont="1" applyFill="1" applyBorder="1" applyAlignment="1">
      <alignment horizontal="right" indent="1"/>
    </xf>
    <xf numFmtId="0" fontId="7" fillId="9" borderId="16" xfId="0" applyFont="1" applyFill="1" applyBorder="1"/>
    <xf numFmtId="3" fontId="20" fillId="9" borderId="16" xfId="0" applyNumberFormat="1" applyFont="1" applyFill="1" applyBorder="1" applyAlignment="1">
      <alignment horizontal="center"/>
    </xf>
    <xf numFmtId="166" fontId="7" fillId="9" borderId="16" xfId="1" applyNumberFormat="1" applyFont="1" applyFill="1" applyBorder="1"/>
    <xf numFmtId="0" fontId="0" fillId="0" borderId="16" xfId="0" applyBorder="1"/>
    <xf numFmtId="0" fontId="1" fillId="11" borderId="16" xfId="0" applyFont="1" applyFill="1" applyBorder="1"/>
    <xf numFmtId="0" fontId="4" fillId="11" borderId="16" xfId="0" applyFont="1" applyFill="1" applyBorder="1"/>
    <xf numFmtId="166" fontId="1" fillId="11" borderId="16" xfId="1" applyNumberFormat="1" applyFont="1" applyFill="1" applyBorder="1"/>
    <xf numFmtId="3" fontId="1" fillId="11" borderId="16" xfId="0" applyNumberFormat="1" applyFont="1" applyFill="1" applyBorder="1" applyAlignment="1">
      <alignment horizontal="center"/>
    </xf>
    <xf numFmtId="166" fontId="0" fillId="6" borderId="0" xfId="1" applyNumberFormat="1" applyFont="1" applyFill="1" applyBorder="1"/>
    <xf numFmtId="0" fontId="21" fillId="6" borderId="0" xfId="0" applyFont="1" applyFill="1"/>
    <xf numFmtId="0" fontId="22" fillId="6" borderId="0" xfId="0" applyFont="1" applyFill="1"/>
    <xf numFmtId="166" fontId="22" fillId="6" borderId="0" xfId="1" applyNumberFormat="1" applyFont="1" applyFill="1" applyBorder="1"/>
    <xf numFmtId="3" fontId="21" fillId="6" borderId="0" xfId="0" applyNumberFormat="1" applyFont="1" applyFill="1" applyAlignment="1">
      <alignment horizontal="center"/>
    </xf>
    <xf numFmtId="0" fontId="23" fillId="6" borderId="20" xfId="0" applyFont="1" applyFill="1" applyBorder="1" applyAlignment="1">
      <alignment horizontal="center"/>
    </xf>
    <xf numFmtId="166" fontId="22" fillId="12" borderId="0" xfId="1" applyNumberFormat="1" applyFont="1" applyFill="1" applyBorder="1"/>
    <xf numFmtId="3" fontId="24" fillId="12" borderId="0" xfId="0" applyNumberFormat="1" applyFont="1" applyFill="1" applyAlignment="1">
      <alignment horizontal="center"/>
    </xf>
    <xf numFmtId="167" fontId="0" fillId="0" borderId="16" xfId="0" applyNumberFormat="1" applyBorder="1"/>
    <xf numFmtId="166" fontId="0" fillId="0" borderId="16" xfId="0" applyNumberFormat="1" applyBorder="1"/>
    <xf numFmtId="167" fontId="0" fillId="0" borderId="16" xfId="0" applyNumberFormat="1" applyBorder="1" applyAlignment="1">
      <alignment horizontal="right"/>
    </xf>
    <xf numFmtId="165" fontId="0" fillId="0" borderId="16" xfId="0" applyNumberFormat="1" applyBorder="1" applyAlignment="1">
      <alignment horizontal="right"/>
    </xf>
    <xf numFmtId="0" fontId="25" fillId="12" borderId="17" xfId="0" applyFont="1" applyFill="1" applyBorder="1" applyAlignment="1">
      <alignment horizontal="center"/>
    </xf>
    <xf numFmtId="0" fontId="26" fillId="12" borderId="3" xfId="0" applyFont="1" applyFill="1" applyBorder="1"/>
    <xf numFmtId="3" fontId="27" fillId="12" borderId="3" xfId="0" applyNumberFormat="1" applyFont="1" applyFill="1" applyBorder="1" applyAlignment="1">
      <alignment horizontal="center"/>
    </xf>
    <xf numFmtId="166" fontId="26" fillId="12" borderId="3" xfId="1" applyNumberFormat="1" applyFont="1" applyFill="1" applyBorder="1"/>
    <xf numFmtId="0" fontId="28" fillId="0" borderId="3" xfId="0" applyFont="1" applyBorder="1"/>
    <xf numFmtId="166" fontId="26" fillId="12" borderId="4" xfId="1" applyNumberFormat="1" applyFont="1" applyFill="1" applyBorder="1"/>
    <xf numFmtId="14" fontId="1" fillId="0" borderId="0" xfId="0" applyNumberFormat="1" applyFont="1" applyAlignment="1">
      <alignment horizontal="center"/>
    </xf>
    <xf numFmtId="0" fontId="0" fillId="6" borderId="0" xfId="0" applyFill="1"/>
    <xf numFmtId="0" fontId="1" fillId="6" borderId="0" xfId="0" applyFont="1" applyFill="1" applyAlignment="1">
      <alignment horizontal="center"/>
    </xf>
    <xf numFmtId="166" fontId="0" fillId="6" borderId="0" xfId="1" applyNumberFormat="1" applyFont="1" applyFill="1"/>
    <xf numFmtId="3" fontId="0" fillId="6" borderId="0" xfId="0" applyNumberFormat="1" applyFill="1"/>
    <xf numFmtId="3" fontId="16" fillId="6" borderId="0" xfId="0" applyNumberFormat="1" applyFont="1" applyFill="1"/>
    <xf numFmtId="166" fontId="0" fillId="6" borderId="0" xfId="0" applyNumberFormat="1" applyFill="1"/>
    <xf numFmtId="166" fontId="28" fillId="6" borderId="3" xfId="0" applyNumberFormat="1" applyFont="1" applyFill="1" applyBorder="1"/>
    <xf numFmtId="0" fontId="1" fillId="2" borderId="0" xfId="0" applyFont="1" applyFill="1" applyAlignment="1">
      <alignment horizontal="center"/>
    </xf>
    <xf numFmtId="166" fontId="1" fillId="2" borderId="6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4" fillId="8" borderId="10" xfId="0" applyFont="1" applyFill="1" applyBorder="1" applyAlignment="1">
      <alignment horizontal="center"/>
    </xf>
    <xf numFmtId="0" fontId="15" fillId="9" borderId="10" xfId="0" applyFont="1" applyFill="1" applyBorder="1" applyAlignment="1">
      <alignment horizontal="center" vertical="center"/>
    </xf>
    <xf numFmtId="0" fontId="15" fillId="9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wrapText="1"/>
    </xf>
    <xf numFmtId="0" fontId="1" fillId="0" borderId="0" xfId="0" applyFont="1" applyAlignment="1">
      <alignment horizontal="center"/>
    </xf>
  </cellXfs>
  <cellStyles count="2">
    <cellStyle name="Normal" xfId="0" builtinId="0"/>
    <cellStyle name="Porcentaje" xfId="1" builtinId="5"/>
  </cellStyles>
  <dxfs count="534"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5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5" Type="http://schemas.openxmlformats.org/officeDocument/2006/relationships/image" Target="../media/image6.emf"/><Relationship Id="rId4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440690</xdr:colOff>
      <xdr:row>0</xdr:row>
      <xdr:rowOff>172720</xdr:rowOff>
    </xdr:from>
    <xdr:to>
      <xdr:col>12</xdr:col>
      <xdr:colOff>207313</xdr:colOff>
      <xdr:row>17</xdr:row>
      <xdr:rowOff>179232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4E2771-52AE-00F6-B607-FBF0EA810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0690" y="172720"/>
          <a:ext cx="6106463" cy="31307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22860</xdr:rowOff>
    </xdr:from>
    <xdr:to>
      <xdr:col>6</xdr:col>
      <xdr:colOff>129540</xdr:colOff>
      <xdr:row>8</xdr:row>
      <xdr:rowOff>49530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0438272-24D8-4E6F-BA7F-6E5A4A590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5740"/>
          <a:ext cx="4876800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45720</xdr:rowOff>
    </xdr:from>
    <xdr:to>
      <xdr:col>6</xdr:col>
      <xdr:colOff>129540</xdr:colOff>
      <xdr:row>18</xdr:row>
      <xdr:rowOff>78105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E236BC-9B5B-494A-8D9A-77688BDE6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74520"/>
          <a:ext cx="4876800" cy="1478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106680</xdr:colOff>
      <xdr:row>1</xdr:row>
      <xdr:rowOff>30480</xdr:rowOff>
    </xdr:from>
    <xdr:to>
      <xdr:col>14</xdr:col>
      <xdr:colOff>129540</xdr:colOff>
      <xdr:row>8</xdr:row>
      <xdr:rowOff>53340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1147A10-E2D6-44FE-8E6D-C4C4DE897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4040" y="213360"/>
          <a:ext cx="5562600" cy="1287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144780</xdr:colOff>
      <xdr:row>10</xdr:row>
      <xdr:rowOff>68580</xdr:rowOff>
    </xdr:from>
    <xdr:to>
      <xdr:col>14</xdr:col>
      <xdr:colOff>167640</xdr:colOff>
      <xdr:row>15</xdr:row>
      <xdr:rowOff>95250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2B8CD66-2C36-4F52-B1A6-16E6C92A3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92140" y="1897380"/>
          <a:ext cx="5562600" cy="929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160020</xdr:colOff>
      <xdr:row>16</xdr:row>
      <xdr:rowOff>152400</xdr:rowOff>
    </xdr:from>
    <xdr:to>
      <xdr:col>14</xdr:col>
      <xdr:colOff>180975</xdr:colOff>
      <xdr:row>18</xdr:row>
      <xdr:rowOff>144178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3434BEF-0133-46C8-BBFA-1CAD46D5D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07380" y="3078480"/>
          <a:ext cx="5554980" cy="355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2D22576-FC43-44F2-8909-83863DBE6E14}" autoFormatId="16" applyNumberFormats="0" applyBorderFormats="0" applyFontFormats="0" applyPatternFormats="0" applyAlignmentFormats="0" applyWidthHeightFormats="0">
  <queryTableRefresh nextId="19">
    <queryTableFields count="8">
      <queryTableField id="11" name="LLAVE" tableColumnId="10"/>
      <queryTableField id="12" name="CODALMACEN" tableColumnId="11"/>
      <queryTableField id="13" name="ANO" tableColumnId="12"/>
      <queryTableField id="14" name="RESTAURANTE" tableColumnId="13"/>
      <queryTableField id="15" name="CANAL" tableColumnId="14"/>
      <queryTableField id="16" name="MONTO" tableColumnId="15"/>
      <queryTableField id="17" name="KPI" tableColumnId="16"/>
      <queryTableField id="18" name="CREF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A61D0DB7-1CB5-4996-9D62-7A46A009DEC0}" autoFormatId="16" applyNumberFormats="0" applyBorderFormats="0" applyFontFormats="0" applyPatternFormats="0" applyAlignmentFormats="0" applyWidthHeightFormats="0">
  <queryTableRefresh nextId="10">
    <queryTableFields count="8">
      <queryTableField id="1" name="LLAVE" tableColumnId="1"/>
      <queryTableField id="7" name="CODALMACEN" tableColumnId="7"/>
      <queryTableField id="2" name="ANO" tableColumnId="2"/>
      <queryTableField id="3" name="RESTAURANTE" tableColumnId="3"/>
      <queryTableField id="4" name="CANAL" tableColumnId="4"/>
      <queryTableField id="5" name="MONTO" tableColumnId="5"/>
      <queryTableField id="6" name="KPI" tableColumnId="6"/>
      <queryTableField id="8" name="CREF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32CACF-E2A6-4692-9DD6-1B40AB464189}" name="DATA_KPI" displayName="DATA_KPI" ref="A1:H1177" tableType="queryTable" totalsRowShown="0">
  <autoFilter ref="A1:H1177" xr:uid="{4932CACF-E2A6-4692-9DD6-1B40AB464189}"/>
  <tableColumns count="8">
    <tableColumn id="10" xr3:uid="{FD07E4EB-70A1-44BD-9C80-1287329DF2A6}" uniqueName="10" name="LLAVE" queryTableFieldId="11" dataDxfId="533"/>
    <tableColumn id="11" xr3:uid="{5498469F-9907-42B8-971C-D588BB93F0F6}" uniqueName="11" name="CODALMACEN" queryTableFieldId="12" dataDxfId="532"/>
    <tableColumn id="12" xr3:uid="{FCDF4610-7405-4C20-9BE9-E613AE993E68}" uniqueName="12" name="ANO" queryTableFieldId="13"/>
    <tableColumn id="13" xr3:uid="{2B0C5ACF-2690-4E5D-8A29-207F4BAAF6BA}" uniqueName="13" name="RESTAURANTE" queryTableFieldId="14" dataDxfId="531"/>
    <tableColumn id="14" xr3:uid="{5135173C-92D5-4A4F-8588-AE574CD2B6D9}" uniqueName="14" name="CANAL" queryTableFieldId="15" dataDxfId="530"/>
    <tableColumn id="15" xr3:uid="{19EFCF57-C404-4971-ABF7-FEE8EEDC5271}" uniqueName="15" name="MONTO" queryTableFieldId="16"/>
    <tableColumn id="16" xr3:uid="{70AC4A6E-5A22-4084-984B-5175FEA9090E}" uniqueName="16" name="KPI" queryTableFieldId="17" dataDxfId="529"/>
    <tableColumn id="17" xr3:uid="{6B9E89EB-42ED-4750-A4A3-9F6E279ACDCF}" uniqueName="17" name="CREF" queryTableFieldId="18" dataDxfId="5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200BF4C-B180-45BC-A88B-F21F9BFDBC1F}" name="DATA_KPI_PRE" displayName="DATA_KPI_PRE" ref="A1:H1377" tableType="queryTable" totalsRowShown="0">
  <autoFilter ref="A1:H1377" xr:uid="{6200BF4C-B180-45BC-A88B-F21F9BFDBC1F}"/>
  <tableColumns count="8">
    <tableColumn id="1" xr3:uid="{E5C80B40-473B-4057-A5FA-F325269E820E}" uniqueName="1" name="LLAVE" queryTableFieldId="1"/>
    <tableColumn id="7" xr3:uid="{A6AF2E2B-3A18-451E-9FB8-1031C289D79D}" uniqueName="7" name="CODALMACEN" queryTableFieldId="7"/>
    <tableColumn id="2" xr3:uid="{AB14B812-49E2-48D4-86C9-B6E0F5A2F3C9}" uniqueName="2" name="ANO" queryTableFieldId="2"/>
    <tableColumn id="3" xr3:uid="{E6ECC0E6-ED54-45CC-8D3C-581E4F16E351}" uniqueName="3" name="RESTAURANTE" queryTableFieldId="3"/>
    <tableColumn id="4" xr3:uid="{0ABDC611-C868-434F-BA6C-4729ED96754A}" uniqueName="4" name="CANAL" queryTableFieldId="4"/>
    <tableColumn id="5" xr3:uid="{CAC881F3-41D6-48B8-8CFC-B8E820216693}" uniqueName="5" name="MONTO" queryTableFieldId="5"/>
    <tableColumn id="6" xr3:uid="{403651D9-7340-4CDC-B75C-23AEF7D4DEC3}" uniqueName="6" name="KPI" queryTableFieldId="6"/>
    <tableColumn id="8" xr3:uid="{CEFF8A81-3336-4531-9F84-6494AFFBC3EF}" uniqueName="8" name="CREF" queryTableField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5">
    <wetp:webextensionref xmlns:r="http://schemas.openxmlformats.org/officeDocument/2006/relationships" r:id="rId1"/>
  </wetp:taskpane>
  <wetp:taskpane dockstate="right" visibility="0" width="525" row="5">
    <wetp:webextensionref xmlns:r="http://schemas.openxmlformats.org/officeDocument/2006/relationships" r:id="rId2"/>
  </wetp:taskpane>
  <wetp:taskpane dockstate="right" visibility="0" width="525" row="4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FEAB4D22-106F-4049-B96F-32B4004F3235}">
  <we:reference id="wa104006972" version="1.0.0.0" store="es-ES" storeType="OMEX"/>
  <we:alternateReferences>
    <we:reference id="WA104006972" version="1.0.0.0" store="WA104006972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3B956DB2-CD03-40EC-AEAE-26C15EF4F7C8}">
  <we:reference id="wa104178772" version="1.0.0.0" store="es-ES" storeType="OMEX"/>
  <we:alternateReferences>
    <we:reference id="WA104178772" version="1.0.0.0" store="WA104178772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ED88FA3D-9900-4E7B-9F45-9C761905C1CA}">
  <we:reference id="wa104199815" version="1.0.0.1" store="es-ES" storeType="OMEX"/>
  <we:alternateReferences>
    <we:reference id="WA104199815" version="1.0.0.1" store="WA10419981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4ECD6-0EB4-4835-9F95-75BF41A151C6}">
  <sheetPr codeName="Hoja1"/>
  <dimension ref="B2:M21"/>
  <sheetViews>
    <sheetView workbookViewId="0">
      <selection activeCell="C13" sqref="C13"/>
    </sheetView>
  </sheetViews>
  <sheetFormatPr baseColWidth="10" defaultRowHeight="14.4" x14ac:dyDescent="0.3"/>
  <cols>
    <col min="2" max="2" width="11.21875" customWidth="1"/>
    <col min="3" max="3" width="32.77734375" style="9" bestFit="1" customWidth="1"/>
    <col min="7" max="7" width="11.21875" hidden="1" customWidth="1"/>
  </cols>
  <sheetData>
    <row r="2" spans="2:13" x14ac:dyDescent="0.3">
      <c r="C2" s="39" t="s">
        <v>115</v>
      </c>
    </row>
    <row r="3" spans="2:13" x14ac:dyDescent="0.3">
      <c r="B3" t="s">
        <v>28</v>
      </c>
      <c r="C3" s="9">
        <v>46023</v>
      </c>
      <c r="G3" s="40" t="str">
        <f>TEXT(_xlfn.CONCAT(YEAR(C3),"-",MONTH(C3),"-",DAY(C3)),"aaaa-mm-dd")</f>
        <v>2026-01-01</v>
      </c>
    </row>
    <row r="4" spans="2:13" x14ac:dyDescent="0.3">
      <c r="B4" t="s">
        <v>27</v>
      </c>
      <c r="C4" s="9">
        <f ca="1">TODAY()-1</f>
        <v>46065</v>
      </c>
      <c r="D4" s="24"/>
      <c r="G4" s="40" t="str">
        <f ca="1">TEXT(_xlfn.CONCAT(YEAR(C4),"-",MONTH(C4),"-",DAY(C4)),"aaaa-mm-dd")</f>
        <v>2026-02-12</v>
      </c>
      <c r="J4" s="24"/>
    </row>
    <row r="5" spans="2:13" ht="15" thickBot="1" x14ac:dyDescent="0.35">
      <c r="M5" s="24"/>
    </row>
    <row r="6" spans="2:13" ht="15" thickBot="1" x14ac:dyDescent="0.35">
      <c r="B6" t="s">
        <v>29</v>
      </c>
      <c r="C6" s="10" t="s">
        <v>36</v>
      </c>
      <c r="D6" s="32"/>
      <c r="J6" s="24"/>
    </row>
    <row r="8" spans="2:13" x14ac:dyDescent="0.3">
      <c r="B8" t="s">
        <v>57</v>
      </c>
      <c r="C8" s="19"/>
    </row>
    <row r="9" spans="2:13" x14ac:dyDescent="0.3">
      <c r="B9" t="s">
        <v>58</v>
      </c>
      <c r="C9" s="20">
        <v>-0.05</v>
      </c>
    </row>
    <row r="10" spans="2:13" x14ac:dyDescent="0.3">
      <c r="B10" t="s">
        <v>59</v>
      </c>
      <c r="C10" s="21">
        <v>-0.01</v>
      </c>
    </row>
    <row r="11" spans="2:13" x14ac:dyDescent="0.3">
      <c r="C11"/>
    </row>
    <row r="12" spans="2:13" x14ac:dyDescent="0.3">
      <c r="C12"/>
    </row>
    <row r="13" spans="2:13" x14ac:dyDescent="0.3">
      <c r="C13"/>
    </row>
    <row r="14" spans="2:13" x14ac:dyDescent="0.3">
      <c r="C14"/>
    </row>
    <row r="15" spans="2:13" x14ac:dyDescent="0.3">
      <c r="C15"/>
      <c r="L15" s="24"/>
    </row>
    <row r="16" spans="2:13" x14ac:dyDescent="0.3">
      <c r="C16"/>
    </row>
    <row r="17" spans="3:3" x14ac:dyDescent="0.3">
      <c r="C17"/>
    </row>
    <row r="18" spans="3:3" x14ac:dyDescent="0.3">
      <c r="C18"/>
    </row>
    <row r="19" spans="3:3" x14ac:dyDescent="0.3">
      <c r="C19"/>
    </row>
    <row r="20" spans="3:3" x14ac:dyDescent="0.3">
      <c r="C20"/>
    </row>
    <row r="21" spans="3:3" x14ac:dyDescent="0.3">
      <c r="C21"/>
    </row>
  </sheetData>
  <dataValidations count="1">
    <dataValidation type="list" allowBlank="1" showInputMessage="1" showErrorMessage="1" sqref="C6" xr:uid="{604CC0A5-26C8-4551-8C1D-557CED83406C}">
      <formula1>"Ventas,Transacciones,TQP"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EB181-684F-4C93-B42C-012F9808DDB9}">
  <sheetPr codeName="Hoja2"/>
  <dimension ref="A1:BB163"/>
  <sheetViews>
    <sheetView zoomScaleNormal="100" workbookViewId="0">
      <pane xSplit="1" ySplit="3" topLeftCell="X42" activePane="bottomRight" state="frozen"/>
      <selection pane="topRight" activeCell="B1" sqref="B1"/>
      <selection pane="bottomLeft" activeCell="A4" sqref="A4"/>
      <selection pane="bottomRight" activeCell="AI73" sqref="AI73"/>
    </sheetView>
  </sheetViews>
  <sheetFormatPr baseColWidth="10" defaultColWidth="11.44140625" defaultRowHeight="15" customHeight="1" outlineLevelCol="1" x14ac:dyDescent="0.3"/>
  <cols>
    <col min="1" max="1" width="24" customWidth="1"/>
    <col min="2" max="2" width="6" hidden="1" customWidth="1"/>
    <col min="3" max="3" width="17.88671875" customWidth="1" outlineLevel="1"/>
    <col min="4" max="4" width="17.77734375" customWidth="1" outlineLevel="1"/>
    <col min="5" max="5" width="9" customWidth="1" outlineLevel="1"/>
    <col min="6" max="6" width="14.44140625" customWidth="1" outlineLevel="1"/>
    <col min="7" max="7" width="12" customWidth="1" outlineLevel="1"/>
    <col min="8" max="8" width="4" customWidth="1" outlineLevel="1"/>
    <col min="9" max="9" width="16.77734375" customWidth="1" outlineLevel="1"/>
    <col min="10" max="10" width="17.44140625" customWidth="1" outlineLevel="1"/>
    <col min="11" max="11" width="9.21875" customWidth="1" outlineLevel="1"/>
    <col min="12" max="12" width="16.77734375" style="28" customWidth="1" outlineLevel="1"/>
    <col min="13" max="13" width="8.44140625" customWidth="1" outlineLevel="1"/>
    <col min="14" max="14" width="2.77734375" customWidth="1"/>
    <col min="15" max="16" width="14.77734375" customWidth="1" outlineLevel="1"/>
    <col min="17" max="17" width="8.21875" customWidth="1" outlineLevel="1"/>
    <col min="18" max="18" width="15.5546875" customWidth="1" outlineLevel="1"/>
    <col min="19" max="19" width="6.21875" customWidth="1" outlineLevel="1"/>
    <col min="20" max="20" width="2.44140625" customWidth="1"/>
    <col min="21" max="22" width="13.77734375" customWidth="1" outlineLevel="1"/>
    <col min="23" max="23" width="7.77734375" customWidth="1" outlineLevel="1"/>
    <col min="24" max="24" width="14.21875" customWidth="1" outlineLevel="1"/>
    <col min="25" max="25" width="7.77734375" customWidth="1" outlineLevel="1"/>
    <col min="26" max="26" width="2.21875" customWidth="1"/>
    <col min="27" max="28" width="15" customWidth="1" outlineLevel="1"/>
    <col min="29" max="29" width="8.21875" customWidth="1" outlineLevel="1"/>
    <col min="30" max="30" width="15.21875" customWidth="1" outlineLevel="1"/>
    <col min="31" max="31" width="6.77734375" customWidth="1" outlineLevel="1"/>
    <col min="32" max="32" width="2.5546875" customWidth="1"/>
    <col min="33" max="33" width="16" customWidth="1" outlineLevel="1"/>
    <col min="34" max="34" width="17.21875" customWidth="1" outlineLevel="1"/>
    <col min="35" max="35" width="8.44140625" customWidth="1" outlineLevel="1"/>
    <col min="36" max="36" width="17.44140625" customWidth="1" outlineLevel="1"/>
    <col min="37" max="37" width="7.44140625" customWidth="1" outlineLevel="1"/>
    <col min="38" max="38" width="2.5546875" customWidth="1"/>
    <col min="39" max="40" width="15.21875" customWidth="1" outlineLevel="1"/>
    <col min="41" max="41" width="9.44140625" customWidth="1" outlineLevel="1"/>
    <col min="42" max="42" width="14.77734375" customWidth="1" outlineLevel="1"/>
    <col min="43" max="43" width="7.44140625" customWidth="1" outlineLevel="1"/>
    <col min="44" max="44" width="6.109375" customWidth="1"/>
    <col min="45" max="50" width="11.44140625" style="34"/>
    <col min="53" max="53" width="29.21875" customWidth="1"/>
  </cols>
  <sheetData>
    <row r="1" spans="1:54" ht="15" customHeight="1" thickBot="1" x14ac:dyDescent="0.35">
      <c r="A1" s="24">
        <f ca="1">+Parámetros!C4</f>
        <v>46065</v>
      </c>
    </row>
    <row r="2" spans="1:54" s="11" customFormat="1" thickBot="1" x14ac:dyDescent="0.35">
      <c r="C2" s="141" t="s">
        <v>4</v>
      </c>
      <c r="D2" s="142"/>
      <c r="E2" s="142"/>
      <c r="F2" s="142"/>
      <c r="G2" s="143"/>
      <c r="H2" s="12"/>
      <c r="I2" s="141" t="s">
        <v>1</v>
      </c>
      <c r="J2" s="142"/>
      <c r="K2" s="142"/>
      <c r="L2" s="142"/>
      <c r="M2" s="143"/>
      <c r="N2" s="12"/>
      <c r="O2" s="141" t="s">
        <v>2</v>
      </c>
      <c r="P2" s="142"/>
      <c r="Q2" s="142"/>
      <c r="R2" s="142"/>
      <c r="S2" s="143"/>
      <c r="T2" s="12"/>
      <c r="U2" s="141" t="s">
        <v>53</v>
      </c>
      <c r="V2" s="142"/>
      <c r="W2" s="142"/>
      <c r="X2" s="142"/>
      <c r="Y2" s="143"/>
      <c r="Z2" s="12"/>
      <c r="AA2" s="141" t="s">
        <v>3</v>
      </c>
      <c r="AB2" s="142"/>
      <c r="AC2" s="142"/>
      <c r="AD2" s="142"/>
      <c r="AE2" s="143"/>
      <c r="AF2" s="12"/>
      <c r="AG2" s="141" t="s">
        <v>38</v>
      </c>
      <c r="AH2" s="142"/>
      <c r="AI2" s="142"/>
      <c r="AJ2" s="142"/>
      <c r="AK2" s="143"/>
      <c r="AM2" s="141" t="s">
        <v>63</v>
      </c>
      <c r="AN2" s="142"/>
      <c r="AO2" s="142"/>
      <c r="AP2" s="142"/>
      <c r="AQ2" s="143"/>
      <c r="AS2" s="140" t="s">
        <v>107</v>
      </c>
      <c r="AT2" s="140"/>
      <c r="AU2" s="140"/>
      <c r="AV2" s="140"/>
      <c r="AW2" s="140"/>
      <c r="AX2" s="140"/>
      <c r="BA2" s="139" t="s">
        <v>109</v>
      </c>
      <c r="BB2" s="139"/>
    </row>
    <row r="3" spans="1:54" ht="14.4" x14ac:dyDescent="0.3">
      <c r="A3" s="12" t="s">
        <v>0</v>
      </c>
      <c r="B3" s="12" t="s">
        <v>66</v>
      </c>
      <c r="C3" s="3">
        <v>2025</v>
      </c>
      <c r="D3" s="3">
        <v>2026</v>
      </c>
      <c r="E3" s="3" t="s">
        <v>5</v>
      </c>
      <c r="F3" s="3" t="s">
        <v>61</v>
      </c>
      <c r="G3" s="3" t="s">
        <v>62</v>
      </c>
      <c r="H3" s="3"/>
      <c r="I3" s="3">
        <f>C3</f>
        <v>2025</v>
      </c>
      <c r="J3" s="3">
        <f>D3</f>
        <v>2026</v>
      </c>
      <c r="K3" s="3" t="s">
        <v>5</v>
      </c>
      <c r="L3" s="3" t="s">
        <v>61</v>
      </c>
      <c r="M3" s="3" t="s">
        <v>62</v>
      </c>
      <c r="N3" s="3"/>
      <c r="O3" s="3">
        <f>I3</f>
        <v>2025</v>
      </c>
      <c r="P3" s="3">
        <f>J3</f>
        <v>2026</v>
      </c>
      <c r="Q3" s="3" t="s">
        <v>5</v>
      </c>
      <c r="R3" s="3" t="s">
        <v>61</v>
      </c>
      <c r="S3" s="3" t="s">
        <v>62</v>
      </c>
      <c r="T3" s="3"/>
      <c r="U3" s="3">
        <f>O3</f>
        <v>2025</v>
      </c>
      <c r="V3" s="3">
        <f>P3</f>
        <v>2026</v>
      </c>
      <c r="W3" s="3" t="s">
        <v>5</v>
      </c>
      <c r="X3" s="3" t="s">
        <v>61</v>
      </c>
      <c r="Y3" s="3" t="s">
        <v>62</v>
      </c>
      <c r="Z3" s="3"/>
      <c r="AA3" s="3">
        <f>U3</f>
        <v>2025</v>
      </c>
      <c r="AB3" s="3">
        <f>V3</f>
        <v>2026</v>
      </c>
      <c r="AC3" s="3" t="s">
        <v>5</v>
      </c>
      <c r="AD3" s="3" t="s">
        <v>61</v>
      </c>
      <c r="AE3" s="3" t="s">
        <v>62</v>
      </c>
      <c r="AF3" s="3"/>
      <c r="AG3" s="3">
        <f>AA3</f>
        <v>2025</v>
      </c>
      <c r="AH3" s="3">
        <f>AB3</f>
        <v>2026</v>
      </c>
      <c r="AI3" s="3" t="s">
        <v>5</v>
      </c>
      <c r="AJ3" s="3" t="s">
        <v>61</v>
      </c>
      <c r="AK3" s="3" t="s">
        <v>62</v>
      </c>
      <c r="AM3" s="3">
        <f>AG3</f>
        <v>2025</v>
      </c>
      <c r="AN3" s="3">
        <f>AH3</f>
        <v>2026</v>
      </c>
      <c r="AO3" s="3" t="s">
        <v>5</v>
      </c>
      <c r="AP3" s="3" t="s">
        <v>61</v>
      </c>
      <c r="AQ3" s="3" t="s">
        <v>62</v>
      </c>
      <c r="AS3" s="35" t="s">
        <v>1</v>
      </c>
      <c r="AT3" s="35" t="s">
        <v>106</v>
      </c>
      <c r="AU3" s="35" t="s">
        <v>53</v>
      </c>
      <c r="AV3" s="35" t="s">
        <v>3</v>
      </c>
      <c r="AW3" s="35" t="s">
        <v>38</v>
      </c>
      <c r="AX3" s="35" t="s">
        <v>63</v>
      </c>
      <c r="AY3" s="33" t="s">
        <v>5</v>
      </c>
    </row>
    <row r="4" spans="1:54" ht="14.4" x14ac:dyDescent="0.3">
      <c r="A4" s="1" t="s">
        <v>6</v>
      </c>
      <c r="B4" s="1" t="str">
        <f>IF(IFERROR(VLOOKUP(A4,DATA_KPI!$D:$H,5,FALSE),"")="",VLOOKUP(A4,DATA_KPI_PRE!$D:$H,5,FALSE),VLOOKUP(A4,DATA_KPI!$D:$H,5,FALSE))</f>
        <v>S08</v>
      </c>
      <c r="C4" s="68">
        <f>IFERROR(VLOOKUP(_xlfn.CONCAT($C$3,"_",B4,"_",$C$2,"_",Parámetros!$C$6),DATA_KPI!$A:$H,6,FALSE),0)</f>
        <v>25392157.280000001</v>
      </c>
      <c r="D4" s="68">
        <f>IFERROR(VLOOKUP(_xlfn.CONCAT($D$3,"_",B4,"_",$C$2,"_",Parámetros!$C$6),DATA_KPI!A:H,6,FALSE),0)</f>
        <v>24211254.320000034</v>
      </c>
      <c r="E4" s="34">
        <f>IFERROR(+(D4/C4)-1,0)</f>
        <v>-4.6506602293697186E-2</v>
      </c>
      <c r="F4" s="68">
        <f>IFERROR(VLOOKUP(_xlfn.CONCAT($D$3,"_",B4,"_",$C$2,"_",Parámetros!$C$6),DATA_KPI_PRE!$A:$F,6,FALSE),0)</f>
        <v>24973716.010469642</v>
      </c>
      <c r="G4" s="34">
        <f t="shared" ref="G4:G29" si="0">IFERROR(+(D4/F4)-1,0)</f>
        <v>-3.0530566222101818E-2</v>
      </c>
      <c r="H4" s="34"/>
      <c r="I4" s="73">
        <f>IFERROR(VLOOKUP(_xlfn.CONCAT($I$3,"_",B4,"_",$I$2,"_",Parámetros!$C$6),DATA_KPI!$A:$H,6,FALSE),0)</f>
        <v>21575021.43</v>
      </c>
      <c r="J4" s="73">
        <f>IFERROR(VLOOKUP(_xlfn.CONCAT($J$3,"_",B4,"_",$I$2,"_",Parámetros!$C$6),DATA_KPI!$A:$H,6,FALSE),0)</f>
        <v>21431430.320000034</v>
      </c>
      <c r="K4" s="22">
        <f>IFERROR(+(J4/I4)-1,0)</f>
        <v>-6.6554330184953603E-3</v>
      </c>
      <c r="L4" s="29">
        <f>IFERROR(VLOOKUP(_xlfn.CONCAT($J$3,"_",B4,"_",$I$2,"_",Parámetros!$C$6),DATA_KPI_PRE!A:F,6,FALSE),0)</f>
        <v>19937031.03341173</v>
      </c>
      <c r="M4" s="34">
        <f t="shared" ref="M4:M28" si="1">IFERROR(+(J4/L4)-1,0)</f>
        <v>7.4955959294234598E-2</v>
      </c>
      <c r="N4" s="4"/>
      <c r="O4" s="14">
        <f>IFERROR(VLOOKUP(_xlfn.CONCAT($O$3,"_",B4,"_",$O$2,"_",Parámetros!$C$6),DATA_KPI!$A:$H,6,FALSE),0)</f>
        <v>1294851.6400000001</v>
      </c>
      <c r="P4" s="14">
        <f>IFERROR(VLOOKUP(_xlfn.CONCAT($P$3,"_",B4,"_",$O$2,"_",Parámetros!$C$6),DATA_KPI!$A:$H,6,FALSE),0)</f>
        <v>576962.28</v>
      </c>
      <c r="Q4" s="22">
        <f>IFERROR(+(P4/O4)-1,0)</f>
        <v>-0.55441823435463233</v>
      </c>
      <c r="R4" s="14">
        <f>IFERROR(VLOOKUP(_xlfn.CONCAT($P$3,"_",B4,"_",$O$2,"_",Parámetros!$C$6),DATA_KPI_PRE!A:F,6,FALSE),0)</f>
        <v>1663129.7479706954</v>
      </c>
      <c r="S4" s="25">
        <f t="shared" ref="S4:S28" si="2">IFERROR(+(P4/R4)-1,0)</f>
        <v>-0.6530864289427849</v>
      </c>
      <c r="T4" s="5"/>
      <c r="U4" s="14">
        <f>IFERROR(VLOOKUP(_xlfn.CONCAT($U$3,"_",B4,"_",$U$2,"_",Parámetros!$C$6),DATA_KPI!$A:$H,6,FALSE),0)</f>
        <v>557132.87999999989</v>
      </c>
      <c r="V4" s="14">
        <f>IFERROR(VLOOKUP(_xlfn.CONCAT($V$3,"_",B4,"_",$U$2,"_",Parámetros!$C$6),DATA_KPI!$A:$H,6,FALSE),0)</f>
        <v>289283.39</v>
      </c>
      <c r="W4" s="4">
        <f>IFERROR(+(V4/U4)-1,0)</f>
        <v>-0.4807641042474462</v>
      </c>
      <c r="X4" s="14">
        <f>IFERROR(VLOOKUP(_xlfn.CONCAT($V$3,"_",B4,"_",$U$2,"_",Parámetros!$C$6),DATA_KPI_PRE!A:F,6,FALSE),0)</f>
        <v>574400.89912399685</v>
      </c>
      <c r="Y4" s="25">
        <f t="shared" ref="Y4:Y28" si="3">IFERROR(+(V4/X4)-1,0)</f>
        <v>-0.49637371661294716</v>
      </c>
      <c r="Z4" s="5"/>
      <c r="AA4" s="14">
        <f>IFERROR(VLOOKUP(_xlfn.CONCAT($AA$3,"_",B4,"_",$AA$2,"_",Parámetros!$C$6),DATA_KPI!$A:$H,6,FALSE),0)</f>
        <v>154931.93</v>
      </c>
      <c r="AB4" s="14">
        <f>IFERROR(VLOOKUP(_xlfn.CONCAT($AB$3,"_",B4,"_",$AA$2,"_",Parámetros!$C$6),DATA_KPI!$A:$H,6,FALSE),0)</f>
        <v>334495.71000000002</v>
      </c>
      <c r="AC4" s="4">
        <f>IFERROR(+(AB4/AA4)-1,0)</f>
        <v>1.15898498133987</v>
      </c>
      <c r="AD4" s="14">
        <f>IFERROR(VLOOKUP(_xlfn.CONCAT($AB$3,"_",B4,"_",$AA$2,"_",Parámetros!$C$6),DATA_KPI_PRE!A:F,6,FALSE),0)</f>
        <v>886938.17639550671</v>
      </c>
      <c r="AE4" s="25">
        <f t="shared" ref="AE4:AE28" si="4">IFERROR(+(AB4/AD4)-1,0)</f>
        <v>-0.62286468335438916</v>
      </c>
      <c r="AF4" s="5"/>
      <c r="AG4" s="14">
        <f>IFERROR(VLOOKUP(_xlfn.CONCAT($AG$3,"_",B4,"_",$AG$2,"_",Parámetros!$C$6),DATA_KPI!$A:$H,6,FALSE),0)</f>
        <v>1624335.9300000004</v>
      </c>
      <c r="AH4" s="14">
        <f>IFERROR(VLOOKUP(_xlfn.CONCAT($AH$3,"_",B4,"_",$AG$2,"_",Parámetros!$C$6),DATA_KPI!$A:$H,6,FALSE),0)</f>
        <v>1493348.09</v>
      </c>
      <c r="AI4" s="25">
        <f>IFERROR(+(AH4/AG4)-1,0)</f>
        <v>-8.064085610665539E-2</v>
      </c>
      <c r="AJ4" s="14">
        <f>IFERROR(VLOOKUP(_xlfn.CONCAT($AH$3,"_",B4,"_",$AG$2,"_",Parámetros!$C$6),DATA_KPI_PRE!A:F,6,FALSE),0)</f>
        <v>1664044.3780813469</v>
      </c>
      <c r="AK4" s="25">
        <f t="shared" ref="AK4:AK28" si="5">IFERROR(+(AH4/AJ4)-1,0)</f>
        <v>-0.10257916815785928</v>
      </c>
      <c r="AM4" s="14">
        <f>IFERROR(VLOOKUP(_xlfn.CONCAT($AM$3,"_",B4,"_",$AM$2,"_",Parámetros!$C$6),DATA_KPI!$A:$H,6,FALSE),0)</f>
        <v>185883.47</v>
      </c>
      <c r="AN4" s="14">
        <f>IFERROR(VLOOKUP(_xlfn.CONCAT($AN$3,"_",B4,"_",$AM$2,"_",Parámetros!$C$6),DATA_KPI!$A:$H,6,FALSE),0)</f>
        <v>85734.53</v>
      </c>
      <c r="AO4" s="25">
        <f t="shared" ref="AO4:AO28" si="6">IFERROR(+AN4/AM4,0)</f>
        <v>0.4612272947131878</v>
      </c>
      <c r="AP4" s="14">
        <f>IFERROR(VLOOKUP(_xlfn.CONCAT($AN$3,"_",B4,"_",$AM$2,"_",Parámetros!$C$6),DATA_KPI_PRE!A:F,6,FALSE),0)</f>
        <v>248171.77548636647</v>
      </c>
      <c r="AQ4" s="25">
        <f t="shared" ref="AQ4:AQ28" si="7">IFERROR(+(AN4/AP4)-1,0)</f>
        <v>-0.65453553357557415</v>
      </c>
      <c r="AS4" s="34">
        <f>J4/D4</f>
        <v>0.88518463507676726</v>
      </c>
      <c r="AT4" s="34">
        <f>P4/D4</f>
        <v>2.3830334123721649E-2</v>
      </c>
      <c r="AU4" s="34">
        <f>V4/D4</f>
        <v>1.1948302478530968E-2</v>
      </c>
      <c r="AV4" s="34">
        <f>AB4/D4</f>
        <v>1.3815711717326653E-2</v>
      </c>
      <c r="AW4" s="34">
        <f>AH4/D4</f>
        <v>6.1679914235851868E-2</v>
      </c>
      <c r="AX4" s="34">
        <f>AN4/D4</f>
        <v>3.541102367801648E-3</v>
      </c>
      <c r="AY4" s="4">
        <f t="shared" ref="AY4:AY28" si="8">SUM(AS4:AX4)</f>
        <v>1</v>
      </c>
      <c r="BA4" t="s">
        <v>110</v>
      </c>
      <c r="BB4" s="25">
        <f>(AJ30+AJ39)/AJ57</f>
        <v>0.84105395705914354</v>
      </c>
    </row>
    <row r="5" spans="1:54" ht="14.4" x14ac:dyDescent="0.3">
      <c r="A5" s="1" t="s">
        <v>112</v>
      </c>
      <c r="B5" s="1" t="s">
        <v>108</v>
      </c>
      <c r="C5" s="68">
        <f>IFERROR(VLOOKUP(_xlfn.CONCAT($C$3,"_",B5,"_",$C$2,"_",Parámetros!$C$6),DATA_KPI!$A:$H,6,FALSE),0)</f>
        <v>11619683.920000024</v>
      </c>
      <c r="D5" s="68">
        <f>IFERROR(VLOOKUP(_xlfn.CONCAT($D$3,"_",B5,"_",$C$2,"_",Parámetros!$C$6),DATA_KPI!A:H,6,FALSE),0)</f>
        <v>10407270.919999992</v>
      </c>
      <c r="E5" s="38">
        <f>IFERROR(+D5/C5,0)</f>
        <v>0.89565869361444483</v>
      </c>
      <c r="F5" s="68">
        <f>IFERROR(VLOOKUP(_xlfn.CONCAT($D$3,"_",B5,"_",$C$2,"_",Parámetros!$C$6),DATA_KPI_PRE!$A:$F,6,FALSE),0)</f>
        <v>13351500.047179954</v>
      </c>
      <c r="G5" s="38">
        <f t="shared" si="0"/>
        <v>-0.22051672971396419</v>
      </c>
      <c r="H5" s="38"/>
      <c r="I5" s="73">
        <f>IFERROR(VLOOKUP(_xlfn.CONCAT($I$3,"_",B5,"_",$I$2,"_",Parámetros!$C$6),DATA_KPI!$A:$H,6,FALSE),0)</f>
        <v>10210466.210000025</v>
      </c>
      <c r="J5" s="73">
        <f>IFERROR(VLOOKUP(_xlfn.CONCAT($J$3,"_",B5,"_",$I$2,"_",Parámetros!$C$6),DATA_KPI!$A:$H,6,FALSE),0)</f>
        <v>9166486.0399999935</v>
      </c>
      <c r="K5" s="22">
        <f>IFERROR(+J5/I5,0)</f>
        <v>0.89775391754613831</v>
      </c>
      <c r="L5" s="29">
        <f>IFERROR(VLOOKUP(_xlfn.CONCAT($J$3,"_",B5,"_",$I$2,"_",Parámetros!$C$6),DATA_KPI_PRE!A:F,6,FALSE),0)</f>
        <v>11416505.779959532</v>
      </c>
      <c r="M5" s="38">
        <f t="shared" si="1"/>
        <v>-0.19708479838981996</v>
      </c>
      <c r="O5" s="14">
        <f>IFERROR(VLOOKUP(_xlfn.CONCAT($O$3,"_",B5,"_",$O$2,"_",Parámetros!$C$6),DATA_KPI!$A:$H,6,FALSE),0)</f>
        <v>1405686.7299999995</v>
      </c>
      <c r="P5" s="14">
        <f>IFERROR(VLOOKUP(_xlfn.CONCAT($P$3,"_",B5,"_",$O$2,"_",Parámetros!$C$6),DATA_KPI!$A:$H,6,FALSE),0)</f>
        <v>1222280.4499999988</v>
      </c>
      <c r="Q5" s="22">
        <f>IFERROR(+P5/O5,0)</f>
        <v>0.86952549520048417</v>
      </c>
      <c r="R5" s="14">
        <f>IFERROR(VLOOKUP(_xlfn.CONCAT($P$3,"_",B5,"_",$O$2,"_",Parámetros!$C$6),DATA_KPI_PRE!A:F,6,FALSE),0)</f>
        <v>1934994.2672204222</v>
      </c>
      <c r="S5" s="27">
        <f t="shared" si="2"/>
        <v>-0.36832864535780852</v>
      </c>
      <c r="U5" s="14">
        <f>IFERROR(VLOOKUP(_xlfn.CONCAT($U$3,"_",B5,"_",$U$2,"_",Parámetros!$C$6),DATA_KPI!$A:$H,6,FALSE),0)</f>
        <v>0</v>
      </c>
      <c r="V5" s="14">
        <f>IFERROR(VLOOKUP(_xlfn.CONCAT($V$3,"_",B5,"_",$U$2,"_",Parámetros!$C$6),DATA_KPI!$A:$H,6,FALSE),0)</f>
        <v>0</v>
      </c>
      <c r="W5" s="4">
        <f>IFERROR(+V5/U5,0)</f>
        <v>0</v>
      </c>
      <c r="X5" s="14">
        <f>IFERROR(VLOOKUP(_xlfn.CONCAT($V$3,"_",B5,"_",$U$2,"_",Parámetros!$C$6),DATA_KPI_PRE!A:F,6,FALSE),0)</f>
        <v>0</v>
      </c>
      <c r="Y5" s="27">
        <f t="shared" si="3"/>
        <v>0</v>
      </c>
      <c r="AA5" s="14">
        <f>IFERROR(VLOOKUP(_xlfn.CONCAT($AA$3,"_",B5,"_",$AA$2,"_",Parámetros!$C$6),DATA_KPI!$A:$H,6,FALSE),0)</f>
        <v>3530.9799999999996</v>
      </c>
      <c r="AB5" s="14">
        <f>IFERROR(VLOOKUP(_xlfn.CONCAT($AB$3,"_",B5,"_",$AA$2,"_",Parámetros!$C$6),DATA_KPI!$A:$H,6,FALSE),0)</f>
        <v>18504.43</v>
      </c>
      <c r="AC5" s="4">
        <f>IFERROR(+AB5/AA5,0)</f>
        <v>5.2405932630601146</v>
      </c>
      <c r="AD5" s="14">
        <f>IFERROR(VLOOKUP(_xlfn.CONCAT($AB$3,"_",B5,"_",$AA$2,"_",Parámetros!$C$6),DATA_KPI_PRE!A:F,6,FALSE),0)</f>
        <v>0</v>
      </c>
      <c r="AE5" s="27">
        <f t="shared" si="4"/>
        <v>0</v>
      </c>
      <c r="AG5" s="14">
        <f>IFERROR(VLOOKUP(_xlfn.CONCAT($AG$3,"_",B5,"_",$AG$2,"_",Parámetros!$C$6),DATA_KPI!$A:$H,6,FALSE),0)</f>
        <v>0</v>
      </c>
      <c r="AH5" s="14">
        <f>IFERROR(VLOOKUP(_xlfn.CONCAT($AH$3,"_",B5,"_",$AG$2,"_",Parámetros!$C$6),DATA_KPI!$A:$H,6,FALSE),0)</f>
        <v>0</v>
      </c>
      <c r="AI5" s="27">
        <f>IFERROR(+AH5/AG5,0)</f>
        <v>0</v>
      </c>
      <c r="AJ5" s="14">
        <f>IFERROR(VLOOKUP(_xlfn.CONCAT($AH$3,"_",B5,"_",$AG$2,"_",Parámetros!$C$6),DATA_KPI_PRE!A:F,6,FALSE),0)</f>
        <v>0</v>
      </c>
      <c r="AK5" s="27">
        <f t="shared" si="5"/>
        <v>0</v>
      </c>
      <c r="AM5" s="14">
        <f>IFERROR(VLOOKUP(_xlfn.CONCAT($AM$3,"_",B5,"_",$AM$2,"_",Parámetros!$C$6),DATA_KPI!$A:$H,6,FALSE),0)</f>
        <v>0</v>
      </c>
      <c r="AN5" s="14">
        <f>IFERROR(VLOOKUP(_xlfn.CONCAT($AN$3,"_",B5,"_",$AM$2,"_",Parámetros!$C$6),DATA_KPI!$A:$H,6,FALSE),0)</f>
        <v>0</v>
      </c>
      <c r="AO5" s="27">
        <f t="shared" si="6"/>
        <v>0</v>
      </c>
      <c r="AP5" s="14">
        <f>IFERROR(VLOOKUP(_xlfn.CONCAT($AN$3,"_",B5,"_",$AM$2,"_",Parámetros!$C$6),DATA_KPI_PRE!A:F,6,FALSE),0)</f>
        <v>0</v>
      </c>
      <c r="AQ5" s="27">
        <f t="shared" si="7"/>
        <v>0</v>
      </c>
      <c r="AS5" s="38">
        <f>IFERROR(J5/D5,0)</f>
        <v>0.8807771134682828</v>
      </c>
      <c r="AT5" s="38">
        <f>IFERROR(P5/D5,0)</f>
        <v>0.11744485748430961</v>
      </c>
      <c r="AU5" s="38">
        <f>IFERROR(V5/D5,0)</f>
        <v>0</v>
      </c>
      <c r="AV5" s="38">
        <f>IFERROR(AB5/D5,0)</f>
        <v>1.7780290474075614E-3</v>
      </c>
      <c r="AW5" s="38">
        <f>IFERROR(AH5/D5,0)</f>
        <v>0</v>
      </c>
      <c r="AX5" s="38">
        <f>IFERROR(AN5/D5,0)</f>
        <v>0</v>
      </c>
      <c r="AY5" s="4">
        <f t="shared" si="8"/>
        <v>0.99999999999999989</v>
      </c>
      <c r="BA5" t="s">
        <v>111</v>
      </c>
      <c r="BB5" s="25">
        <f>AH53/AH57</f>
        <v>0.15110034558257038</v>
      </c>
    </row>
    <row r="6" spans="1:54" ht="14.4" x14ac:dyDescent="0.3">
      <c r="A6" s="1" t="s">
        <v>26</v>
      </c>
      <c r="B6" s="1" t="str">
        <f>IF(IFERROR(VLOOKUP(A6,DATA_KPI!$D:$H,5,FALSE),"")="",VLOOKUP(A6,DATA_KPI_PRE!$D:$H,5,FALSE),VLOOKUP(A6,DATA_KPI!$D:$H,5,FALSE))</f>
        <v>S42</v>
      </c>
      <c r="C6" s="68">
        <f>IFERROR(VLOOKUP(_xlfn.CONCAT($C$3,"_",B6,"_",$C$2,"_",Parámetros!$C$6),DATA_KPI!$A:$H,6,FALSE),0)</f>
        <v>17205595.029999994</v>
      </c>
      <c r="D6" s="68">
        <f>IFERROR(VLOOKUP(_xlfn.CONCAT($D$3,"_",B6,"_",$C$2,"_",Parámetros!$C$6),DATA_KPI!A:H,6,FALSE),0)</f>
        <v>16537087.040000005</v>
      </c>
      <c r="E6" s="34">
        <f t="shared" ref="E6:E20" si="9">IFERROR(+(D6/C6)-1,0)</f>
        <v>-3.8854104658070043E-2</v>
      </c>
      <c r="F6" s="68">
        <f>IFERROR(VLOOKUP(_xlfn.CONCAT($D$3,"_",B6,"_",$C$2,"_",Parámetros!$C$6),DATA_KPI_PRE!$A:$F,6,FALSE),0)</f>
        <v>17173290.56588728</v>
      </c>
      <c r="G6" s="34">
        <f t="shared" si="0"/>
        <v>-3.7046105022587761E-2</v>
      </c>
      <c r="H6" s="34"/>
      <c r="I6" s="73">
        <f>IFERROR(VLOOKUP(_xlfn.CONCAT($I$3,"_",B6,"_",$I$2,"_",Parámetros!$C$6),DATA_KPI!$A:$H,6,FALSE),0)</f>
        <v>9360675.2999999933</v>
      </c>
      <c r="J6" s="73">
        <f>IFERROR(VLOOKUP(_xlfn.CONCAT($J$3,"_",B6,"_",$I$2,"_",Parámetros!$C$6),DATA_KPI!$A:$H,6,FALSE),0)</f>
        <v>8251107.7400000049</v>
      </c>
      <c r="K6" s="22">
        <f t="shared" ref="K6:K20" si="10">IFERROR(+(J6/I6)-1,0)</f>
        <v>-0.11853499073939566</v>
      </c>
      <c r="L6" s="29">
        <f>IFERROR(VLOOKUP(_xlfn.CONCAT($J$3,"_",B6,"_",$I$2,"_",Parámetros!$C$6),DATA_KPI_PRE!A:F,6,FALSE),0)</f>
        <v>9165892.1177159566</v>
      </c>
      <c r="M6" s="34">
        <f t="shared" si="1"/>
        <v>-9.9803092374155744E-2</v>
      </c>
      <c r="N6" s="5"/>
      <c r="O6" s="14">
        <f>IFERROR(VLOOKUP(_xlfn.CONCAT($O$3,"_",B6,"_",$O$2,"_",Parámetros!$C$6),DATA_KPI!$A:$H,6,FALSE),0)</f>
        <v>1127047.0299999996</v>
      </c>
      <c r="P6" s="14">
        <f>IFERROR(VLOOKUP(_xlfn.CONCAT($P$3,"_",B6,"_",$O$2,"_",Parámetros!$C$6),DATA_KPI!$A:$H,6,FALSE),0)</f>
        <v>628475.61999999965</v>
      </c>
      <c r="Q6" s="22">
        <f t="shared" ref="Q6:Q20" si="11">IFERROR(+(P6/O6)-1,0)</f>
        <v>-0.44236965870004563</v>
      </c>
      <c r="R6" s="14">
        <f>IFERROR(VLOOKUP(_xlfn.CONCAT($P$3,"_",B6,"_",$O$2,"_",Parámetros!$C$6),DATA_KPI_PRE!A:F,6,FALSE),0)</f>
        <v>1584457.3353220322</v>
      </c>
      <c r="S6" s="25">
        <f t="shared" si="2"/>
        <v>-0.60334960999611553</v>
      </c>
      <c r="T6" s="5"/>
      <c r="U6" s="14">
        <f>IFERROR(VLOOKUP(_xlfn.CONCAT($U$3,"_",B6,"_",$U$2,"_",Parámetros!$C$6),DATA_KPI!$A:$H,6,FALSE),0)</f>
        <v>0</v>
      </c>
      <c r="V6" s="14">
        <f>IFERROR(VLOOKUP(_xlfn.CONCAT($V$3,"_",B6,"_",$U$2,"_",Parámetros!$C$6),DATA_KPI!$A:$H,6,FALSE),0)</f>
        <v>0</v>
      </c>
      <c r="W6" s="4">
        <f t="shared" ref="W6:W20" si="12">IFERROR(+(V6/U6)-1,0)</f>
        <v>0</v>
      </c>
      <c r="X6" s="14">
        <f>IFERROR(VLOOKUP(_xlfn.CONCAT($V$3,"_",B6,"_",$U$2,"_",Parámetros!$C$6),DATA_KPI_PRE!A:F,6,FALSE),0)</f>
        <v>0</v>
      </c>
      <c r="Y6" s="25">
        <f t="shared" si="3"/>
        <v>0</v>
      </c>
      <c r="Z6" s="5"/>
      <c r="AA6" s="14">
        <f>IFERROR(VLOOKUP(_xlfn.CONCAT($AA$3,"_",B6,"_",$AA$2,"_",Parámetros!$C$6),DATA_KPI!$A:$H,6,FALSE),0)</f>
        <v>301657.59999999998</v>
      </c>
      <c r="AB6" s="14">
        <f>IFERROR(VLOOKUP(_xlfn.CONCAT($AB$3,"_",B6,"_",$AA$2,"_",Parámetros!$C$6),DATA_KPI!$A:$H,6,FALSE),0)</f>
        <v>397321.40000000008</v>
      </c>
      <c r="AC6" s="4">
        <f t="shared" ref="AC6:AC20" si="13">IFERROR(+(AB6/AA6)-1,0)</f>
        <v>0.31712710039461989</v>
      </c>
      <c r="AD6" s="14">
        <f>IFERROR(VLOOKUP(_xlfn.CONCAT($AB$3,"_",B6,"_",$AA$2,"_",Parámetros!$C$6),DATA_KPI_PRE!A:F,6,FALSE),0)</f>
        <v>103594.97109028713</v>
      </c>
      <c r="AE6" s="25">
        <f t="shared" si="4"/>
        <v>2.8353348219356973</v>
      </c>
      <c r="AF6" s="5"/>
      <c r="AG6" s="14">
        <f>IFERROR(VLOOKUP(_xlfn.CONCAT($AG$3,"_",B6,"_",$AG$2,"_",Parámetros!$C$6),DATA_KPI!$A:$H,6,FALSE),0)</f>
        <v>6386731.9000000004</v>
      </c>
      <c r="AH6" s="14">
        <f>IFERROR(VLOOKUP(_xlfn.CONCAT($AH$3,"_",B6,"_",$AG$2,"_",Parámetros!$C$6),DATA_KPI!$A:$H,6,FALSE),0)</f>
        <v>7232788.8100000005</v>
      </c>
      <c r="AI6" s="25">
        <f t="shared" ref="AI6:AI20" si="14">IFERROR(+(AH6/AG6)-1,0)</f>
        <v>0.13247102324742954</v>
      </c>
      <c r="AJ6" s="14">
        <f>IFERROR(VLOOKUP(_xlfn.CONCAT($AH$3,"_",B6,"_",$AG$2,"_",Parámetros!$C$6),DATA_KPI_PRE!A:F,6,FALSE),0)</f>
        <v>6268588.6451475145</v>
      </c>
      <c r="AK6" s="25">
        <f t="shared" si="5"/>
        <v>0.15381455371120412</v>
      </c>
      <c r="AM6" s="14">
        <f>IFERROR(VLOOKUP(_xlfn.CONCAT($AM$3,"_",B6,"_",$AM$2,"_",Parámetros!$C$6),DATA_KPI!$A:$H,6,FALSE),0)</f>
        <v>29483.200000000001</v>
      </c>
      <c r="AN6" s="14">
        <f>IFERROR(VLOOKUP(_xlfn.CONCAT($AN$3,"_",B6,"_",$AM$2,"_",Parámetros!$C$6),DATA_KPI!$A:$H,6,FALSE),0)</f>
        <v>27393.47</v>
      </c>
      <c r="AO6" s="25">
        <f t="shared" si="6"/>
        <v>0.92912133011342057</v>
      </c>
      <c r="AP6" s="14">
        <f>IFERROR(VLOOKUP(_xlfn.CONCAT($AN$3,"_",B6,"_",$AM$2,"_",Parámetros!$C$6),DATA_KPI_PRE!A:F,6,FALSE),0)</f>
        <v>50757.496611491166</v>
      </c>
      <c r="AQ6" s="25">
        <f t="shared" si="7"/>
        <v>-0.46030691368261256</v>
      </c>
      <c r="AS6" s="34">
        <f t="shared" ref="AS6:AS20" si="15">J6/D6</f>
        <v>0.49894565590918016</v>
      </c>
      <c r="AT6" s="34">
        <f t="shared" ref="AT6:AT20" si="16">P6/D6</f>
        <v>3.8004009925075626E-2</v>
      </c>
      <c r="AU6" s="34">
        <f t="shared" ref="AU6:AU20" si="17">V6/D6</f>
        <v>0</v>
      </c>
      <c r="AV6" s="34">
        <f t="shared" ref="AV6:AV20" si="18">AB6/D6</f>
        <v>2.4026081439793883E-2</v>
      </c>
      <c r="AW6" s="34">
        <f t="shared" ref="AW6:AW20" si="19">AH6/D6</f>
        <v>0.43736776570778685</v>
      </c>
      <c r="AX6" s="34">
        <f t="shared" ref="AX6:AX20" si="20">AN6/D6</f>
        <v>1.6564870181635081E-3</v>
      </c>
      <c r="AY6" s="4">
        <f t="shared" si="8"/>
        <v>1</v>
      </c>
    </row>
    <row r="7" spans="1:54" ht="14.4" x14ac:dyDescent="0.3">
      <c r="A7" s="1" t="s">
        <v>7</v>
      </c>
      <c r="B7" s="1" t="str">
        <f>IF(IFERROR(VLOOKUP(A7,DATA_KPI!$D:$H,5,FALSE),"")="",VLOOKUP(A7,DATA_KPI_PRE!$D:$H,5,FALSE),VLOOKUP(A7,DATA_KPI!$D:$H,5,FALSE))</f>
        <v>S38</v>
      </c>
      <c r="C7" s="68">
        <f>IFERROR(VLOOKUP(_xlfn.CONCAT($C$3,"_",B7,"_",$C$2,"_",Parámetros!$C$6),DATA_KPI!$A:$H,6,FALSE),0)</f>
        <v>16382347.37999999</v>
      </c>
      <c r="D7" s="68">
        <f>IFERROR(VLOOKUP(_xlfn.CONCAT($D$3,"_",B7,"_",$C$2,"_",Parámetros!$C$6),DATA_KPI!A:H,6,FALSE),0)</f>
        <v>13768825.690000005</v>
      </c>
      <c r="E7" s="34">
        <f t="shared" si="9"/>
        <v>-0.1595327964532508</v>
      </c>
      <c r="F7" s="68">
        <f>IFERROR(VLOOKUP(_xlfn.CONCAT($D$3,"_",B7,"_",$C$2,"_",Parámetros!$C$6),DATA_KPI_PRE!$A:$F,6,FALSE),0)</f>
        <v>15466879.59518644</v>
      </c>
      <c r="G7" s="34">
        <f t="shared" si="0"/>
        <v>-0.10978645658526354</v>
      </c>
      <c r="H7" s="34"/>
      <c r="I7" s="73">
        <f>IFERROR(VLOOKUP(_xlfn.CONCAT($I$3,"_",B7,"_",$I$2,"_",Parámetros!$C$6),DATA_KPI!$A:$H,6,FALSE),0)</f>
        <v>15581771.87999999</v>
      </c>
      <c r="J7" s="73">
        <f>IFERROR(VLOOKUP(_xlfn.CONCAT($J$3,"_",B7,"_",$I$2,"_",Parámetros!$C$6),DATA_KPI!$A:$H,6,FALSE),0)</f>
        <v>13647490.590000005</v>
      </c>
      <c r="K7" s="22">
        <f t="shared" si="10"/>
        <v>-0.12413744116500214</v>
      </c>
      <c r="L7" s="29">
        <f>IFERROR(VLOOKUP(_xlfn.CONCAT($J$3,"_",B7,"_",$I$2,"_",Parámetros!$C$6),DATA_KPI_PRE!A:F,6,FALSE),0)</f>
        <v>15120404.972976409</v>
      </c>
      <c r="M7" s="34">
        <f t="shared" si="1"/>
        <v>-9.7412363333444829E-2</v>
      </c>
      <c r="N7" s="5"/>
      <c r="O7" s="14">
        <f>IFERROR(VLOOKUP(_xlfn.CONCAT($O$3,"_",B7,"_",$O$2,"_",Parámetros!$C$6),DATA_KPI!$A:$H,6,FALSE),0)</f>
        <v>210914.90000000005</v>
      </c>
      <c r="P7" s="14">
        <f>IFERROR(VLOOKUP(_xlfn.CONCAT($P$3,"_",B7,"_",$O$2,"_",Parámetros!$C$6),DATA_KPI!$A:$H,6,FALSE),0)</f>
        <v>121335.10000000002</v>
      </c>
      <c r="Q7" s="22">
        <f t="shared" si="11"/>
        <v>-0.42472011223483974</v>
      </c>
      <c r="R7" s="14">
        <f>IFERROR(VLOOKUP(_xlfn.CONCAT($P$3,"_",B7,"_",$O$2,"_",Parámetros!$C$6),DATA_KPI_PRE!A:F,6,FALSE),0)</f>
        <v>346474.62221003079</v>
      </c>
      <c r="S7" s="25">
        <f t="shared" si="2"/>
        <v>-0.64980090251329448</v>
      </c>
      <c r="T7" s="4"/>
      <c r="U7" s="14">
        <f>IFERROR(VLOOKUP(_xlfn.CONCAT($U$3,"_",B7,"_",$U$2,"_",Parámetros!$C$6),DATA_KPI!$A:$H,6,FALSE),0)</f>
        <v>0</v>
      </c>
      <c r="V7" s="14">
        <f>IFERROR(VLOOKUP(_xlfn.CONCAT($V$3,"_",B7,"_",$U$2,"_",Parámetros!$C$6),DATA_KPI!$A:$H,6,FALSE),0)</f>
        <v>0</v>
      </c>
      <c r="W7" s="4">
        <f t="shared" si="12"/>
        <v>0</v>
      </c>
      <c r="X7" s="14">
        <f>IFERROR(VLOOKUP(_xlfn.CONCAT($V$3,"_",B7,"_",$U$2,"_",Parámetros!$C$6),DATA_KPI_PRE!A:F,6,FALSE),0)</f>
        <v>0</v>
      </c>
      <c r="Y7" s="25">
        <f t="shared" si="3"/>
        <v>0</v>
      </c>
      <c r="Z7" s="5"/>
      <c r="AA7" s="14">
        <f>IFERROR(VLOOKUP(_xlfn.CONCAT($AA$3,"_",B7,"_",$AA$2,"_",Parámetros!$C$6),DATA_KPI!$A:$H,6,FALSE),0)</f>
        <v>0</v>
      </c>
      <c r="AB7" s="14">
        <f>IFERROR(VLOOKUP(_xlfn.CONCAT($AB$3,"_",B7,"_",$AA$2,"_",Parámetros!$C$6),DATA_KPI!$A:$H,6,FALSE),0)</f>
        <v>0</v>
      </c>
      <c r="AC7" s="4">
        <f t="shared" si="13"/>
        <v>0</v>
      </c>
      <c r="AD7" s="14">
        <f>IFERROR(VLOOKUP(_xlfn.CONCAT($AB$3,"_",B7,"_",$AA$2,"_",Parámetros!$C$6),DATA_KPI_PRE!A:F,6,FALSE),0)</f>
        <v>0</v>
      </c>
      <c r="AE7" s="25">
        <f t="shared" si="4"/>
        <v>0</v>
      </c>
      <c r="AF7" s="5"/>
      <c r="AG7" s="14">
        <f>IFERROR(VLOOKUP(_xlfn.CONCAT($AG$3,"_",B7,"_",$AG$2,"_",Parámetros!$C$6),DATA_KPI!$A:$H,6,FALSE),0)</f>
        <v>589660.6</v>
      </c>
      <c r="AH7" s="14">
        <f>IFERROR(VLOOKUP(_xlfn.CONCAT($AH$3,"_",B7,"_",$AG$2,"_",Parámetros!$C$6),DATA_KPI!$A:$H,6,FALSE),0)</f>
        <v>0</v>
      </c>
      <c r="AI7" s="25">
        <f t="shared" si="14"/>
        <v>-1</v>
      </c>
      <c r="AJ7" s="14">
        <f>IFERROR(VLOOKUP(_xlfn.CONCAT($AH$3,"_",B7,"_",$AG$2,"_",Parámetros!$C$6),DATA_KPI_PRE!A:F,6,FALSE),0)</f>
        <v>0</v>
      </c>
      <c r="AK7" s="25">
        <f t="shared" si="5"/>
        <v>0</v>
      </c>
      <c r="AM7" s="14">
        <f>IFERROR(VLOOKUP(_xlfn.CONCAT($AM$3,"_",B7,"_",$AM$2,"_",Parámetros!$C$6),DATA_KPI!$A:$H,6,FALSE),0)</f>
        <v>0</v>
      </c>
      <c r="AN7" s="14">
        <f>IFERROR(VLOOKUP(_xlfn.CONCAT($AN$3,"_",B7,"_",$AM$2,"_",Parámetros!$C$6),DATA_KPI!$A:$H,6,FALSE),0)</f>
        <v>0</v>
      </c>
      <c r="AO7" s="25">
        <f t="shared" si="6"/>
        <v>0</v>
      </c>
      <c r="AP7" s="14">
        <f>IFERROR(VLOOKUP(_xlfn.CONCAT($AN$3,"_",B7,"_",$AM$2,"_",Parámetros!$C$6),DATA_KPI_PRE!A:F,6,FALSE),0)</f>
        <v>0</v>
      </c>
      <c r="AQ7" s="25">
        <f t="shared" si="7"/>
        <v>0</v>
      </c>
      <c r="AS7" s="34">
        <f t="shared" si="15"/>
        <v>0.99118769438063825</v>
      </c>
      <c r="AT7" s="34">
        <f t="shared" si="16"/>
        <v>8.8123056193617905E-3</v>
      </c>
      <c r="AU7" s="34">
        <f t="shared" si="17"/>
        <v>0</v>
      </c>
      <c r="AV7" s="34">
        <f t="shared" si="18"/>
        <v>0</v>
      </c>
      <c r="AW7" s="34">
        <f t="shared" si="19"/>
        <v>0</v>
      </c>
      <c r="AX7" s="34">
        <f t="shared" si="20"/>
        <v>0</v>
      </c>
      <c r="AY7" s="4">
        <f t="shared" si="8"/>
        <v>1</v>
      </c>
    </row>
    <row r="8" spans="1:54" ht="14.4" x14ac:dyDescent="0.3">
      <c r="A8" s="1" t="s">
        <v>8</v>
      </c>
      <c r="B8" s="1" t="str">
        <f>IF(IFERROR(VLOOKUP(A8,DATA_KPI!$D:$H,5,FALSE),"")="",VLOOKUP(A8,DATA_KPI_PRE!$D:$H,5,FALSE),VLOOKUP(A8,DATA_KPI!$D:$H,5,FALSE))</f>
        <v>S71</v>
      </c>
      <c r="C8" s="68">
        <f>IFERROR(VLOOKUP(_xlfn.CONCAT($C$3,"_",B8,"_",$C$2,"_",Parámetros!$C$6),DATA_KPI!$A:$H,6,FALSE),0)</f>
        <v>16267030.789999994</v>
      </c>
      <c r="D8" s="68">
        <f>IFERROR(VLOOKUP(_xlfn.CONCAT($D$3,"_",B8,"_",$C$2,"_",Parámetros!$C$6),DATA_KPI!A:H,6,FALSE),0)</f>
        <v>15370827.899999989</v>
      </c>
      <c r="E8" s="34">
        <f t="shared" si="9"/>
        <v>-5.5093206717905518E-2</v>
      </c>
      <c r="F8" s="68">
        <f>IFERROR(VLOOKUP(_xlfn.CONCAT($D$3,"_",B8,"_",$C$2,"_",Parámetros!$C$6),DATA_KPI_PRE!$A:$F,6,FALSE),0)</f>
        <v>15966896.897442486</v>
      </c>
      <c r="G8" s="34">
        <f t="shared" si="0"/>
        <v>-3.7331549221563121E-2</v>
      </c>
      <c r="H8" s="34"/>
      <c r="I8" s="73">
        <f>IFERROR(VLOOKUP(_xlfn.CONCAT($I$3,"_",B8,"_",$I$2,"_",Parámetros!$C$6),DATA_KPI!$A:$H,6,FALSE),0)</f>
        <v>6372211.1299999952</v>
      </c>
      <c r="J8" s="73">
        <f>IFERROR(VLOOKUP(_xlfn.CONCAT($J$3,"_",B8,"_",$I$2,"_",Parámetros!$C$6),DATA_KPI!$A:$H,6,FALSE),0)</f>
        <v>6920079.0499999998</v>
      </c>
      <c r="K8" s="22">
        <f t="shared" si="10"/>
        <v>8.5977678520517742E-2</v>
      </c>
      <c r="L8" s="75">
        <f>IFERROR(VLOOKUP(_xlfn.CONCAT($J$3,"_",B8,"_",$I$2,"_",Parámetros!$C$6),DATA_KPI_PRE!A:F,6,FALSE),0)</f>
        <v>5809254.5434531961</v>
      </c>
      <c r="M8" s="34">
        <f t="shared" si="1"/>
        <v>0.19121635973046835</v>
      </c>
      <c r="N8" s="4"/>
      <c r="O8" s="73">
        <f>IFERROR(VLOOKUP(_xlfn.CONCAT($O$3,"_",B8,"_",$O$2,"_",Parámetros!$C$6),DATA_KPI!$A:$H,6,FALSE),0)</f>
        <v>2090064.0400000014</v>
      </c>
      <c r="P8" s="73">
        <f>IFERROR(VLOOKUP(_xlfn.CONCAT($P$3,"_",B8,"_",$O$2,"_",Parámetros!$C$6),DATA_KPI!$A:$H,6,FALSE),0)</f>
        <v>1176104.3799999999</v>
      </c>
      <c r="Q8" s="22">
        <f t="shared" si="11"/>
        <v>-0.43728787372467348</v>
      </c>
      <c r="R8" s="73">
        <f>IFERROR(VLOOKUP(_xlfn.CONCAT($P$3,"_",B8,"_",$O$2,"_",Parámetros!$C$6),DATA_KPI_PRE!A:F,6,FALSE),0)</f>
        <v>2146748.5224020793</v>
      </c>
      <c r="S8" s="25">
        <f t="shared" si="2"/>
        <v>-0.45214617933729306</v>
      </c>
      <c r="T8" s="5"/>
      <c r="U8" s="73">
        <f>IFERROR(VLOOKUP(_xlfn.CONCAT($U$3,"_",B8,"_",$U$2,"_",Parámetros!$C$6),DATA_KPI!$A:$H,6,FALSE),0)</f>
        <v>0</v>
      </c>
      <c r="V8" s="73">
        <f>IFERROR(VLOOKUP(_xlfn.CONCAT($V$3,"_",B8,"_",$U$2,"_",Parámetros!$C$6),DATA_KPI!$A:$H,6,FALSE),0)</f>
        <v>0</v>
      </c>
      <c r="W8" s="4">
        <f t="shared" si="12"/>
        <v>0</v>
      </c>
      <c r="X8" s="73">
        <f>IFERROR(VLOOKUP(_xlfn.CONCAT($V$3,"_",B8,"_",$U$2,"_",Parámetros!$C$6),DATA_KPI_PRE!A:F,6,FALSE),0)</f>
        <v>0</v>
      </c>
      <c r="Y8" s="25">
        <f t="shared" si="3"/>
        <v>0</v>
      </c>
      <c r="Z8" s="5"/>
      <c r="AA8" s="73">
        <f>IFERROR(VLOOKUP(_xlfn.CONCAT($AA$3,"_",B8,"_",$AA$2,"_",Parámetros!$C$6),DATA_KPI!$A:$H,6,FALSE),0)</f>
        <v>275743.46999999997</v>
      </c>
      <c r="AB8" s="73">
        <f>IFERROR(VLOOKUP(_xlfn.CONCAT($AB$3,"_",B8,"_",$AA$2,"_",Parámetros!$C$6),DATA_KPI!$A:$H,6,FALSE),0)</f>
        <v>80646.01999999999</v>
      </c>
      <c r="AC8" s="4">
        <f t="shared" si="13"/>
        <v>-0.70753243948079714</v>
      </c>
      <c r="AD8" s="73">
        <f>IFERROR(VLOOKUP(_xlfn.CONCAT($AB$3,"_",B8,"_",$AA$2,"_",Parámetros!$C$6),DATA_KPI_PRE!A:F,6,FALSE),0)</f>
        <v>868656.17956256855</v>
      </c>
      <c r="AE8" s="25">
        <f t="shared" si="4"/>
        <v>-0.90716002269089813</v>
      </c>
      <c r="AF8" s="4"/>
      <c r="AG8" s="73">
        <f>IFERROR(VLOOKUP(_xlfn.CONCAT($AG$3,"_",B8,"_",$AG$2,"_",Parámetros!$C$6),DATA_KPI!$A:$H,6,FALSE),0)</f>
        <v>7529012.1499999966</v>
      </c>
      <c r="AH8" s="73">
        <f>IFERROR(VLOOKUP(_xlfn.CONCAT($AH$3,"_",B8,"_",$AG$2,"_",Parámetros!$C$6),DATA_KPI!$A:$H,6,FALSE),0)</f>
        <v>6993822.77999999</v>
      </c>
      <c r="AI8" s="25">
        <f t="shared" si="14"/>
        <v>-7.1083610882472392E-2</v>
      </c>
      <c r="AJ8" s="73">
        <f>IFERROR(VLOOKUP(_xlfn.CONCAT($AH$3,"_",B8,"_",$AG$2,"_",Parámetros!$C$6),DATA_KPI_PRE!A:F,6,FALSE),0)</f>
        <v>7138051.6204823339</v>
      </c>
      <c r="AK8" s="25">
        <f t="shared" si="5"/>
        <v>-2.0205631473508179E-2</v>
      </c>
      <c r="AM8" s="73">
        <f>IFERROR(VLOOKUP(_xlfn.CONCAT($AM$3,"_",B8,"_",$AM$2,"_",Parámetros!$C$6),DATA_KPI!$A:$H,6,FALSE),0)</f>
        <v>0</v>
      </c>
      <c r="AN8" s="73">
        <f>IFERROR(VLOOKUP(_xlfn.CONCAT($AN$3,"_",B8,"_",$AM$2,"_",Parámetros!$C$6),DATA_KPI!$A:$H,6,FALSE),0)</f>
        <v>200175.66999999998</v>
      </c>
      <c r="AO8" s="25">
        <f t="shared" si="6"/>
        <v>0</v>
      </c>
      <c r="AP8" s="73">
        <f>IFERROR(VLOOKUP(_xlfn.CONCAT($AN$3,"_",B8,"_",$AM$2,"_",Parámetros!$C$6),DATA_KPI_PRE!A:F,6,FALSE),0)</f>
        <v>4186.0315423087113</v>
      </c>
      <c r="AQ8" s="25">
        <f t="shared" si="7"/>
        <v>46.819914393095473</v>
      </c>
      <c r="AS8" s="34">
        <f t="shared" si="15"/>
        <v>0.45020860912768429</v>
      </c>
      <c r="AT8" s="34">
        <f t="shared" si="16"/>
        <v>7.6515356729743925E-2</v>
      </c>
      <c r="AU8" s="34">
        <f t="shared" si="17"/>
        <v>0</v>
      </c>
      <c r="AV8" s="34">
        <f t="shared" si="18"/>
        <v>5.2466933157191906E-3</v>
      </c>
      <c r="AW8" s="34">
        <f t="shared" si="19"/>
        <v>0.45500625115970461</v>
      </c>
      <c r="AX8" s="34">
        <f t="shared" si="20"/>
        <v>1.3023089667147996E-2</v>
      </c>
      <c r="AY8" s="4">
        <f t="shared" si="8"/>
        <v>1</v>
      </c>
    </row>
    <row r="9" spans="1:54" ht="14.4" x14ac:dyDescent="0.3">
      <c r="A9" s="1" t="s">
        <v>9</v>
      </c>
      <c r="B9" s="1" t="str">
        <f>IF(IFERROR(VLOOKUP(A9,DATA_KPI!$D:$H,5,FALSE),"")="",VLOOKUP(A9,DATA_KPI_PRE!$D:$H,5,FALSE),VLOOKUP(A9,DATA_KPI!$D:$H,5,FALSE))</f>
        <v>S12</v>
      </c>
      <c r="C9" s="68">
        <f>IFERROR(VLOOKUP(_xlfn.CONCAT($C$3,"_",B9,"_",$C$2,"_",Parámetros!$C$6),DATA_KPI!$A:$H,6,FALSE),0)</f>
        <v>24447374.670000009</v>
      </c>
      <c r="D9" s="68">
        <f>IFERROR(VLOOKUP(_xlfn.CONCAT($D$3,"_",B9,"_",$C$2,"_",Parámetros!$C$6),DATA_KPI!A:H,6,FALSE),0)</f>
        <v>21786622.780000005</v>
      </c>
      <c r="E9" s="34">
        <f t="shared" si="9"/>
        <v>-0.10883589448420738</v>
      </c>
      <c r="F9" s="68">
        <f>IFERROR(VLOOKUP(_xlfn.CONCAT($D$3,"_",B9,"_",$C$2,"_",Parámetros!$C$6),DATA_KPI_PRE!$A:$F,6,FALSE),0)</f>
        <v>22970474.829578836</v>
      </c>
      <c r="G9" s="34">
        <f t="shared" si="0"/>
        <v>-5.1537987715186362E-2</v>
      </c>
      <c r="H9" s="34"/>
      <c r="I9" s="73">
        <f>IFERROR(VLOOKUP(_xlfn.CONCAT($I$3,"_",B9,"_",$I$2,"_",Parámetros!$C$6),DATA_KPI!$A:$H,6,FALSE),0)</f>
        <v>14872712.05000001</v>
      </c>
      <c r="J9" s="73">
        <f>IFERROR(VLOOKUP(_xlfn.CONCAT($J$3,"_",B9,"_",$I$2,"_",Parámetros!$C$6),DATA_KPI!$A:$H,6,FALSE),0)</f>
        <v>13225496.160000002</v>
      </c>
      <c r="K9" s="22">
        <f t="shared" si="10"/>
        <v>-0.11075423799387063</v>
      </c>
      <c r="L9" s="75">
        <f>IFERROR(VLOOKUP(_xlfn.CONCAT($J$3,"_",B9,"_",$I$2,"_",Parámetros!$C$6),DATA_KPI_PRE!A:F,6,FALSE),0)</f>
        <v>13579794.327954855</v>
      </c>
      <c r="M9" s="34">
        <f t="shared" si="1"/>
        <v>-2.6090098229654912E-2</v>
      </c>
      <c r="N9" s="4"/>
      <c r="O9" s="73">
        <f>IFERROR(VLOOKUP(_xlfn.CONCAT($O$3,"_",B9,"_",$O$2,"_",Parámetros!$C$6),DATA_KPI!$A:$H,6,FALSE),0)</f>
        <v>2205356.62</v>
      </c>
      <c r="P9" s="73">
        <f>IFERROR(VLOOKUP(_xlfn.CONCAT($P$3,"_",B9,"_",$O$2,"_",Parámetros!$C$6),DATA_KPI!$A:$H,6,FALSE),0)</f>
        <v>1727867.4900000002</v>
      </c>
      <c r="Q9" s="22">
        <f t="shared" si="11"/>
        <v>-0.21651334104866893</v>
      </c>
      <c r="R9" s="73">
        <f>IFERROR(VLOOKUP(_xlfn.CONCAT($P$3,"_",B9,"_",$O$2,"_",Parámetros!$C$6),DATA_KPI_PRE!A:F,6,FALSE),0)</f>
        <v>2152914.8440660294</v>
      </c>
      <c r="S9" s="25">
        <f t="shared" si="2"/>
        <v>-0.19742878137403608</v>
      </c>
      <c r="T9" s="4"/>
      <c r="U9" s="73">
        <f>IFERROR(VLOOKUP(_xlfn.CONCAT($U$3,"_",B9,"_",$U$2,"_",Parámetros!$C$6),DATA_KPI!$A:$H,6,FALSE),0)</f>
        <v>0</v>
      </c>
      <c r="V9" s="73">
        <f>IFERROR(VLOOKUP(_xlfn.CONCAT($V$3,"_",B9,"_",$U$2,"_",Parámetros!$C$6),DATA_KPI!$A:$H,6,FALSE),0)</f>
        <v>0</v>
      </c>
      <c r="W9" s="4">
        <f t="shared" si="12"/>
        <v>0</v>
      </c>
      <c r="X9" s="73">
        <f>IFERROR(VLOOKUP(_xlfn.CONCAT($V$3,"_",B9,"_",$U$2,"_",Parámetros!$C$6),DATA_KPI_PRE!A:F,6,FALSE),0)</f>
        <v>0</v>
      </c>
      <c r="Y9" s="25">
        <f t="shared" si="3"/>
        <v>0</v>
      </c>
      <c r="Z9" s="5"/>
      <c r="AA9" s="73">
        <f>IFERROR(VLOOKUP(_xlfn.CONCAT($AA$3,"_",B9,"_",$AA$2,"_",Parámetros!$C$6),DATA_KPI!$A:$H,6,FALSE),0)</f>
        <v>1017596</v>
      </c>
      <c r="AB9" s="73">
        <f>IFERROR(VLOOKUP(_xlfn.CONCAT($AB$3,"_",B9,"_",$AA$2,"_",Parámetros!$C$6),DATA_KPI!$A:$H,6,FALSE),0)</f>
        <v>646981.67999999993</v>
      </c>
      <c r="AC9" s="4">
        <f t="shared" si="13"/>
        <v>-0.36420575552576862</v>
      </c>
      <c r="AD9" s="73">
        <f>IFERROR(VLOOKUP(_xlfn.CONCAT($AB$3,"_",B9,"_",$AA$2,"_",Parámetros!$C$6),DATA_KPI_PRE!A:F,6,FALSE),0)</f>
        <v>1247389.5424574732</v>
      </c>
      <c r="AE9" s="25">
        <f t="shared" si="4"/>
        <v>-0.48133148629305811</v>
      </c>
      <c r="AF9" s="5"/>
      <c r="AG9" s="73">
        <f>IFERROR(VLOOKUP(_xlfn.CONCAT($AG$3,"_",B9,"_",$AG$2,"_",Parámetros!$C$6),DATA_KPI!$A:$H,6,FALSE),0)</f>
        <v>6320125.9300000016</v>
      </c>
      <c r="AH9" s="73">
        <f>IFERROR(VLOOKUP(_xlfn.CONCAT($AH$3,"_",B9,"_",$AG$2,"_",Parámetros!$C$6),DATA_KPI!$A:$H,6,FALSE),0)</f>
        <v>6048879.1300000036</v>
      </c>
      <c r="AI9" s="25">
        <f t="shared" si="14"/>
        <v>-4.2917942301190504E-2</v>
      </c>
      <c r="AJ9" s="73">
        <f>IFERROR(VLOOKUP(_xlfn.CONCAT($AH$3,"_",B9,"_",$AG$2,"_",Parámetros!$C$6),DATA_KPI_PRE!A:F,6,FALSE),0)</f>
        <v>5933870.1513937637</v>
      </c>
      <c r="AK9" s="25">
        <f t="shared" si="5"/>
        <v>1.9381782154303862E-2</v>
      </c>
      <c r="AM9" s="73">
        <f>IFERROR(VLOOKUP(_xlfn.CONCAT($AM$3,"_",B9,"_",$AM$2,"_",Parámetros!$C$6),DATA_KPI!$A:$H,6,FALSE),0)</f>
        <v>31584.07</v>
      </c>
      <c r="AN9" s="73">
        <f>IFERROR(VLOOKUP(_xlfn.CONCAT($AN$3,"_",B9,"_",$AM$2,"_",Parámetros!$C$6),DATA_KPI!$A:$H,6,FALSE),0)</f>
        <v>137398.32</v>
      </c>
      <c r="AO9" s="25">
        <f t="shared" si="6"/>
        <v>4.3502411183865792</v>
      </c>
      <c r="AP9" s="73">
        <f>IFERROR(VLOOKUP(_xlfn.CONCAT($AN$3,"_",B9,"_",$AM$2,"_",Parámetros!$C$6),DATA_KPI_PRE!A:F,6,FALSE),0)</f>
        <v>56505.963706714712</v>
      </c>
      <c r="AQ9" s="25">
        <f t="shared" si="7"/>
        <v>1.4315720144716813</v>
      </c>
      <c r="AS9" s="34">
        <f t="shared" si="15"/>
        <v>0.60704664020441623</v>
      </c>
      <c r="AT9" s="34">
        <f t="shared" si="16"/>
        <v>7.930864308102735E-2</v>
      </c>
      <c r="AU9" s="34">
        <f t="shared" si="17"/>
        <v>0</v>
      </c>
      <c r="AV9" s="34">
        <f t="shared" si="18"/>
        <v>2.9696281361878879E-2</v>
      </c>
      <c r="AW9" s="34">
        <f t="shared" si="19"/>
        <v>0.27764189021314678</v>
      </c>
      <c r="AX9" s="34">
        <f t="shared" si="20"/>
        <v>6.3065451395307986E-3</v>
      </c>
      <c r="AY9" s="4">
        <f t="shared" si="8"/>
        <v>1</v>
      </c>
    </row>
    <row r="10" spans="1:54" ht="14.4" x14ac:dyDescent="0.3">
      <c r="A10" s="1" t="s">
        <v>10</v>
      </c>
      <c r="B10" s="1" t="str">
        <f>IF(IFERROR(VLOOKUP(A10,DATA_KPI!$D:$H,5,FALSE),"")="",VLOOKUP(A10,DATA_KPI_PRE!$D:$H,5,FALSE),VLOOKUP(A10,DATA_KPI!$D:$H,5,FALSE))</f>
        <v>S04</v>
      </c>
      <c r="C10" s="68">
        <f>IFERROR(VLOOKUP(_xlfn.CONCAT($C$3,"_",B10,"_",$C$2,"_",Parámetros!$C$6),DATA_KPI!$A:$H,6,FALSE),0)</f>
        <v>21489239.299999986</v>
      </c>
      <c r="D10" s="68">
        <f>IFERROR(VLOOKUP(_xlfn.CONCAT($D$3,"_",B10,"_",$C$2,"_",Parámetros!$C$6),DATA_KPI!A:H,6,FALSE),0)</f>
        <v>19396478.889999997</v>
      </c>
      <c r="E10" s="34">
        <f t="shared" si="9"/>
        <v>-9.7386435172695518E-2</v>
      </c>
      <c r="F10" s="68">
        <f>IFERROR(VLOOKUP(_xlfn.CONCAT($D$3,"_",B10,"_",$C$2,"_",Parámetros!$C$6),DATA_KPI_PRE!$A:$F,6,FALSE),0)</f>
        <v>21440108.479039222</v>
      </c>
      <c r="G10" s="34">
        <f t="shared" si="0"/>
        <v>-9.5318061988220126E-2</v>
      </c>
      <c r="H10" s="34"/>
      <c r="I10" s="73">
        <f>IFERROR(VLOOKUP(_xlfn.CONCAT($I$3,"_",B10,"_",$I$2,"_",Parámetros!$C$6),DATA_KPI!$A:$H,6,FALSE),0)</f>
        <v>9393659.4899999872</v>
      </c>
      <c r="J10" s="73">
        <f>IFERROR(VLOOKUP(_xlfn.CONCAT($J$3,"_",B10,"_",$I$2,"_",Parámetros!$C$6),DATA_KPI!$A:$H,6,FALSE),0)</f>
        <v>9927208.5800000001</v>
      </c>
      <c r="K10" s="22">
        <f t="shared" si="10"/>
        <v>5.6798853585016795E-2</v>
      </c>
      <c r="L10" s="75">
        <f>IFERROR(VLOOKUP(_xlfn.CONCAT($J$3,"_",B10,"_",$I$2,"_",Parámetros!$C$6),DATA_KPI_PRE!A:F,6,FALSE),0)</f>
        <v>8858545.4676258359</v>
      </c>
      <c r="M10" s="34">
        <f t="shared" si="1"/>
        <v>0.12063640879641779</v>
      </c>
      <c r="N10" s="4"/>
      <c r="O10" s="73">
        <f>IFERROR(VLOOKUP(_xlfn.CONCAT($O$3,"_",B10,"_",$O$2,"_",Parámetros!$C$6),DATA_KPI!$A:$H,6,FALSE),0)</f>
        <v>2394926.54</v>
      </c>
      <c r="P10" s="73">
        <f>IFERROR(VLOOKUP(_xlfn.CONCAT($P$3,"_",B10,"_",$O$2,"_",Parámetros!$C$6),DATA_KPI!$A:$H,6,FALSE),0)</f>
        <v>1199912.3800000004</v>
      </c>
      <c r="Q10" s="22">
        <f t="shared" si="11"/>
        <v>-0.49897737573195033</v>
      </c>
      <c r="R10" s="73">
        <f>IFERROR(VLOOKUP(_xlfn.CONCAT($P$3,"_",B10,"_",$O$2,"_",Parámetros!$C$6),DATA_KPI_PRE!A:F,6,FALSE),0)</f>
        <v>2338615.7800169438</v>
      </c>
      <c r="S10" s="25">
        <f t="shared" si="2"/>
        <v>-0.48691341679422573</v>
      </c>
      <c r="T10" s="5"/>
      <c r="U10" s="73">
        <f>IFERROR(VLOOKUP(_xlfn.CONCAT($U$3,"_",B10,"_",$U$2,"_",Parámetros!$C$6),DATA_KPI!$A:$H,6,FALSE),0)</f>
        <v>0</v>
      </c>
      <c r="V10" s="73">
        <f>IFERROR(VLOOKUP(_xlfn.CONCAT($V$3,"_",B10,"_",$U$2,"_",Parámetros!$C$6),DATA_KPI!$A:$H,6,FALSE),0)</f>
        <v>0</v>
      </c>
      <c r="W10" s="4">
        <f t="shared" si="12"/>
        <v>0</v>
      </c>
      <c r="X10" s="73">
        <f>IFERROR(VLOOKUP(_xlfn.CONCAT($V$3,"_",B10,"_",$U$2,"_",Parámetros!$C$6),DATA_KPI_PRE!A:F,6,FALSE),0)</f>
        <v>0</v>
      </c>
      <c r="Y10" s="25">
        <f t="shared" si="3"/>
        <v>0</v>
      </c>
      <c r="Z10" s="5"/>
      <c r="AA10" s="73">
        <f>IFERROR(VLOOKUP(_xlfn.CONCAT($AA$3,"_",B10,"_",$AA$2,"_",Parámetros!$C$6),DATA_KPI!$A:$H,6,FALSE),0)</f>
        <v>765351.67000000016</v>
      </c>
      <c r="AB10" s="73">
        <f>IFERROR(VLOOKUP(_xlfn.CONCAT($AB$3,"_",B10,"_",$AA$2,"_",Parámetros!$C$6),DATA_KPI!$A:$H,6,FALSE),0)</f>
        <v>459366.47000000003</v>
      </c>
      <c r="AC10" s="4">
        <f t="shared" si="13"/>
        <v>-0.399796867236208</v>
      </c>
      <c r="AD10" s="73">
        <f>IFERROR(VLOOKUP(_xlfn.CONCAT($AB$3,"_",B10,"_",$AA$2,"_",Parámetros!$C$6),DATA_KPI_PRE!A:F,6,FALSE),0)</f>
        <v>1034549.5434304314</v>
      </c>
      <c r="AE10" s="25">
        <f t="shared" si="4"/>
        <v>-0.55597441135897596</v>
      </c>
      <c r="AF10" s="5"/>
      <c r="AG10" s="73">
        <f>IFERROR(VLOOKUP(_xlfn.CONCAT($AG$3,"_",B10,"_",$AG$2,"_",Parámetros!$C$6),DATA_KPI!$A:$H,6,FALSE),0)</f>
        <v>8841522.8499999996</v>
      </c>
      <c r="AH10" s="73">
        <f>IFERROR(VLOOKUP(_xlfn.CONCAT($AH$3,"_",B10,"_",$AG$2,"_",Parámetros!$C$6),DATA_KPI!$A:$H,6,FALSE),0)</f>
        <v>7673751.6399999969</v>
      </c>
      <c r="AI10" s="25">
        <f t="shared" si="14"/>
        <v>-0.13207806277399403</v>
      </c>
      <c r="AJ10" s="73">
        <f>IFERROR(VLOOKUP(_xlfn.CONCAT($AH$3,"_",B10,"_",$AG$2,"_",Parámetros!$C$6),DATA_KPI_PRE!A:F,6,FALSE),0)</f>
        <v>9074387.3889559712</v>
      </c>
      <c r="AK10" s="25">
        <f t="shared" si="5"/>
        <v>-0.15435044691398403</v>
      </c>
      <c r="AM10" s="73">
        <f>IFERROR(VLOOKUP(_xlfn.CONCAT($AM$3,"_",B10,"_",$AM$2,"_",Parámetros!$C$6),DATA_KPI!$A:$H,6,FALSE),0)</f>
        <v>93778.75</v>
      </c>
      <c r="AN10" s="73">
        <f>IFERROR(VLOOKUP(_xlfn.CONCAT($AN$3,"_",B10,"_",$AM$2,"_",Parámetros!$C$6),DATA_KPI!$A:$H,6,FALSE),0)</f>
        <v>136239.82</v>
      </c>
      <c r="AO10" s="25">
        <f t="shared" si="6"/>
        <v>1.4527792277035043</v>
      </c>
      <c r="AP10" s="73">
        <f>IFERROR(VLOOKUP(_xlfn.CONCAT($AN$3,"_",B10,"_",$AM$2,"_",Parámetros!$C$6),DATA_KPI_PRE!A:F,6,FALSE),0)</f>
        <v>134010.29901004178</v>
      </c>
      <c r="AQ10" s="25">
        <f t="shared" si="7"/>
        <v>1.6636937656494322E-2</v>
      </c>
      <c r="AS10" s="34">
        <f t="shared" si="15"/>
        <v>0.51180467528660822</v>
      </c>
      <c r="AT10" s="34">
        <f t="shared" si="16"/>
        <v>6.1862381662407005E-2</v>
      </c>
      <c r="AU10" s="34">
        <f t="shared" si="17"/>
        <v>0</v>
      </c>
      <c r="AV10" s="34">
        <f t="shared" si="18"/>
        <v>2.3682982494148973E-2</v>
      </c>
      <c r="AW10" s="34">
        <f t="shared" si="19"/>
        <v>0.39562601457299851</v>
      </c>
      <c r="AX10" s="34">
        <f t="shared" si="20"/>
        <v>7.0239459838372775E-3</v>
      </c>
      <c r="AY10" s="4">
        <f t="shared" si="8"/>
        <v>1</v>
      </c>
    </row>
    <row r="11" spans="1:54" ht="14.4" x14ac:dyDescent="0.3">
      <c r="A11" s="1" t="s">
        <v>11</v>
      </c>
      <c r="B11" s="1" t="str">
        <f>IF(IFERROR(VLOOKUP(A11,DATA_KPI!$D:$H,5,FALSE),"")="",VLOOKUP(A11,DATA_KPI_PRE!$D:$H,5,FALSE),VLOOKUP(A11,DATA_KPI!$D:$H,5,FALSE))</f>
        <v>S09</v>
      </c>
      <c r="C11" s="68">
        <f>IFERROR(VLOOKUP(_xlfn.CONCAT($C$3,"_",B11,"_",$C$2,"_",Parámetros!$C$6),DATA_KPI!$A:$H,6,FALSE),0)</f>
        <v>20528583.619999979</v>
      </c>
      <c r="D11" s="68">
        <f>IFERROR(VLOOKUP(_xlfn.CONCAT($D$3,"_",B11,"_",$C$2,"_",Parámetros!$C$6),DATA_KPI!A:H,6,FALSE),0)</f>
        <v>18410077.659999993</v>
      </c>
      <c r="E11" s="34">
        <f t="shared" si="9"/>
        <v>-0.10319786299996025</v>
      </c>
      <c r="F11" s="68">
        <f>IFERROR(VLOOKUP(_xlfn.CONCAT($D$3,"_",B11,"_",$C$2,"_",Parámetros!$C$6),DATA_KPI_PRE!$A:$F,6,FALSE),0)</f>
        <v>20662414.559560739</v>
      </c>
      <c r="G11" s="34">
        <f t="shared" si="0"/>
        <v>-0.10900647129444818</v>
      </c>
      <c r="H11" s="34"/>
      <c r="I11" s="73">
        <f>IFERROR(VLOOKUP(_xlfn.CONCAT($I$3,"_",B11,"_",$I$2,"_",Parámetros!$C$6),DATA_KPI!$A:$H,6,FALSE),0)</f>
        <v>12079309.069999989</v>
      </c>
      <c r="J11" s="73">
        <f>IFERROR(VLOOKUP(_xlfn.CONCAT($J$3,"_",B11,"_",$I$2,"_",Parámetros!$C$6),DATA_KPI!$A:$H,6,FALSE),0)</f>
        <v>9158915.4899999909</v>
      </c>
      <c r="K11" s="22">
        <f t="shared" si="10"/>
        <v>-0.24176826365450399</v>
      </c>
      <c r="L11" s="75">
        <f>IFERROR(VLOOKUP(_xlfn.CONCAT($J$3,"_",B11,"_",$I$2,"_",Parámetros!$C$6),DATA_KPI_PRE!A:F,6,FALSE),0)</f>
        <v>10984028.454158764</v>
      </c>
      <c r="M11" s="34">
        <f t="shared" si="1"/>
        <v>-0.16616061873617516</v>
      </c>
      <c r="N11" s="4"/>
      <c r="O11" s="73">
        <f>IFERROR(VLOOKUP(_xlfn.CONCAT($O$3,"_",B11,"_",$O$2,"_",Parámetros!$C$6),DATA_KPI!$A:$H,6,FALSE),0)</f>
        <v>1211329.33</v>
      </c>
      <c r="P11" s="73">
        <f>IFERROR(VLOOKUP(_xlfn.CONCAT($P$3,"_",B11,"_",$O$2,"_",Parámetros!$C$6),DATA_KPI!$A:$H,6,FALSE),0)</f>
        <v>2077609.4300000004</v>
      </c>
      <c r="Q11" s="22">
        <f t="shared" si="11"/>
        <v>0.71514829084506704</v>
      </c>
      <c r="R11" s="73">
        <f>IFERROR(VLOOKUP(_xlfn.CONCAT($P$3,"_",B11,"_",$O$2,"_",Parámetros!$C$6),DATA_KPI_PRE!A:F,6,FALSE),0)</f>
        <v>1909851.177069565</v>
      </c>
      <c r="S11" s="25">
        <f t="shared" si="2"/>
        <v>8.7838390207890527E-2</v>
      </c>
      <c r="T11" s="5"/>
      <c r="U11" s="73">
        <f>IFERROR(VLOOKUP(_xlfn.CONCAT($U$3,"_",B11,"_",$U$2,"_",Parámetros!$C$6),DATA_KPI!$A:$H,6,FALSE),0)</f>
        <v>0</v>
      </c>
      <c r="V11" s="73">
        <f>IFERROR(VLOOKUP(_xlfn.CONCAT($V$3,"_",B11,"_",$U$2,"_",Parámetros!$C$6),DATA_KPI!$A:$H,6,FALSE),0)</f>
        <v>0</v>
      </c>
      <c r="W11" s="4">
        <f t="shared" si="12"/>
        <v>0</v>
      </c>
      <c r="X11" s="73">
        <f>IFERROR(VLOOKUP(_xlfn.CONCAT($V$3,"_",B11,"_",$U$2,"_",Parámetros!$C$6),DATA_KPI_PRE!A:F,6,FALSE),0)</f>
        <v>0</v>
      </c>
      <c r="Y11" s="25">
        <f t="shared" si="3"/>
        <v>0</v>
      </c>
      <c r="Z11" s="5"/>
      <c r="AA11" s="73">
        <f>IFERROR(VLOOKUP(_xlfn.CONCAT($AA$3,"_",B11,"_",$AA$2,"_",Parámetros!$C$6),DATA_KPI!$A:$H,6,FALSE),0)</f>
        <v>391701.01999999996</v>
      </c>
      <c r="AB11" s="73">
        <f>IFERROR(VLOOKUP(_xlfn.CONCAT($AB$3,"_",B11,"_",$AA$2,"_",Parámetros!$C$6),DATA_KPI!$A:$H,6,FALSE),0)</f>
        <v>410642.58999999991</v>
      </c>
      <c r="AC11" s="4">
        <f t="shared" si="13"/>
        <v>4.8357213877053384E-2</v>
      </c>
      <c r="AD11" s="73">
        <f>IFERROR(VLOOKUP(_xlfn.CONCAT($AB$3,"_",B11,"_",$AA$2,"_",Parámetros!$C$6),DATA_KPI_PRE!A:F,6,FALSE),0)</f>
        <v>762686.99321855558</v>
      </c>
      <c r="AE11" s="25">
        <f t="shared" si="4"/>
        <v>-0.46158438041918182</v>
      </c>
      <c r="AF11" s="5"/>
      <c r="AG11" s="73">
        <f>IFERROR(VLOOKUP(_xlfn.CONCAT($AG$3,"_",B11,"_",$AG$2,"_",Parámetros!$C$6),DATA_KPI!$A:$H,6,FALSE),0)</f>
        <v>6745334.0599999921</v>
      </c>
      <c r="AH11" s="73">
        <f>IFERROR(VLOOKUP(_xlfn.CONCAT($AH$3,"_",B11,"_",$AG$2,"_",Parámetros!$C$6),DATA_KPI!$A:$H,6,FALSE),0)</f>
        <v>6700753.5100000026</v>
      </c>
      <c r="AI11" s="25">
        <f t="shared" si="14"/>
        <v>-6.6090944649210837E-3</v>
      </c>
      <c r="AJ11" s="73">
        <f>IFERROR(VLOOKUP(_xlfn.CONCAT($AH$3,"_",B11,"_",$AG$2,"_",Parámetros!$C$6),DATA_KPI_PRE!A:F,6,FALSE),0)</f>
        <v>6931984.5121399974</v>
      </c>
      <c r="AK11" s="25">
        <f t="shared" si="5"/>
        <v>-3.3357114652382669E-2</v>
      </c>
      <c r="AM11" s="73">
        <f>IFERROR(VLOOKUP(_xlfn.CONCAT($AM$3,"_",B11,"_",$AM$2,"_",Parámetros!$C$6),DATA_KPI!$A:$H,6,FALSE),0)</f>
        <v>100910.14</v>
      </c>
      <c r="AN11" s="73">
        <f>IFERROR(VLOOKUP(_xlfn.CONCAT($AN$3,"_",B11,"_",$AM$2,"_",Parámetros!$C$6),DATA_KPI!$A:$H,6,FALSE),0)</f>
        <v>62156.639999999999</v>
      </c>
      <c r="AO11" s="25">
        <f t="shared" si="6"/>
        <v>0.61596029893527049</v>
      </c>
      <c r="AP11" s="73">
        <f>IFERROR(VLOOKUP(_xlfn.CONCAT($AN$3,"_",B11,"_",$AM$2,"_",Parámetros!$C$6),DATA_KPI_PRE!A:F,6,FALSE),0)</f>
        <v>73863.422973856621</v>
      </c>
      <c r="AQ11" s="25">
        <f t="shared" si="7"/>
        <v>-0.15849228891003531</v>
      </c>
      <c r="AS11" s="34">
        <f t="shared" si="15"/>
        <v>0.497494668906247</v>
      </c>
      <c r="AT11" s="34">
        <f t="shared" si="16"/>
        <v>0.112851747198985</v>
      </c>
      <c r="AU11" s="34">
        <f t="shared" si="17"/>
        <v>0</v>
      </c>
      <c r="AV11" s="34">
        <f t="shared" si="18"/>
        <v>2.2305315468180383E-2</v>
      </c>
      <c r="AW11" s="34">
        <f t="shared" si="19"/>
        <v>0.36397203932272848</v>
      </c>
      <c r="AX11" s="34">
        <f t="shared" si="20"/>
        <v>3.376229103859197E-3</v>
      </c>
      <c r="AY11" s="4">
        <f t="shared" si="8"/>
        <v>1</v>
      </c>
    </row>
    <row r="12" spans="1:54" ht="14.4" x14ac:dyDescent="0.3">
      <c r="A12" s="1" t="s">
        <v>52</v>
      </c>
      <c r="B12" s="1" t="str">
        <f>IF(IFERROR(VLOOKUP(A12,DATA_KPI!$D:$H,5,FALSE),"")="",VLOOKUP(A12,DATA_KPI_PRE!$D:$H,5,FALSE),VLOOKUP(A12,DATA_KPI!$D:$H,5,FALSE))</f>
        <v>S87</v>
      </c>
      <c r="C12" s="68">
        <f>IFERROR(VLOOKUP(_xlfn.CONCAT($C$3,"_",B12,"_",$C$2,"_",Parámetros!$C$6),DATA_KPI!$A:$H,6,FALSE),0)</f>
        <v>21367546.170000002</v>
      </c>
      <c r="D12" s="68">
        <f>IFERROR(VLOOKUP(_xlfn.CONCAT($D$3,"_",B12,"_",$C$2,"_",Parámetros!$C$6),DATA_KPI!A:H,6,FALSE),0)</f>
        <v>16296823.120000061</v>
      </c>
      <c r="E12" s="34">
        <f t="shared" si="9"/>
        <v>-0.23730956328149777</v>
      </c>
      <c r="F12" s="68">
        <f>IFERROR(VLOOKUP(_xlfn.CONCAT($D$3,"_",B12,"_",$C$2,"_",Parámetros!$C$6),DATA_KPI_PRE!$A:$F,6,FALSE),0)</f>
        <v>22571537.953858063</v>
      </c>
      <c r="G12" s="34">
        <f t="shared" si="0"/>
        <v>-0.2779923480041594</v>
      </c>
      <c r="H12" s="34"/>
      <c r="I12" s="73">
        <f>IFERROR(VLOOKUP(_xlfn.CONCAT($I$3,"_",B12,"_",$I$2,"_",Parámetros!$C$6),DATA_KPI!$A:$H,6,FALSE),0)</f>
        <v>0</v>
      </c>
      <c r="J12" s="73">
        <f>IFERROR(VLOOKUP(_xlfn.CONCAT($J$3,"_",B12,"_",$I$2,"_",Parámetros!$C$6),DATA_KPI!$A:$H,6,FALSE),0)</f>
        <v>1000602.9199999998</v>
      </c>
      <c r="K12" s="22">
        <f t="shared" si="10"/>
        <v>0</v>
      </c>
      <c r="L12" s="75">
        <f>IFERROR(VLOOKUP(_xlfn.CONCAT($J$3,"_",B12,"_",$I$2,"_",Parámetros!$C$6),DATA_KPI_PRE!A:F,6,FALSE),0)</f>
        <v>0</v>
      </c>
      <c r="M12" s="34">
        <f t="shared" si="1"/>
        <v>0</v>
      </c>
      <c r="N12" s="4"/>
      <c r="O12" s="73">
        <f>IFERROR(VLOOKUP(_xlfn.CONCAT($O$3,"_",B12,"_",$O$2,"_",Parámetros!$C$6),DATA_KPI!$A:$H,6,FALSE),0)</f>
        <v>21367546.170000002</v>
      </c>
      <c r="P12" s="73">
        <f>IFERROR(VLOOKUP(_xlfn.CONCAT($P$3,"_",B12,"_",$O$2,"_",Parámetros!$C$6),DATA_KPI!$A:$H,6,FALSE),0)</f>
        <v>15296220.200000061</v>
      </c>
      <c r="Q12" s="22">
        <f t="shared" si="11"/>
        <v>-0.28413772558142747</v>
      </c>
      <c r="R12" s="73">
        <f>IFERROR(VLOOKUP(_xlfn.CONCAT($P$3,"_",B12,"_",$O$2,"_",Parámetros!$C$6),DATA_KPI_PRE!A:F,6,FALSE),0)</f>
        <v>22571537.953858063</v>
      </c>
      <c r="S12" s="25">
        <f t="shared" si="2"/>
        <v>-0.32232264229095031</v>
      </c>
      <c r="T12" s="4"/>
      <c r="U12" s="73">
        <f>IFERROR(VLOOKUP(_xlfn.CONCAT($U$3,"_",B12,"_",$U$2,"_",Parámetros!$C$6),DATA_KPI!$A:$H,6,FALSE),0)</f>
        <v>0</v>
      </c>
      <c r="V12" s="73">
        <f>IFERROR(VLOOKUP(_xlfn.CONCAT($V$3,"_",B12,"_",$U$2,"_",Parámetros!$C$6),DATA_KPI!$A:$H,6,FALSE),0)</f>
        <v>0</v>
      </c>
      <c r="W12" s="4">
        <f t="shared" si="12"/>
        <v>0</v>
      </c>
      <c r="X12" s="73">
        <f>IFERROR(VLOOKUP(_xlfn.CONCAT($V$3,"_",B12,"_",$U$2,"_",Parámetros!$C$6),DATA_KPI_PRE!A:F,6,FALSE),0)</f>
        <v>0</v>
      </c>
      <c r="Y12" s="25">
        <f t="shared" si="3"/>
        <v>0</v>
      </c>
      <c r="Z12" s="5"/>
      <c r="AA12" s="73">
        <f>IFERROR(VLOOKUP(_xlfn.CONCAT($AA$3,"_",B12,"_",$AA$2,"_",Parámetros!$C$6),DATA_KPI!$A:$H,6,FALSE),0)</f>
        <v>0</v>
      </c>
      <c r="AB12" s="73">
        <f>IFERROR(VLOOKUP(_xlfn.CONCAT($AB$3,"_",B12,"_",$AA$2,"_",Parámetros!$C$6),DATA_KPI!$A:$H,6,FALSE),0)</f>
        <v>0</v>
      </c>
      <c r="AC12" s="4">
        <f t="shared" si="13"/>
        <v>0</v>
      </c>
      <c r="AD12" s="73">
        <f>IFERROR(VLOOKUP(_xlfn.CONCAT($AB$3,"_",B12,"_",$AA$2,"_",Parámetros!$C$6),DATA_KPI_PRE!A:F,6,FALSE),0)</f>
        <v>0</v>
      </c>
      <c r="AE12" s="25">
        <f t="shared" si="4"/>
        <v>0</v>
      </c>
      <c r="AF12" s="5"/>
      <c r="AG12" s="73">
        <f>IFERROR(VLOOKUP(_xlfn.CONCAT($AG$3,"_",B12,"_",$AG$2,"_",Parámetros!$C$6),DATA_KPI!$A:$H,6,FALSE),0)</f>
        <v>0</v>
      </c>
      <c r="AH12" s="73">
        <f>IFERROR(VLOOKUP(_xlfn.CONCAT($AH$3,"_",B12,"_",$AG$2,"_",Parámetros!$C$6),DATA_KPI!$A:$H,6,FALSE),0)</f>
        <v>0</v>
      </c>
      <c r="AI12" s="25">
        <f t="shared" si="14"/>
        <v>0</v>
      </c>
      <c r="AJ12" s="73">
        <f>IFERROR(VLOOKUP(_xlfn.CONCAT($AH$3,"_",B12,"_",$AG$2,"_",Parámetros!$C$6),DATA_KPI_PRE!A:F,6,FALSE),0)</f>
        <v>0</v>
      </c>
      <c r="AK12" s="25">
        <f t="shared" si="5"/>
        <v>0</v>
      </c>
      <c r="AM12" s="73">
        <f>IFERROR(VLOOKUP(_xlfn.CONCAT($AM$3,"_",B12,"_",$AM$2,"_",Parámetros!$C$6),DATA_KPI!$A:$H,6,FALSE),0)</f>
        <v>0</v>
      </c>
      <c r="AN12" s="73">
        <f>IFERROR(VLOOKUP(_xlfn.CONCAT($AN$3,"_",B12,"_",$AM$2,"_",Parámetros!$C$6),DATA_KPI!$A:$H,6,FALSE),0)</f>
        <v>0</v>
      </c>
      <c r="AO12" s="25">
        <f t="shared" si="6"/>
        <v>0</v>
      </c>
      <c r="AP12" s="73">
        <f>IFERROR(VLOOKUP(_xlfn.CONCAT($AN$3,"_",B12,"_",$AM$2,"_",Parámetros!$C$6),DATA_KPI_PRE!A:F,6,FALSE),0)</f>
        <v>0</v>
      </c>
      <c r="AQ12" s="25">
        <f t="shared" si="7"/>
        <v>0</v>
      </c>
      <c r="AS12" s="34">
        <f t="shared" si="15"/>
        <v>6.1398648842916084E-2</v>
      </c>
      <c r="AT12" s="34">
        <f t="shared" si="16"/>
        <v>0.93860135115708387</v>
      </c>
      <c r="AU12" s="34">
        <f t="shared" si="17"/>
        <v>0</v>
      </c>
      <c r="AV12" s="34">
        <f t="shared" si="18"/>
        <v>0</v>
      </c>
      <c r="AW12" s="34">
        <f t="shared" si="19"/>
        <v>0</v>
      </c>
      <c r="AX12" s="34">
        <f t="shared" si="20"/>
        <v>0</v>
      </c>
      <c r="AY12" s="4">
        <f t="shared" si="8"/>
        <v>1</v>
      </c>
    </row>
    <row r="13" spans="1:54" ht="14.4" x14ac:dyDescent="0.3">
      <c r="A13" s="1" t="s">
        <v>12</v>
      </c>
      <c r="B13" s="1" t="str">
        <f>IF(IFERROR(VLOOKUP(A13,DATA_KPI!$D:$H,5,FALSE),"")="",VLOOKUP(A13,DATA_KPI_PRE!$D:$H,5,FALSE),VLOOKUP(A13,DATA_KPI!$D:$H,5,FALSE))</f>
        <v>S01</v>
      </c>
      <c r="C13" s="68">
        <f>IFERROR(VLOOKUP(_xlfn.CONCAT($C$3,"_",B13,"_",$C$2,"_",Parámetros!$C$6),DATA_KPI!$A:$H,6,FALSE),0)</f>
        <v>12117822.059999993</v>
      </c>
      <c r="D13" s="68">
        <f>IFERROR(VLOOKUP(_xlfn.CONCAT($D$3,"_",B13,"_",$C$2,"_",Parámetros!$C$6),DATA_KPI!A:H,6,FALSE),0)</f>
        <v>11568046.580000002</v>
      </c>
      <c r="E13" s="34">
        <f t="shared" si="9"/>
        <v>-4.5369165950600809E-2</v>
      </c>
      <c r="F13" s="68">
        <f>IFERROR(VLOOKUP(_xlfn.CONCAT($D$3,"_",B13,"_",$C$2,"_",Parámetros!$C$6),DATA_KPI_PRE!$A:$F,6,FALSE),0)</f>
        <v>13694109.044219047</v>
      </c>
      <c r="G13" s="34">
        <f t="shared" si="0"/>
        <v>-0.15525379981668541</v>
      </c>
      <c r="H13" s="34"/>
      <c r="I13" s="73">
        <f>IFERROR(VLOOKUP(_xlfn.CONCAT($I$3,"_",B13,"_",$I$2,"_",Parámetros!$C$6),DATA_KPI!$A:$H,6,FALSE),0)</f>
        <v>5642972.5599999959</v>
      </c>
      <c r="J13" s="73">
        <f>IFERROR(VLOOKUP(_xlfn.CONCAT($J$3,"_",B13,"_",$I$2,"_",Parámetros!$C$6),DATA_KPI!$A:$H,6,FALSE),0)</f>
        <v>6133559.1100000031</v>
      </c>
      <c r="K13" s="22">
        <f t="shared" si="10"/>
        <v>8.693761041432535E-2</v>
      </c>
      <c r="L13" s="75">
        <f>IFERROR(VLOOKUP(_xlfn.CONCAT($J$3,"_",B13,"_",$I$2,"_",Parámetros!$C$6),DATA_KPI_PRE!A:F,6,FALSE),0)</f>
        <v>5894147.9317262154</v>
      </c>
      <c r="M13" s="34">
        <f t="shared" si="1"/>
        <v>4.061845427820332E-2</v>
      </c>
      <c r="N13" s="4"/>
      <c r="O13" s="73">
        <f>IFERROR(VLOOKUP(_xlfn.CONCAT($O$3,"_",B13,"_",$O$2,"_",Parámetros!$C$6),DATA_KPI!$A:$H,6,FALSE),0)</f>
        <v>875267.68999999983</v>
      </c>
      <c r="P13" s="73">
        <f>IFERROR(VLOOKUP(_xlfn.CONCAT($P$3,"_",B13,"_",$O$2,"_",Parámetros!$C$6),DATA_KPI!$A:$H,6,FALSE),0)</f>
        <v>567968.84000000008</v>
      </c>
      <c r="Q13" s="22">
        <f t="shared" si="11"/>
        <v>-0.35109127585870303</v>
      </c>
      <c r="R13" s="73">
        <f>IFERROR(VLOOKUP(_xlfn.CONCAT($P$3,"_",B13,"_",$O$2,"_",Parámetros!$C$6),DATA_KPI_PRE!A:F,6,FALSE),0)</f>
        <v>865488.09251552669</v>
      </c>
      <c r="S13" s="25">
        <f t="shared" si="2"/>
        <v>-0.34375892064648961</v>
      </c>
      <c r="T13" s="5"/>
      <c r="U13" s="73">
        <f>IFERROR(VLOOKUP(_xlfn.CONCAT($U$3,"_",B13,"_",$U$2,"_",Parámetros!$C$6),DATA_KPI!$A:$H,6,FALSE),0)</f>
        <v>688973.85000000021</v>
      </c>
      <c r="V13" s="73">
        <f>IFERROR(VLOOKUP(_xlfn.CONCAT($V$3,"_",B13,"_",$U$2,"_",Parámetros!$C$6),DATA_KPI!$A:$H,6,FALSE),0)</f>
        <v>690329.43999999983</v>
      </c>
      <c r="W13" s="4">
        <f t="shared" si="12"/>
        <v>1.9675492763617797E-3</v>
      </c>
      <c r="X13" s="73">
        <f>IFERROR(VLOOKUP(_xlfn.CONCAT($V$3,"_",B13,"_",$U$2,"_",Parámetros!$C$6),DATA_KPI_PRE!A:F,6,FALSE),0)</f>
        <v>774140.85106162075</v>
      </c>
      <c r="Y13" s="25">
        <f t="shared" si="3"/>
        <v>-0.10826377518598307</v>
      </c>
      <c r="Z13" s="4"/>
      <c r="AA13" s="73">
        <f>IFERROR(VLOOKUP(_xlfn.CONCAT($AA$3,"_",B13,"_",$AA$2,"_",Parámetros!$C$6),DATA_KPI!$A:$H,6,FALSE),0)</f>
        <v>880011.85999999987</v>
      </c>
      <c r="AB13" s="73">
        <f>IFERROR(VLOOKUP(_xlfn.CONCAT($AB$3,"_",B13,"_",$AA$2,"_",Parámetros!$C$6),DATA_KPI!$A:$H,6,FALSE),0)</f>
        <v>606507.32999999973</v>
      </c>
      <c r="AC13" s="4">
        <f t="shared" si="13"/>
        <v>-0.31079641358469889</v>
      </c>
      <c r="AD13" s="73">
        <f>IFERROR(VLOOKUP(_xlfn.CONCAT($AB$3,"_",B13,"_",$AA$2,"_",Parámetros!$C$6),DATA_KPI_PRE!A:F,6,FALSE),0)</f>
        <v>1332466.4680670758</v>
      </c>
      <c r="AE13" s="25">
        <f t="shared" si="4"/>
        <v>-0.544823570022125</v>
      </c>
      <c r="AF13" s="5"/>
      <c r="AG13" s="73">
        <f>IFERROR(VLOOKUP(_xlfn.CONCAT($AG$3,"_",B13,"_",$AG$2,"_",Parámetros!$C$6),DATA_KPI!$A:$H,6,FALSE),0)</f>
        <v>3967119.1599999974</v>
      </c>
      <c r="AH13" s="73">
        <f>IFERROR(VLOOKUP(_xlfn.CONCAT($AH$3,"_",B13,"_",$AG$2,"_",Parámetros!$C$6),DATA_KPI!$A:$H,6,FALSE),0)</f>
        <v>3512606.6299999994</v>
      </c>
      <c r="AI13" s="25">
        <f t="shared" si="14"/>
        <v>-0.11456992131287491</v>
      </c>
      <c r="AJ13" s="73">
        <f>IFERROR(VLOOKUP(_xlfn.CONCAT($AH$3,"_",B13,"_",$AG$2,"_",Parámetros!$C$6),DATA_KPI_PRE!A:F,6,FALSE),0)</f>
        <v>4699120.6845445568</v>
      </c>
      <c r="AK13" s="25">
        <f t="shared" si="5"/>
        <v>-0.25249703810481205</v>
      </c>
      <c r="AM13" s="73">
        <f>IFERROR(VLOOKUP(_xlfn.CONCAT($AM$3,"_",B13,"_",$AM$2,"_",Parámetros!$C$6),DATA_KPI!$A:$H,6,FALSE),0)</f>
        <v>63476.94</v>
      </c>
      <c r="AN13" s="73">
        <f>IFERROR(VLOOKUP(_xlfn.CONCAT($AN$3,"_",B13,"_",$AM$2,"_",Parámetros!$C$6),DATA_KPI!$A:$H,6,FALSE),0)</f>
        <v>57075.229999999996</v>
      </c>
      <c r="AO13" s="25">
        <f t="shared" si="6"/>
        <v>0.89914904530684681</v>
      </c>
      <c r="AP13" s="73">
        <f>IFERROR(VLOOKUP(_xlfn.CONCAT($AN$3,"_",B13,"_",$AM$2,"_",Parámetros!$C$6),DATA_KPI_PRE!A:F,6,FALSE),0)</f>
        <v>128745.01630405209</v>
      </c>
      <c r="AQ13" s="25">
        <f t="shared" si="7"/>
        <v>-0.55668008255008761</v>
      </c>
      <c r="AS13" s="34">
        <f t="shared" si="15"/>
        <v>0.53021563040767095</v>
      </c>
      <c r="AT13" s="34">
        <f t="shared" si="16"/>
        <v>4.9098076850931906E-2</v>
      </c>
      <c r="AU13" s="34">
        <f t="shared" si="17"/>
        <v>5.967554117507709E-2</v>
      </c>
      <c r="AV13" s="34">
        <f t="shared" si="18"/>
        <v>5.2429537329888552E-2</v>
      </c>
      <c r="AW13" s="34">
        <f t="shared" si="19"/>
        <v>0.30364734492623374</v>
      </c>
      <c r="AX13" s="34">
        <f t="shared" si="20"/>
        <v>4.9338693101977455E-3</v>
      </c>
      <c r="AY13" s="4">
        <f t="shared" si="8"/>
        <v>1</v>
      </c>
    </row>
    <row r="14" spans="1:54" ht="14.4" x14ac:dyDescent="0.3">
      <c r="A14" s="1" t="s">
        <v>13</v>
      </c>
      <c r="B14" s="1" t="str">
        <f>IF(IFERROR(VLOOKUP(A14,DATA_KPI!$D:$H,5,FALSE),"")="",VLOOKUP(A14,DATA_KPI_PRE!$D:$H,5,FALSE),VLOOKUP(A14,DATA_KPI!$D:$H,5,FALSE))</f>
        <v>S13</v>
      </c>
      <c r="C14" s="68">
        <f>IFERROR(VLOOKUP(_xlfn.CONCAT($C$3,"_",B14,"_",$C$2,"_",Parámetros!$C$6),DATA_KPI!$A:$H,6,FALSE),0)</f>
        <v>14434484.679999996</v>
      </c>
      <c r="D14" s="68">
        <f>IFERROR(VLOOKUP(_xlfn.CONCAT($D$3,"_",B14,"_",$C$2,"_",Parámetros!$C$6),DATA_KPI!A:H,6,FALSE),0)</f>
        <v>13567276.970000003</v>
      </c>
      <c r="E14" s="34">
        <f t="shared" si="9"/>
        <v>-6.0078882566661496E-2</v>
      </c>
      <c r="F14" s="68">
        <f>IFERROR(VLOOKUP(_xlfn.CONCAT($D$3,"_",B14,"_",$C$2,"_",Parámetros!$C$6),DATA_KPI_PRE!$A:$F,6,FALSE),0)</f>
        <v>14445055.322192144</v>
      </c>
      <c r="G14" s="34">
        <f t="shared" si="0"/>
        <v>-6.0766700619249159E-2</v>
      </c>
      <c r="H14" s="34"/>
      <c r="I14" s="73">
        <f>IFERROR(VLOOKUP(_xlfn.CONCAT($I$3,"_",B14,"_",$I$2,"_",Parámetros!$C$6),DATA_KPI!$A:$H,6,FALSE),0)</f>
        <v>6589034.9500000048</v>
      </c>
      <c r="J14" s="73">
        <f>IFERROR(VLOOKUP(_xlfn.CONCAT($J$3,"_",B14,"_",$I$2,"_",Parámetros!$C$6),DATA_KPI!$A:$H,6,FALSE),0)</f>
        <v>5309996.8800000027</v>
      </c>
      <c r="K14" s="22">
        <f t="shared" si="10"/>
        <v>-0.19411614594638038</v>
      </c>
      <c r="L14" s="75">
        <f>IFERROR(VLOOKUP(_xlfn.CONCAT($J$3,"_",B14,"_",$I$2,"_",Parámetros!$C$6),DATA_KPI_PRE!A:F,6,FALSE),0)</f>
        <v>6674564.1515727341</v>
      </c>
      <c r="M14" s="34">
        <f t="shared" si="1"/>
        <v>-0.20444290302479107</v>
      </c>
      <c r="N14" s="4"/>
      <c r="O14" s="73">
        <f>IFERROR(VLOOKUP(_xlfn.CONCAT($O$3,"_",B14,"_",$O$2,"_",Parámetros!$C$6),DATA_KPI!$A:$H,6,FALSE),0)</f>
        <v>770192.53999999992</v>
      </c>
      <c r="P14" s="73">
        <f>IFERROR(VLOOKUP(_xlfn.CONCAT($P$3,"_",B14,"_",$O$2,"_",Parámetros!$C$6),DATA_KPI!$A:$H,6,FALSE),0)</f>
        <v>1202525.4200000004</v>
      </c>
      <c r="Q14" s="22">
        <f t="shared" si="11"/>
        <v>0.56133091083951614</v>
      </c>
      <c r="R14" s="73">
        <f>IFERROR(VLOOKUP(_xlfn.CONCAT($P$3,"_",B14,"_",$O$2,"_",Parámetros!$C$6),DATA_KPI_PRE!A:F,6,FALSE),0)</f>
        <v>570090.33268619911</v>
      </c>
      <c r="S14" s="25">
        <f t="shared" si="2"/>
        <v>1.1093594313971979</v>
      </c>
      <c r="T14" s="4"/>
      <c r="U14" s="73">
        <f>IFERROR(VLOOKUP(_xlfn.CONCAT($U$3,"_",B14,"_",$U$2,"_",Parámetros!$C$6),DATA_KPI!$A:$H,6,FALSE),0)</f>
        <v>156716.84000000003</v>
      </c>
      <c r="V14" s="73">
        <f>IFERROR(VLOOKUP(_xlfn.CONCAT($V$3,"_",B14,"_",$U$2,"_",Parámetros!$C$6),DATA_KPI!$A:$H,6,FALSE),0)</f>
        <v>698858.70999999973</v>
      </c>
      <c r="W14" s="4">
        <f t="shared" si="12"/>
        <v>3.4593721389481793</v>
      </c>
      <c r="X14" s="73">
        <f>IFERROR(VLOOKUP(_xlfn.CONCAT($V$3,"_",B14,"_",$U$2,"_",Parámetros!$C$6),DATA_KPI_PRE!A:F,6,FALSE),0)</f>
        <v>340125.19368192652</v>
      </c>
      <c r="Y14" s="25">
        <f t="shared" si="3"/>
        <v>1.0547102154789174</v>
      </c>
      <c r="Z14" s="4"/>
      <c r="AA14" s="73">
        <f>IFERROR(VLOOKUP(_xlfn.CONCAT($AA$3,"_",B14,"_",$AA$2,"_",Parámetros!$C$6),DATA_KPI!$A:$H,6,FALSE),0)</f>
        <v>628834.93999999994</v>
      </c>
      <c r="AB14" s="73">
        <f>IFERROR(VLOOKUP(_xlfn.CONCAT($AB$3,"_",B14,"_",$AA$2,"_",Parámetros!$C$6),DATA_KPI!$A:$H,6,FALSE),0)</f>
        <v>319495.65999999997</v>
      </c>
      <c r="AC14" s="4">
        <f t="shared" si="13"/>
        <v>-0.49192444681906511</v>
      </c>
      <c r="AD14" s="73">
        <f>IFERROR(VLOOKUP(_xlfn.CONCAT($AB$3,"_",B14,"_",$AA$2,"_",Parámetros!$C$6),DATA_KPI_PRE!A:F,6,FALSE),0)</f>
        <v>602978.82465739117</v>
      </c>
      <c r="AE14" s="25">
        <f t="shared" si="4"/>
        <v>-0.47013784409173009</v>
      </c>
      <c r="AF14" s="5"/>
      <c r="AG14" s="73">
        <f>IFERROR(VLOOKUP(_xlfn.CONCAT($AG$3,"_",B14,"_",$AG$2,"_",Parámetros!$C$6),DATA_KPI!$A:$H,6,FALSE),0)</f>
        <v>6272369.1299999924</v>
      </c>
      <c r="AH14" s="73">
        <f>IFERROR(VLOOKUP(_xlfn.CONCAT($AH$3,"_",B14,"_",$AG$2,"_",Parámetros!$C$6),DATA_KPI!$A:$H,6,FALSE),0)</f>
        <v>5944630.8300000001</v>
      </c>
      <c r="AI14" s="25">
        <f t="shared" si="14"/>
        <v>-5.2251118071552805E-2</v>
      </c>
      <c r="AJ14" s="73">
        <f>IFERROR(VLOOKUP(_xlfn.CONCAT($AH$3,"_",B14,"_",$AG$2,"_",Parámetros!$C$6),DATA_KPI_PRE!A:F,6,FALSE),0)</f>
        <v>6238807.7196838493</v>
      </c>
      <c r="AK14" s="25">
        <f t="shared" si="5"/>
        <v>-4.7152741822079514E-2</v>
      </c>
      <c r="AM14" s="73">
        <f>IFERROR(VLOOKUP(_xlfn.CONCAT($AM$3,"_",B14,"_",$AM$2,"_",Parámetros!$C$6),DATA_KPI!$A:$H,6,FALSE),0)</f>
        <v>17336.28</v>
      </c>
      <c r="AN14" s="73">
        <f>IFERROR(VLOOKUP(_xlfn.CONCAT($AN$3,"_",B14,"_",$AM$2,"_",Parámetros!$C$6),DATA_KPI!$A:$H,6,FALSE),0)</f>
        <v>91769.47</v>
      </c>
      <c r="AO14" s="25">
        <f t="shared" si="6"/>
        <v>5.2934926062569367</v>
      </c>
      <c r="AP14" s="73">
        <f>IFERROR(VLOOKUP(_xlfn.CONCAT($AN$3,"_",B14,"_",$AM$2,"_",Parámetros!$C$6),DATA_KPI_PRE!A:F,6,FALSE),0)</f>
        <v>18489.099910043635</v>
      </c>
      <c r="AQ14" s="25">
        <f t="shared" si="7"/>
        <v>3.9634363190470436</v>
      </c>
      <c r="AS14" s="34">
        <f t="shared" si="15"/>
        <v>0.39138265487919804</v>
      </c>
      <c r="AT14" s="34">
        <f t="shared" si="16"/>
        <v>8.8634250090053268E-2</v>
      </c>
      <c r="AU14" s="34">
        <f t="shared" si="17"/>
        <v>5.1510609796300164E-2</v>
      </c>
      <c r="AV14" s="34">
        <f t="shared" si="18"/>
        <v>2.3548989285504349E-2</v>
      </c>
      <c r="AW14" s="34">
        <f t="shared" si="19"/>
        <v>0.43815946583421145</v>
      </c>
      <c r="AX14" s="34">
        <f t="shared" si="20"/>
        <v>6.7640301147327414E-3</v>
      </c>
      <c r="AY14" s="4">
        <f t="shared" si="8"/>
        <v>1</v>
      </c>
    </row>
    <row r="15" spans="1:54" ht="14.4" x14ac:dyDescent="0.3">
      <c r="A15" s="1" t="s">
        <v>14</v>
      </c>
      <c r="B15" s="1" t="str">
        <f>IF(IFERROR(VLOOKUP(A15,DATA_KPI!$D:$H,5,FALSE),"")="",VLOOKUP(A15,DATA_KPI_PRE!$D:$H,5,FALSE),VLOOKUP(A15,DATA_KPI!$D:$H,5,FALSE))</f>
        <v>S32</v>
      </c>
      <c r="C15" s="68">
        <f>IFERROR(VLOOKUP(_xlfn.CONCAT($C$3,"_",B15,"_",$C$2,"_",Parámetros!$C$6),DATA_KPI!$A:$H,6,FALSE),0)</f>
        <v>15957425.310000014</v>
      </c>
      <c r="D15" s="68">
        <f>IFERROR(VLOOKUP(_xlfn.CONCAT($D$3,"_",B15,"_",$C$2,"_",Parámetros!$C$6),DATA_KPI!A:H,6,FALSE),0)</f>
        <v>15917707.459999997</v>
      </c>
      <c r="E15" s="34">
        <f t="shared" si="9"/>
        <v>-2.4889886199327416E-3</v>
      </c>
      <c r="F15" s="68">
        <f>IFERROR(VLOOKUP(_xlfn.CONCAT($D$3,"_",B15,"_",$C$2,"_",Parámetros!$C$6),DATA_KPI_PRE!$A:$F,6,FALSE),0)</f>
        <v>15968372.700210145</v>
      </c>
      <c r="G15" s="34">
        <f t="shared" si="0"/>
        <v>-3.1728493041424111E-3</v>
      </c>
      <c r="H15" s="34"/>
      <c r="I15" s="73">
        <f>IFERROR(VLOOKUP(_xlfn.CONCAT($I$3,"_",B15,"_",$I$2,"_",Parámetros!$C$6),DATA_KPI!$A:$H,6,FALSE),0)</f>
        <v>13081280.880000012</v>
      </c>
      <c r="J15" s="73">
        <f>IFERROR(VLOOKUP(_xlfn.CONCAT($J$3,"_",B15,"_",$I$2,"_",Parámetros!$C$6),DATA_KPI!$A:$H,6,FALSE),0)</f>
        <v>12959948.339999994</v>
      </c>
      <c r="K15" s="22">
        <f t="shared" si="10"/>
        <v>-9.2752797767321482E-3</v>
      </c>
      <c r="L15" s="75">
        <f>IFERROR(VLOOKUP(_xlfn.CONCAT($J$3,"_",B15,"_",$I$2,"_",Parámetros!$C$6),DATA_KPI_PRE!A:F,6,FALSE),0)</f>
        <v>13030920.690017849</v>
      </c>
      <c r="M15" s="34">
        <f t="shared" si="1"/>
        <v>-5.4464570621032271E-3</v>
      </c>
      <c r="N15" s="4"/>
      <c r="O15" s="73">
        <f>IFERROR(VLOOKUP(_xlfn.CONCAT($O$3,"_",B15,"_",$O$2,"_",Parámetros!$C$6),DATA_KPI!$A:$H,6,FALSE),0)</f>
        <v>513531.22999999992</v>
      </c>
      <c r="P15" s="73">
        <f>IFERROR(VLOOKUP(_xlfn.CONCAT($P$3,"_",B15,"_",$O$2,"_",Parámetros!$C$6),DATA_KPI!$A:$H,6,FALSE),0)</f>
        <v>340772.56</v>
      </c>
      <c r="Q15" s="22">
        <f t="shared" si="11"/>
        <v>-0.33641317198955933</v>
      </c>
      <c r="R15" s="73">
        <f>IFERROR(VLOOKUP(_xlfn.CONCAT($P$3,"_",B15,"_",$O$2,"_",Parámetros!$C$6),DATA_KPI_PRE!A:F,6,FALSE),0)</f>
        <v>619333.61022940231</v>
      </c>
      <c r="S15" s="25">
        <f t="shared" si="2"/>
        <v>-0.44977544513727064</v>
      </c>
      <c r="T15" s="5"/>
      <c r="U15" s="73">
        <f>IFERROR(VLOOKUP(_xlfn.CONCAT($U$3,"_",B15,"_",$U$2,"_",Parámetros!$C$6),DATA_KPI!$A:$H,6,FALSE),0)</f>
        <v>0</v>
      </c>
      <c r="V15" s="73">
        <f>IFERROR(VLOOKUP(_xlfn.CONCAT($V$3,"_",B15,"_",$U$2,"_",Parámetros!$C$6),DATA_KPI!$A:$H,6,FALSE),0)</f>
        <v>0</v>
      </c>
      <c r="W15" s="4">
        <f t="shared" si="12"/>
        <v>0</v>
      </c>
      <c r="X15" s="73">
        <f>IFERROR(VLOOKUP(_xlfn.CONCAT($V$3,"_",B15,"_",$U$2,"_",Parámetros!$C$6),DATA_KPI_PRE!A:F,6,FALSE),0)</f>
        <v>0</v>
      </c>
      <c r="Y15" s="25">
        <f t="shared" si="3"/>
        <v>0</v>
      </c>
      <c r="Z15" s="4"/>
      <c r="AA15" s="73">
        <f>IFERROR(VLOOKUP(_xlfn.CONCAT($AA$3,"_",B15,"_",$AA$2,"_",Parámetros!$C$6),DATA_KPI!$A:$H,6,FALSE),0)</f>
        <v>0</v>
      </c>
      <c r="AB15" s="73">
        <f>IFERROR(VLOOKUP(_xlfn.CONCAT($AB$3,"_",B15,"_",$AA$2,"_",Parámetros!$C$6),DATA_KPI!$A:$H,6,FALSE),0)</f>
        <v>0</v>
      </c>
      <c r="AC15" s="4">
        <f t="shared" si="13"/>
        <v>0</v>
      </c>
      <c r="AD15" s="73">
        <f>IFERROR(VLOOKUP(_xlfn.CONCAT($AB$3,"_",B15,"_",$AA$2,"_",Parámetros!$C$6),DATA_KPI_PRE!A:F,6,FALSE),0)</f>
        <v>0</v>
      </c>
      <c r="AE15" s="25">
        <f t="shared" si="4"/>
        <v>0</v>
      </c>
      <c r="AF15" s="5"/>
      <c r="AG15" s="73">
        <f>IFERROR(VLOOKUP(_xlfn.CONCAT($AG$3,"_",B15,"_",$AG$2,"_",Parámetros!$C$6),DATA_KPI!$A:$H,6,FALSE),0)</f>
        <v>2362613.2000000002</v>
      </c>
      <c r="AH15" s="73">
        <f>IFERROR(VLOOKUP(_xlfn.CONCAT($AH$3,"_",B15,"_",$AG$2,"_",Parámetros!$C$6),DATA_KPI!$A:$H,6,FALSE),0)</f>
        <v>2616986.5600000028</v>
      </c>
      <c r="AI15" s="25">
        <f t="shared" si="14"/>
        <v>0.10766610463363313</v>
      </c>
      <c r="AJ15" s="73">
        <f>IFERROR(VLOOKUP(_xlfn.CONCAT($AH$3,"_",B15,"_",$AG$2,"_",Parámetros!$C$6),DATA_KPI_PRE!A:F,6,FALSE),0)</f>
        <v>2318118.3999628932</v>
      </c>
      <c r="AK15" s="25">
        <f t="shared" si="5"/>
        <v>0.12892704705760227</v>
      </c>
      <c r="AM15" s="73">
        <f>IFERROR(VLOOKUP(_xlfn.CONCAT($AM$3,"_",B15,"_",$AM$2,"_",Parámetros!$C$6),DATA_KPI!$A:$H,6,FALSE),0)</f>
        <v>0</v>
      </c>
      <c r="AN15" s="73">
        <f>IFERROR(VLOOKUP(_xlfn.CONCAT($AN$3,"_",B15,"_",$AM$2,"_",Parámetros!$C$6),DATA_KPI!$A:$H,6,FALSE),0)</f>
        <v>0</v>
      </c>
      <c r="AO15" s="25">
        <f t="shared" si="6"/>
        <v>0</v>
      </c>
      <c r="AP15" s="73">
        <f>IFERROR(VLOOKUP(_xlfn.CONCAT($AN$3,"_",B15,"_",$AM$2,"_",Parámetros!$C$6),DATA_KPI_PRE!A:F,6,FALSE),0)</f>
        <v>0</v>
      </c>
      <c r="AQ15" s="25">
        <f t="shared" si="7"/>
        <v>0</v>
      </c>
      <c r="AS15" s="34">
        <f t="shared" si="15"/>
        <v>0.81418435239919884</v>
      </c>
      <c r="AT15" s="34">
        <f t="shared" si="16"/>
        <v>2.140839444727426E-2</v>
      </c>
      <c r="AU15" s="34">
        <f t="shared" si="17"/>
        <v>0</v>
      </c>
      <c r="AV15" s="34">
        <f t="shared" si="18"/>
        <v>0</v>
      </c>
      <c r="AW15" s="34">
        <f t="shared" si="19"/>
        <v>0.16440725315352689</v>
      </c>
      <c r="AX15" s="34">
        <f t="shared" si="20"/>
        <v>0</v>
      </c>
      <c r="AY15" s="4">
        <f t="shared" si="8"/>
        <v>1</v>
      </c>
    </row>
    <row r="16" spans="1:54" ht="14.4" x14ac:dyDescent="0.3">
      <c r="A16" s="1" t="s">
        <v>48</v>
      </c>
      <c r="B16" s="1" t="str">
        <f>IF(IFERROR(VLOOKUP(A16,DATA_KPI!$D:$H,5,FALSE),"")="",VLOOKUP(A16,DATA_KPI_PRE!$D:$H,5,FALSE),VLOOKUP(A16,DATA_KPI!$D:$H,5,FALSE))</f>
        <v>S31</v>
      </c>
      <c r="C16" s="68">
        <f>IFERROR(VLOOKUP(_xlfn.CONCAT($C$3,"_",B16,"_",$C$2,"_",Parámetros!$C$6),DATA_KPI!$A:$H,6,FALSE),0)</f>
        <v>26637318.470000058</v>
      </c>
      <c r="D16" s="68">
        <f>IFERROR(VLOOKUP(_xlfn.CONCAT($D$3,"_",B16,"_",$C$2,"_",Parámetros!$C$6),DATA_KPI!A:H,6,FALSE),0)</f>
        <v>22481850.380000018</v>
      </c>
      <c r="E16" s="34">
        <f t="shared" si="9"/>
        <v>-0.1560017422429395</v>
      </c>
      <c r="F16" s="68">
        <f>IFERROR(VLOOKUP(_xlfn.CONCAT($D$3,"_",B16,"_",$C$2,"_",Parámetros!$C$6),DATA_KPI_PRE!$A:$F,6,FALSE),0)</f>
        <v>25133112.000024777</v>
      </c>
      <c r="G16" s="34">
        <f t="shared" si="0"/>
        <v>-0.10548879183851745</v>
      </c>
      <c r="H16" s="34"/>
      <c r="I16" s="73">
        <f>IFERROR(VLOOKUP(_xlfn.CONCAT($I$3,"_",B16,"_",$I$2,"_",Parámetros!$C$6),DATA_KPI!$A:$H,6,FALSE),0)</f>
        <v>24086026.920000061</v>
      </c>
      <c r="J16" s="73">
        <f>IFERROR(VLOOKUP(_xlfn.CONCAT($J$3,"_",B16,"_",$I$2,"_",Parámetros!$C$6),DATA_KPI!$A:$H,6,FALSE),0)</f>
        <v>20186948.17000002</v>
      </c>
      <c r="K16" s="22">
        <f t="shared" si="10"/>
        <v>-0.1618813581397438</v>
      </c>
      <c r="L16" s="75">
        <f>IFERROR(VLOOKUP(_xlfn.CONCAT($J$3,"_",B16,"_",$I$2,"_",Parámetros!$C$6),DATA_KPI_PRE!A:F,6,FALSE),0)</f>
        <v>22056559.522064518</v>
      </c>
      <c r="M16" s="34">
        <f t="shared" si="1"/>
        <v>-8.4764414422576317E-2</v>
      </c>
      <c r="N16" s="4"/>
      <c r="O16" s="73">
        <f>IFERROR(VLOOKUP(_xlfn.CONCAT($O$3,"_",B16,"_",$O$2,"_",Parámetros!$C$6),DATA_KPI!$A:$H,6,FALSE),0)</f>
        <v>1000616.7399999999</v>
      </c>
      <c r="P16" s="73">
        <f>IFERROR(VLOOKUP(_xlfn.CONCAT($P$3,"_",B16,"_",$O$2,"_",Parámetros!$C$6),DATA_KPI!$A:$H,6,FALSE),0)</f>
        <v>603661.88</v>
      </c>
      <c r="Q16" s="22">
        <f t="shared" si="11"/>
        <v>-0.39671019295559651</v>
      </c>
      <c r="R16" s="73">
        <f>IFERROR(VLOOKUP(_xlfn.CONCAT($P$3,"_",B16,"_",$O$2,"_",Parámetros!$C$6),DATA_KPI_PRE!A:F,6,FALSE),0)</f>
        <v>1210923.7275870971</v>
      </c>
      <c r="S16" s="25">
        <f t="shared" si="2"/>
        <v>-0.50148645513548173</v>
      </c>
      <c r="T16" s="4"/>
      <c r="U16" s="73">
        <f>IFERROR(VLOOKUP(_xlfn.CONCAT($U$3,"_",B16,"_",$U$2,"_",Parámetros!$C$6),DATA_KPI!$A:$H,6,FALSE),0)</f>
        <v>0</v>
      </c>
      <c r="V16" s="73">
        <f>IFERROR(VLOOKUP(_xlfn.CONCAT($V$3,"_",B16,"_",$U$2,"_",Parámetros!$C$6),DATA_KPI!$A:$H,6,FALSE),0)</f>
        <v>0</v>
      </c>
      <c r="W16" s="4">
        <f t="shared" si="12"/>
        <v>0</v>
      </c>
      <c r="X16" s="73">
        <f>IFERROR(VLOOKUP(_xlfn.CONCAT($V$3,"_",B16,"_",$U$2,"_",Parámetros!$C$6),DATA_KPI_PRE!A:F,6,FALSE),0)</f>
        <v>0</v>
      </c>
      <c r="Y16" s="25">
        <f t="shared" si="3"/>
        <v>0</v>
      </c>
      <c r="Z16" s="4"/>
      <c r="AA16" s="73">
        <f>IFERROR(VLOOKUP(_xlfn.CONCAT($AA$3,"_",B16,"_",$AA$2,"_",Parámetros!$C$6),DATA_KPI!$A:$H,6,FALSE),0)</f>
        <v>0</v>
      </c>
      <c r="AB16" s="73">
        <f>IFERROR(VLOOKUP(_xlfn.CONCAT($AB$3,"_",B16,"_",$AA$2,"_",Parámetros!$C$6),DATA_KPI!$A:$H,6,FALSE),0)</f>
        <v>0</v>
      </c>
      <c r="AC16" s="4">
        <f t="shared" si="13"/>
        <v>0</v>
      </c>
      <c r="AD16" s="73">
        <f>IFERROR(VLOOKUP(_xlfn.CONCAT($AB$3,"_",B16,"_",$AA$2,"_",Parámetros!$C$6),DATA_KPI_PRE!A:F,6,FALSE),0)</f>
        <v>0</v>
      </c>
      <c r="AE16" s="25">
        <f t="shared" si="4"/>
        <v>0</v>
      </c>
      <c r="AF16" s="5"/>
      <c r="AG16" s="73">
        <f>IFERROR(VLOOKUP(_xlfn.CONCAT($AG$3,"_",B16,"_",$AG$2,"_",Parámetros!$C$6),DATA_KPI!$A:$H,6,FALSE),0)</f>
        <v>1550674.8099999998</v>
      </c>
      <c r="AH16" s="73">
        <f>IFERROR(VLOOKUP(_xlfn.CONCAT($AH$3,"_",B16,"_",$AG$2,"_",Parámetros!$C$6),DATA_KPI!$A:$H,6,FALSE),0)</f>
        <v>1691240.3299999998</v>
      </c>
      <c r="AI16" s="25">
        <f t="shared" si="14"/>
        <v>9.0647967641906746E-2</v>
      </c>
      <c r="AJ16" s="73">
        <f>IFERROR(VLOOKUP(_xlfn.CONCAT($AH$3,"_",B16,"_",$AG$2,"_",Parámetros!$C$6),DATA_KPI_PRE!A:F,6,FALSE),0)</f>
        <v>1865628.7503731621</v>
      </c>
      <c r="AK16" s="25">
        <f t="shared" si="5"/>
        <v>-9.3474342276447686E-2</v>
      </c>
      <c r="AM16" s="73">
        <f>IFERROR(VLOOKUP(_xlfn.CONCAT($AM$3,"_",B16,"_",$AM$2,"_",Parámetros!$C$6),DATA_KPI!$A:$H,6,FALSE),0)</f>
        <v>0</v>
      </c>
      <c r="AN16" s="73">
        <f>IFERROR(VLOOKUP(_xlfn.CONCAT($AN$3,"_",B16,"_",$AM$2,"_",Parámetros!$C$6),DATA_KPI!$A:$H,6,FALSE),0)</f>
        <v>0</v>
      </c>
      <c r="AO16" s="25">
        <f t="shared" si="6"/>
        <v>0</v>
      </c>
      <c r="AP16" s="73">
        <f>IFERROR(VLOOKUP(_xlfn.CONCAT($AN$3,"_",B16,"_",$AM$2,"_",Parámetros!$C$6),DATA_KPI_PRE!A:F,6,FALSE),0)</f>
        <v>0</v>
      </c>
      <c r="AQ16" s="25">
        <f t="shared" si="7"/>
        <v>0</v>
      </c>
      <c r="AS16" s="34">
        <f t="shared" si="15"/>
        <v>0.89792200503026409</v>
      </c>
      <c r="AT16" s="34">
        <f t="shared" si="16"/>
        <v>2.6851076303622278E-2</v>
      </c>
      <c r="AU16" s="34">
        <f t="shared" si="17"/>
        <v>0</v>
      </c>
      <c r="AV16" s="34">
        <f t="shared" si="18"/>
        <v>0</v>
      </c>
      <c r="AW16" s="34">
        <f t="shared" si="19"/>
        <v>7.5226918666113751E-2</v>
      </c>
      <c r="AX16" s="34">
        <f t="shared" si="20"/>
        <v>0</v>
      </c>
      <c r="AY16" s="4">
        <f t="shared" si="8"/>
        <v>1</v>
      </c>
    </row>
    <row r="17" spans="1:51" ht="14.4" x14ac:dyDescent="0.3">
      <c r="A17" s="1" t="s">
        <v>44</v>
      </c>
      <c r="B17" s="1" t="str">
        <f>IF(IFERROR(VLOOKUP(A17,DATA_KPI!$D:$H,5,FALSE),"")="",VLOOKUP(A17,DATA_KPI_PRE!$D:$H,5,FALSE),VLOOKUP(A17,DATA_KPI!$D:$H,5,FALSE))</f>
        <v>S06</v>
      </c>
      <c r="C17" s="68">
        <f>IFERROR(VLOOKUP(_xlfn.CONCAT($C$3,"_",B17,"_",$C$2,"_",Parámetros!$C$6),DATA_KPI!$A:$H,6,FALSE),0)</f>
        <v>29035379.07999995</v>
      </c>
      <c r="D17" s="68">
        <f>IFERROR(VLOOKUP(_xlfn.CONCAT($D$3,"_",B17,"_",$C$2,"_",Parámetros!$C$6),DATA_KPI!A:H,6,FALSE),0)</f>
        <v>28552513.340000018</v>
      </c>
      <c r="E17" s="34">
        <f t="shared" si="9"/>
        <v>-1.6630254375860298E-2</v>
      </c>
      <c r="F17" s="68">
        <f>IFERROR(VLOOKUP(_xlfn.CONCAT($D$3,"_",B17,"_",$C$2,"_",Parámetros!$C$6),DATA_KPI_PRE!$A:$F,6,FALSE),0)</f>
        <v>28501963.201332893</v>
      </c>
      <c r="G17" s="34">
        <f t="shared" si="0"/>
        <v>1.7735669052003633E-3</v>
      </c>
      <c r="H17" s="34"/>
      <c r="I17" s="73">
        <f>IFERROR(VLOOKUP(_xlfn.CONCAT($I$3,"_",B17,"_",$I$2,"_",Parámetros!$C$6),DATA_KPI!$A:$H,6,FALSE),0)</f>
        <v>26943837.409999952</v>
      </c>
      <c r="J17" s="73">
        <f>IFERROR(VLOOKUP(_xlfn.CONCAT($J$3,"_",B17,"_",$I$2,"_",Parámetros!$C$6),DATA_KPI!$A:$H,6,FALSE),0)</f>
        <v>26519643.320000019</v>
      </c>
      <c r="K17" s="22">
        <f t="shared" si="10"/>
        <v>-1.5743640504692791E-2</v>
      </c>
      <c r="L17" s="75">
        <f>IFERROR(VLOOKUP(_xlfn.CONCAT($J$3,"_",B17,"_",$I$2,"_",Parámetros!$C$6),DATA_KPI_PRE!A:F,6,FALSE),0)</f>
        <v>26010396.471315734</v>
      </c>
      <c r="M17" s="34">
        <f t="shared" si="1"/>
        <v>1.9578588478875503E-2</v>
      </c>
      <c r="N17" s="4"/>
      <c r="O17" s="73">
        <f>IFERROR(VLOOKUP(_xlfn.CONCAT($O$3,"_",B17,"_",$O$2,"_",Parámetros!$C$6),DATA_KPI!$A:$H,6,FALSE),0)</f>
        <v>686813.73000000021</v>
      </c>
      <c r="P17" s="73">
        <f>IFERROR(VLOOKUP(_xlfn.CONCAT($P$3,"_",B17,"_",$O$2,"_",Parámetros!$C$6),DATA_KPI!$A:$H,6,FALSE),0)</f>
        <v>353978.23</v>
      </c>
      <c r="Q17" s="22">
        <f t="shared" si="11"/>
        <v>-0.48460810473314231</v>
      </c>
      <c r="R17" s="73">
        <f>IFERROR(VLOOKUP(_xlfn.CONCAT($P$3,"_",B17,"_",$O$2,"_",Parámetros!$C$6),DATA_KPI_PRE!A:F,6,FALSE),0)</f>
        <v>976033.83529396844</v>
      </c>
      <c r="S17" s="25">
        <f t="shared" si="2"/>
        <v>-0.63732996008956344</v>
      </c>
      <c r="T17" s="4"/>
      <c r="U17" s="73">
        <f>IFERROR(VLOOKUP(_xlfn.CONCAT($U$3,"_",B17,"_",$U$2,"_",Parámetros!$C$6),DATA_KPI!$A:$H,6,FALSE),0)</f>
        <v>0</v>
      </c>
      <c r="V17" s="73">
        <f>IFERROR(VLOOKUP(_xlfn.CONCAT($V$3,"_",B17,"_",$U$2,"_",Parámetros!$C$6),DATA_KPI!$A:$H,6,FALSE),0)</f>
        <v>0</v>
      </c>
      <c r="W17" s="4">
        <f t="shared" si="12"/>
        <v>0</v>
      </c>
      <c r="X17" s="73">
        <f>IFERROR(VLOOKUP(_xlfn.CONCAT($V$3,"_",B17,"_",$U$2,"_",Parámetros!$C$6),DATA_KPI_PRE!A:F,6,FALSE),0)</f>
        <v>0</v>
      </c>
      <c r="Y17" s="25">
        <f t="shared" si="3"/>
        <v>0</v>
      </c>
      <c r="Z17" s="4"/>
      <c r="AA17" s="73">
        <f>IFERROR(VLOOKUP(_xlfn.CONCAT($AA$3,"_",B17,"_",$AA$2,"_",Parámetros!$C$6),DATA_KPI!$A:$H,6,FALSE),0)</f>
        <v>0</v>
      </c>
      <c r="AB17" s="73">
        <f>IFERROR(VLOOKUP(_xlfn.CONCAT($AB$3,"_",B17,"_",$AA$2,"_",Parámetros!$C$6),DATA_KPI!$A:$H,6,FALSE),0)</f>
        <v>0</v>
      </c>
      <c r="AC17" s="4">
        <f t="shared" si="13"/>
        <v>0</v>
      </c>
      <c r="AD17" s="73">
        <f>IFERROR(VLOOKUP(_xlfn.CONCAT($AB$3,"_",B17,"_",$AA$2,"_",Parámetros!$C$6),DATA_KPI_PRE!A:F,6,FALSE),0)</f>
        <v>0</v>
      </c>
      <c r="AE17" s="25">
        <f t="shared" si="4"/>
        <v>0</v>
      </c>
      <c r="AF17" s="5"/>
      <c r="AG17" s="73">
        <f>IFERROR(VLOOKUP(_xlfn.CONCAT($AG$3,"_",B17,"_",$AG$2,"_",Parámetros!$C$6),DATA_KPI!$A:$H,6,FALSE),0)</f>
        <v>1404727.939999999</v>
      </c>
      <c r="AH17" s="73">
        <f>IFERROR(VLOOKUP(_xlfn.CONCAT($AH$3,"_",B17,"_",$AG$2,"_",Parámetros!$C$6),DATA_KPI!$A:$H,6,FALSE),0)</f>
        <v>1678891.7899999998</v>
      </c>
      <c r="AI17" s="25">
        <f t="shared" si="14"/>
        <v>0.19517220537380431</v>
      </c>
      <c r="AJ17" s="73">
        <f>IFERROR(VLOOKUP(_xlfn.CONCAT($AH$3,"_",B17,"_",$AG$2,"_",Parámetros!$C$6),DATA_KPI_PRE!A:F,6,FALSE),0)</f>
        <v>1515532.8947231923</v>
      </c>
      <c r="AK17" s="25">
        <f t="shared" si="5"/>
        <v>0.10778973907171086</v>
      </c>
      <c r="AM17" s="73">
        <f>IFERROR(VLOOKUP(_xlfn.CONCAT($AM$3,"_",B17,"_",$AM$2,"_",Parámetros!$C$6),DATA_KPI!$A:$H,6,FALSE),0)</f>
        <v>0</v>
      </c>
      <c r="AN17" s="73">
        <f>IFERROR(VLOOKUP(_xlfn.CONCAT($AN$3,"_",B17,"_",$AM$2,"_",Parámetros!$C$6),DATA_KPI!$A:$H,6,FALSE),0)</f>
        <v>0</v>
      </c>
      <c r="AO17" s="25">
        <f t="shared" si="6"/>
        <v>0</v>
      </c>
      <c r="AP17" s="73">
        <f>IFERROR(VLOOKUP(_xlfn.CONCAT($AN$3,"_",B17,"_",$AM$2,"_",Parámetros!$C$6),DATA_KPI_PRE!A:F,6,FALSE),0)</f>
        <v>0</v>
      </c>
      <c r="AQ17" s="25">
        <f t="shared" si="7"/>
        <v>0</v>
      </c>
      <c r="AS17" s="34">
        <f t="shared" si="15"/>
        <v>0.92880241414152165</v>
      </c>
      <c r="AT17" s="34">
        <f t="shared" si="16"/>
        <v>1.2397445569322331E-2</v>
      </c>
      <c r="AU17" s="34">
        <f t="shared" si="17"/>
        <v>0</v>
      </c>
      <c r="AV17" s="34">
        <f t="shared" si="18"/>
        <v>0</v>
      </c>
      <c r="AW17" s="34">
        <f t="shared" si="19"/>
        <v>5.8800140289156019E-2</v>
      </c>
      <c r="AX17" s="34">
        <f t="shared" si="20"/>
        <v>0</v>
      </c>
      <c r="AY17" s="4">
        <f t="shared" si="8"/>
        <v>1</v>
      </c>
    </row>
    <row r="18" spans="1:51" ht="14.4" x14ac:dyDescent="0.3">
      <c r="A18" s="1" t="s">
        <v>15</v>
      </c>
      <c r="B18" s="1" t="str">
        <f>IF(IFERROR(VLOOKUP(A18,DATA_KPI!$D:$H,5,FALSE),"")="",VLOOKUP(A18,DATA_KPI_PRE!$D:$H,5,FALSE),VLOOKUP(A18,DATA_KPI!$D:$H,5,FALSE))</f>
        <v>S72</v>
      </c>
      <c r="C18" s="68">
        <f>IFERROR(VLOOKUP(_xlfn.CONCAT($C$3,"_",B18,"_",$C$2,"_",Parámetros!$C$6),DATA_KPI!$A:$H,6,FALSE),0)</f>
        <v>19719492.750000011</v>
      </c>
      <c r="D18" s="68">
        <f>IFERROR(VLOOKUP(_xlfn.CONCAT($D$3,"_",B18,"_",$C$2,"_",Parámetros!$C$6),DATA_KPI!A:H,6,FALSE),0)</f>
        <v>18100321.869999975</v>
      </c>
      <c r="E18" s="34">
        <f t="shared" si="9"/>
        <v>-8.2110168883529511E-2</v>
      </c>
      <c r="F18" s="68">
        <f>IFERROR(VLOOKUP(_xlfn.CONCAT($D$3,"_",B18,"_",$C$2,"_",Parámetros!$C$6),DATA_KPI_PRE!$A:$F,6,FALSE),0)</f>
        <v>18223654.116797365</v>
      </c>
      <c r="G18" s="34">
        <f t="shared" si="0"/>
        <v>-6.767701252829994E-3</v>
      </c>
      <c r="H18" s="34"/>
      <c r="I18" s="73">
        <f>IFERROR(VLOOKUP(_xlfn.CONCAT($I$3,"_",B18,"_",$I$2,"_",Parámetros!$C$6),DATA_KPI!$A:$H,6,FALSE),0)</f>
        <v>16710694.860000011</v>
      </c>
      <c r="J18" s="73">
        <f>IFERROR(VLOOKUP(_xlfn.CONCAT($J$3,"_",B18,"_",$I$2,"_",Parámetros!$C$6),DATA_KPI!$A:$H,6,FALSE),0)</f>
        <v>14499036.569999976</v>
      </c>
      <c r="K18" s="22">
        <f t="shared" si="10"/>
        <v>-0.13234986986053032</v>
      </c>
      <c r="L18" s="75">
        <f>IFERROR(VLOOKUP(_xlfn.CONCAT($J$3,"_",B18,"_",$I$2,"_",Parámetros!$C$6),DATA_KPI_PRE!A:F,6,FALSE),0)</f>
        <v>15115995.546348462</v>
      </c>
      <c r="M18" s="34">
        <f t="shared" si="1"/>
        <v>-4.0814974736978038E-2</v>
      </c>
      <c r="N18" s="4"/>
      <c r="O18" s="73">
        <f>IFERROR(VLOOKUP(_xlfn.CONCAT($O$3,"_",B18,"_",$O$2,"_",Parámetros!$C$6),DATA_KPI!$A:$H,6,FALSE),0)</f>
        <v>782780.49999999988</v>
      </c>
      <c r="P18" s="73">
        <f>IFERROR(VLOOKUP(_xlfn.CONCAT($P$3,"_",B18,"_",$O$2,"_",Parámetros!$C$6),DATA_KPI!$A:$H,6,FALSE),0)</f>
        <v>1065834.75</v>
      </c>
      <c r="Q18" s="22">
        <f t="shared" si="11"/>
        <v>0.36160104908080903</v>
      </c>
      <c r="R18" s="73">
        <f>IFERROR(VLOOKUP(_xlfn.CONCAT($P$3,"_",B18,"_",$O$2,"_",Parámetros!$C$6),DATA_KPI_PRE!A:F,6,FALSE),0)</f>
        <v>1004736.1978710938</v>
      </c>
      <c r="S18" s="25">
        <f t="shared" si="2"/>
        <v>6.0810541372318561E-2</v>
      </c>
      <c r="T18" s="5"/>
      <c r="U18" s="73">
        <f>IFERROR(VLOOKUP(_xlfn.CONCAT($U$3,"_",B18,"_",$U$2,"_",Parámetros!$C$6),DATA_KPI!$A:$H,6,FALSE),0)</f>
        <v>0</v>
      </c>
      <c r="V18" s="73">
        <f>IFERROR(VLOOKUP(_xlfn.CONCAT($V$3,"_",B18,"_",$U$2,"_",Parámetros!$C$6),DATA_KPI!$A:$H,6,FALSE),0)</f>
        <v>0</v>
      </c>
      <c r="W18" s="4">
        <f t="shared" si="12"/>
        <v>0</v>
      </c>
      <c r="X18" s="73">
        <f>IFERROR(VLOOKUP(_xlfn.CONCAT($V$3,"_",B18,"_",$U$2,"_",Parámetros!$C$6),DATA_KPI_PRE!A:F,6,FALSE),0)</f>
        <v>0</v>
      </c>
      <c r="Y18" s="25">
        <f t="shared" si="3"/>
        <v>0</v>
      </c>
      <c r="Z18" s="4"/>
      <c r="AA18" s="73">
        <f>IFERROR(VLOOKUP(_xlfn.CONCAT($AA$3,"_",B18,"_",$AA$2,"_",Parámetros!$C$6),DATA_KPI!$A:$H,6,FALSE),0)</f>
        <v>0</v>
      </c>
      <c r="AB18" s="73">
        <f>IFERROR(VLOOKUP(_xlfn.CONCAT($AB$3,"_",B18,"_",$AA$2,"_",Parámetros!$C$6),DATA_KPI!$A:$H,6,FALSE),0)</f>
        <v>0</v>
      </c>
      <c r="AC18" s="4">
        <f t="shared" si="13"/>
        <v>0</v>
      </c>
      <c r="AD18" s="73">
        <f>IFERROR(VLOOKUP(_xlfn.CONCAT($AB$3,"_",B18,"_",$AA$2,"_",Parámetros!$C$6),DATA_KPI_PRE!A:F,6,FALSE),0)</f>
        <v>0</v>
      </c>
      <c r="AE18" s="25">
        <f t="shared" si="4"/>
        <v>0</v>
      </c>
      <c r="AF18" s="5"/>
      <c r="AG18" s="73">
        <f>IFERROR(VLOOKUP(_xlfn.CONCAT($AG$3,"_",B18,"_",$AG$2,"_",Parámetros!$C$6),DATA_KPI!$A:$H,6,FALSE),0)</f>
        <v>2226017.3899999997</v>
      </c>
      <c r="AH18" s="73">
        <f>IFERROR(VLOOKUP(_xlfn.CONCAT($AH$3,"_",B18,"_",$AG$2,"_",Parámetros!$C$6),DATA_KPI!$A:$H,6,FALSE),0)</f>
        <v>2535450.5499999998</v>
      </c>
      <c r="AI18" s="25">
        <f t="shared" si="14"/>
        <v>0.13900752141024397</v>
      </c>
      <c r="AJ18" s="73">
        <f>IFERROR(VLOOKUP(_xlfn.CONCAT($AH$3,"_",B18,"_",$AG$2,"_",Parámetros!$C$6),DATA_KPI_PRE!A:F,6,FALSE),0)</f>
        <v>2102922.3725778079</v>
      </c>
      <c r="AK18" s="25">
        <f t="shared" si="5"/>
        <v>0.20567957384560498</v>
      </c>
      <c r="AM18" s="73">
        <f>IFERROR(VLOOKUP(_xlfn.CONCAT($AM$3,"_",B18,"_",$AM$2,"_",Parámetros!$C$6),DATA_KPI!$A:$H,6,FALSE),0)</f>
        <v>0</v>
      </c>
      <c r="AN18" s="73">
        <f>IFERROR(VLOOKUP(_xlfn.CONCAT($AN$3,"_",B18,"_",$AM$2,"_",Parámetros!$C$6),DATA_KPI!$A:$H,6,FALSE),0)</f>
        <v>0</v>
      </c>
      <c r="AO18" s="25">
        <f t="shared" si="6"/>
        <v>0</v>
      </c>
      <c r="AP18" s="73">
        <f>IFERROR(VLOOKUP(_xlfn.CONCAT($AN$3,"_",B18,"_",$AM$2,"_",Parámetros!$C$6),DATA_KPI_PRE!A:F,6,FALSE),0)</f>
        <v>0</v>
      </c>
      <c r="AQ18" s="25">
        <f t="shared" si="7"/>
        <v>0</v>
      </c>
      <c r="AS18" s="34">
        <f t="shared" si="15"/>
        <v>0.80103749945083136</v>
      </c>
      <c r="AT18" s="34">
        <f t="shared" si="16"/>
        <v>5.8884850648238861E-2</v>
      </c>
      <c r="AU18" s="34">
        <f t="shared" si="17"/>
        <v>0</v>
      </c>
      <c r="AV18" s="34">
        <f t="shared" si="18"/>
        <v>0</v>
      </c>
      <c r="AW18" s="34">
        <f t="shared" si="19"/>
        <v>0.14007764990092983</v>
      </c>
      <c r="AX18" s="34">
        <f t="shared" si="20"/>
        <v>0</v>
      </c>
      <c r="AY18" s="4">
        <f t="shared" si="8"/>
        <v>1</v>
      </c>
    </row>
    <row r="19" spans="1:51" ht="14.4" x14ac:dyDescent="0.3">
      <c r="A19" s="1" t="s">
        <v>51</v>
      </c>
      <c r="B19" s="1" t="str">
        <f>IF(IFERROR(VLOOKUP(A19,DATA_KPI!$D:$H,5,FALSE),"")="",VLOOKUP(A19,DATA_KPI_PRE!$D:$H,5,FALSE),VLOOKUP(A19,DATA_KPI!$D:$H,5,FALSE))</f>
        <v>S86</v>
      </c>
      <c r="C19" s="68">
        <f>IFERROR(VLOOKUP(_xlfn.CONCAT($C$3,"_",B19,"_",$C$2,"_",Parámetros!$C$6),DATA_KPI!$A:$H,6,FALSE),0)</f>
        <v>20388671.300000023</v>
      </c>
      <c r="D19" s="68">
        <f>IFERROR(VLOOKUP(_xlfn.CONCAT($D$3,"_",B19,"_",$C$2,"_",Parámetros!$C$6),DATA_KPI!A:H,6,FALSE),0)</f>
        <v>17105668.880000029</v>
      </c>
      <c r="E19" s="34">
        <f t="shared" si="9"/>
        <v>-0.16102091066620861</v>
      </c>
      <c r="F19" s="68">
        <f>IFERROR(VLOOKUP(_xlfn.CONCAT($D$3,"_",B19,"_",$C$2,"_",Parámetros!$C$6),DATA_KPI_PRE!$A:$F,6,FALSE),0)</f>
        <v>19435378.295845341</v>
      </c>
      <c r="G19" s="34">
        <f t="shared" si="0"/>
        <v>-0.11986951735039442</v>
      </c>
      <c r="H19" s="34"/>
      <c r="I19" s="73">
        <f>IFERROR(VLOOKUP(_xlfn.CONCAT($I$3,"_",B19,"_",$I$2,"_",Parámetros!$C$6),DATA_KPI!$A:$H,6,FALSE),0)</f>
        <v>19363623.160000023</v>
      </c>
      <c r="J19" s="73">
        <f>IFERROR(VLOOKUP(_xlfn.CONCAT($J$3,"_",B19,"_",$I$2,"_",Parámetros!$C$6),DATA_KPI!$A:$H,6,FALSE),0)</f>
        <v>16531972.18000003</v>
      </c>
      <c r="K19" s="22">
        <f t="shared" si="10"/>
        <v>-0.14623559633454408</v>
      </c>
      <c r="L19" s="75">
        <f>IFERROR(VLOOKUP(_xlfn.CONCAT($J$3,"_",B19,"_",$I$2,"_",Parámetros!$C$6),DATA_KPI_PRE!A:F,6,FALSE),0)</f>
        <v>18313717.080974527</v>
      </c>
      <c r="M19" s="34">
        <f t="shared" si="1"/>
        <v>-9.7290183805749053E-2</v>
      </c>
      <c r="N19" s="5"/>
      <c r="O19" s="73">
        <f>IFERROR(VLOOKUP(_xlfn.CONCAT($O$3,"_",B19,"_",$O$2,"_",Parámetros!$C$6),DATA_KPI!$A:$H,6,FALSE),0)</f>
        <v>1025048.1400000004</v>
      </c>
      <c r="P19" s="73">
        <f>IFERROR(VLOOKUP(_xlfn.CONCAT($P$3,"_",B19,"_",$O$2,"_",Parámetros!$C$6),DATA_KPI!$A:$H,6,FALSE),0)</f>
        <v>573696.69999999995</v>
      </c>
      <c r="Q19" s="22">
        <f t="shared" si="11"/>
        <v>-0.44032218818523028</v>
      </c>
      <c r="R19" s="73">
        <f>IFERROR(VLOOKUP(_xlfn.CONCAT($P$3,"_",B19,"_",$O$2,"_",Parámetros!$C$6),DATA_KPI_PRE!A:F,6,FALSE),0)</f>
        <v>1121661.2148708126</v>
      </c>
      <c r="S19" s="25">
        <f t="shared" si="2"/>
        <v>-0.48852943081741884</v>
      </c>
      <c r="T19" s="4"/>
      <c r="U19" s="73">
        <f>IFERROR(VLOOKUP(_xlfn.CONCAT($U$3,"_",B19,"_",$U$2,"_",Parámetros!$C$6),DATA_KPI!$A:$H,6,FALSE),0)</f>
        <v>0</v>
      </c>
      <c r="V19" s="73">
        <f>IFERROR(VLOOKUP(_xlfn.CONCAT($V$3,"_",B19,"_",$U$2,"_",Parámetros!$C$6),DATA_KPI!$A:$H,6,FALSE),0)</f>
        <v>0</v>
      </c>
      <c r="W19" s="4">
        <f t="shared" si="12"/>
        <v>0</v>
      </c>
      <c r="X19" s="73">
        <f>IFERROR(VLOOKUP(_xlfn.CONCAT($V$3,"_",B19,"_",$U$2,"_",Parámetros!$C$6),DATA_KPI_PRE!A:F,6,FALSE),0)</f>
        <v>0</v>
      </c>
      <c r="Y19" s="25">
        <f t="shared" si="3"/>
        <v>0</v>
      </c>
      <c r="Z19" s="4"/>
      <c r="AA19" s="73">
        <f>IFERROR(VLOOKUP(_xlfn.CONCAT($AA$3,"_",B19,"_",$AA$2,"_",Parámetros!$C$6),DATA_KPI!$A:$H,6,FALSE),0)</f>
        <v>0</v>
      </c>
      <c r="AB19" s="73">
        <f>IFERROR(VLOOKUP(_xlfn.CONCAT($AB$3,"_",B19,"_",$AA$2,"_",Parámetros!$C$6),DATA_KPI!$A:$H,6,FALSE),0)</f>
        <v>0</v>
      </c>
      <c r="AC19" s="4">
        <f t="shared" si="13"/>
        <v>0</v>
      </c>
      <c r="AD19" s="73">
        <f>IFERROR(VLOOKUP(_xlfn.CONCAT($AB$3,"_",B19,"_",$AA$2,"_",Parámetros!$C$6),DATA_KPI_PRE!A:F,6,FALSE),0)</f>
        <v>0</v>
      </c>
      <c r="AE19" s="25">
        <f t="shared" si="4"/>
        <v>0</v>
      </c>
      <c r="AF19" s="5"/>
      <c r="AG19" s="73">
        <f>IFERROR(VLOOKUP(_xlfn.CONCAT($AG$3,"_",B19,"_",$AG$2,"_",Parámetros!$C$6),DATA_KPI!$A:$H,6,FALSE),0)</f>
        <v>0</v>
      </c>
      <c r="AH19" s="73">
        <f>IFERROR(VLOOKUP(_xlfn.CONCAT($AH$3,"_",B19,"_",$AG$2,"_",Parámetros!$C$6),DATA_KPI!$A:$H,6,FALSE),0)</f>
        <v>0</v>
      </c>
      <c r="AI19" s="25">
        <f t="shared" si="14"/>
        <v>0</v>
      </c>
      <c r="AJ19" s="73">
        <f>IFERROR(VLOOKUP(_xlfn.CONCAT($AH$3,"_",B19,"_",$AG$2,"_",Parámetros!$C$6),DATA_KPI_PRE!A:F,6,FALSE),0)</f>
        <v>0</v>
      </c>
      <c r="AK19" s="25">
        <f t="shared" si="5"/>
        <v>0</v>
      </c>
      <c r="AM19" s="73">
        <f>IFERROR(VLOOKUP(_xlfn.CONCAT($AM$3,"_",B19,"_",$AM$2,"_",Parámetros!$C$6),DATA_KPI!$A:$H,6,FALSE),0)</f>
        <v>0</v>
      </c>
      <c r="AN19" s="73">
        <f>IFERROR(VLOOKUP(_xlfn.CONCAT($AN$3,"_",B19,"_",$AM$2,"_",Parámetros!$C$6),DATA_KPI!$A:$H,6,FALSE),0)</f>
        <v>0</v>
      </c>
      <c r="AO19" s="25">
        <f t="shared" si="6"/>
        <v>0</v>
      </c>
      <c r="AP19" s="73">
        <f>IFERROR(VLOOKUP(_xlfn.CONCAT($AN$3,"_",B19,"_",$AM$2,"_",Parámetros!$C$6),DATA_KPI_PRE!A:F,6,FALSE),0)</f>
        <v>0</v>
      </c>
      <c r="AQ19" s="25">
        <f t="shared" si="7"/>
        <v>0</v>
      </c>
      <c r="AS19" s="34">
        <f t="shared" si="15"/>
        <v>0.96646160380955548</v>
      </c>
      <c r="AT19" s="34">
        <f t="shared" si="16"/>
        <v>3.3538396190444617E-2</v>
      </c>
      <c r="AU19" s="34">
        <f t="shared" si="17"/>
        <v>0</v>
      </c>
      <c r="AV19" s="34">
        <f t="shared" si="18"/>
        <v>0</v>
      </c>
      <c r="AW19" s="34">
        <f t="shared" si="19"/>
        <v>0</v>
      </c>
      <c r="AX19" s="34">
        <f t="shared" si="20"/>
        <v>0</v>
      </c>
      <c r="AY19" s="4">
        <f t="shared" si="8"/>
        <v>1</v>
      </c>
    </row>
    <row r="20" spans="1:51" ht="14.4" x14ac:dyDescent="0.3">
      <c r="A20" s="1" t="s">
        <v>16</v>
      </c>
      <c r="B20" s="1" t="str">
        <f>IF(IFERROR(VLOOKUP(A20,DATA_KPI!$D:$H,5,FALSE),"")="",VLOOKUP(A20,DATA_KPI_PRE!$D:$H,5,FALSE),VLOOKUP(A20,DATA_KPI!$D:$H,5,FALSE))</f>
        <v>S67</v>
      </c>
      <c r="C20" s="68">
        <f>IFERROR(VLOOKUP(_xlfn.CONCAT($C$3,"_",B20,"_",$C$2,"_",Parámetros!$C$6),DATA_KPI!$A:$H,6,FALSE),0)</f>
        <v>19320579.510000002</v>
      </c>
      <c r="D20" s="68">
        <f>IFERROR(VLOOKUP(_xlfn.CONCAT($D$3,"_",B20,"_",$C$2,"_",Parámetros!$C$6),DATA_KPI!A:H,6,FALSE),0)</f>
        <v>18079547.339999996</v>
      </c>
      <c r="E20" s="34">
        <f t="shared" si="9"/>
        <v>-6.423369285365732E-2</v>
      </c>
      <c r="F20" s="68">
        <f>IFERROR(VLOOKUP(_xlfn.CONCAT($D$3,"_",B20,"_",$C$2,"_",Parámetros!$C$6),DATA_KPI_PRE!$A:$F,6,FALSE),0)</f>
        <v>18041671.937593214</v>
      </c>
      <c r="G20" s="34">
        <f t="shared" si="0"/>
        <v>2.099328850330151E-3</v>
      </c>
      <c r="H20" s="34"/>
      <c r="I20" s="73">
        <f>IFERROR(VLOOKUP(_xlfn.CONCAT($I$3,"_",B20,"_",$I$2,"_",Parámetros!$C$6),DATA_KPI!$A:$H,6,FALSE),0)</f>
        <v>10013002.870000003</v>
      </c>
      <c r="J20" s="73">
        <f>IFERROR(VLOOKUP(_xlfn.CONCAT($J$3,"_",B20,"_",$I$2,"_",Parámetros!$C$6),DATA_KPI!$A:$H,6,FALSE),0)</f>
        <v>9468990.5399999917</v>
      </c>
      <c r="K20" s="22">
        <f t="shared" si="10"/>
        <v>-5.4330587643186323E-2</v>
      </c>
      <c r="L20" s="75">
        <f>IFERROR(VLOOKUP(_xlfn.CONCAT($J$3,"_",B20,"_",$I$2,"_",Parámetros!$C$6),DATA_KPI_PRE!A:F,6,FALSE),0)</f>
        <v>9191049.9811692014</v>
      </c>
      <c r="M20" s="34">
        <f t="shared" si="1"/>
        <v>3.0240348969947872E-2</v>
      </c>
      <c r="N20" s="4"/>
      <c r="O20" s="73">
        <f>IFERROR(VLOOKUP(_xlfn.CONCAT($O$3,"_",B20,"_",$O$2,"_",Parámetros!$C$6),DATA_KPI!$A:$H,6,FALSE),0)</f>
        <v>1385450.5900000003</v>
      </c>
      <c r="P20" s="73">
        <f>IFERROR(VLOOKUP(_xlfn.CONCAT($P$3,"_",B20,"_",$O$2,"_",Parámetros!$C$6),DATA_KPI!$A:$H,6,FALSE),0)</f>
        <v>1119129.8600000001</v>
      </c>
      <c r="Q20" s="22">
        <f t="shared" si="11"/>
        <v>-0.19222679749264837</v>
      </c>
      <c r="R20" s="73">
        <f>IFERROR(VLOOKUP(_xlfn.CONCAT($P$3,"_",B20,"_",$O$2,"_",Parámetros!$C$6),DATA_KPI_PRE!A:F,6,FALSE),0)</f>
        <v>1421691.5269245445</v>
      </c>
      <c r="S20" s="25">
        <f t="shared" si="2"/>
        <v>-0.21281808408822478</v>
      </c>
      <c r="T20" s="4"/>
      <c r="U20" s="73">
        <f>IFERROR(VLOOKUP(_xlfn.CONCAT($U$3,"_",B20,"_",$U$2,"_",Parámetros!$C$6),DATA_KPI!$A:$H,6,FALSE),0)</f>
        <v>0</v>
      </c>
      <c r="V20" s="73">
        <f>IFERROR(VLOOKUP(_xlfn.CONCAT($V$3,"_",B20,"_",$U$2,"_",Parámetros!$C$6),DATA_KPI!$A:$H,6,FALSE),0)</f>
        <v>0</v>
      </c>
      <c r="W20" s="4">
        <f t="shared" si="12"/>
        <v>0</v>
      </c>
      <c r="X20" s="73">
        <f>IFERROR(VLOOKUP(_xlfn.CONCAT($V$3,"_",B20,"_",$U$2,"_",Parámetros!$C$6),DATA_KPI_PRE!A:F,6,FALSE),0)</f>
        <v>0</v>
      </c>
      <c r="Y20" s="25">
        <f t="shared" si="3"/>
        <v>0</v>
      </c>
      <c r="Z20" s="4"/>
      <c r="AA20" s="73">
        <f>IFERROR(VLOOKUP(_xlfn.CONCAT($AA$3,"_",B20,"_",$AA$2,"_",Parámetros!$C$6),DATA_KPI!$A:$H,6,FALSE),0)</f>
        <v>392752.32000000007</v>
      </c>
      <c r="AB20" s="73">
        <f>IFERROR(VLOOKUP(_xlfn.CONCAT($AB$3,"_",B20,"_",$AA$2,"_",Parámetros!$C$6),DATA_KPI!$A:$H,6,FALSE),0)</f>
        <v>257604.51999999996</v>
      </c>
      <c r="AC20" s="4">
        <f t="shared" si="13"/>
        <v>-0.34410439637886825</v>
      </c>
      <c r="AD20" s="73">
        <f>IFERROR(VLOOKUP(_xlfn.CONCAT($AB$3,"_",B20,"_",$AA$2,"_",Parámetros!$C$6),DATA_KPI_PRE!A:F,6,FALSE),0)</f>
        <v>545513.09339573944</v>
      </c>
      <c r="AE20" s="25">
        <f t="shared" si="4"/>
        <v>-0.52777573422399571</v>
      </c>
      <c r="AF20" s="4"/>
      <c r="AG20" s="73">
        <f>IFERROR(VLOOKUP(_xlfn.CONCAT($AG$3,"_",B20,"_",$AG$2,"_",Parámetros!$C$6),DATA_KPI!$A:$H,6,FALSE),0)</f>
        <v>7462701.169999999</v>
      </c>
      <c r="AH20" s="73">
        <f>IFERROR(VLOOKUP(_xlfn.CONCAT($AH$3,"_",B20,"_",$AG$2,"_",Parámetros!$C$6),DATA_KPI!$A:$H,6,FALSE),0)</f>
        <v>7212804.7100000037</v>
      </c>
      <c r="AI20" s="25">
        <f t="shared" si="14"/>
        <v>-3.3486060115146654E-2</v>
      </c>
      <c r="AJ20" s="73">
        <f>IFERROR(VLOOKUP(_xlfn.CONCAT($AH$3,"_",B20,"_",$AG$2,"_",Parámetros!$C$6),DATA_KPI_PRE!A:F,6,FALSE),0)</f>
        <v>6829387.4524599314</v>
      </c>
      <c r="AK20" s="25">
        <f t="shared" si="5"/>
        <v>5.6142261690243611E-2</v>
      </c>
      <c r="AM20" s="73">
        <f>IFERROR(VLOOKUP(_xlfn.CONCAT($AM$3,"_",B20,"_",$AM$2,"_",Parámetros!$C$6),DATA_KPI!$A:$H,6,FALSE),0)</f>
        <v>66672.56</v>
      </c>
      <c r="AN20" s="73">
        <f>IFERROR(VLOOKUP(_xlfn.CONCAT($AN$3,"_",B20,"_",$AM$2,"_",Parámetros!$C$6),DATA_KPI!$A:$H,6,FALSE),0)</f>
        <v>21017.71</v>
      </c>
      <c r="AO20" s="25">
        <f t="shared" si="6"/>
        <v>0.31523778297998456</v>
      </c>
      <c r="AP20" s="73">
        <f>IFERROR(VLOOKUP(_xlfn.CONCAT($AN$3,"_",B20,"_",$AM$2,"_",Parámetros!$C$6),DATA_KPI_PRE!A:F,6,FALSE),0)</f>
        <v>54029.883643795947</v>
      </c>
      <c r="AQ20" s="25">
        <f t="shared" si="7"/>
        <v>-0.61099842193694265</v>
      </c>
      <c r="AS20" s="34">
        <f t="shared" si="15"/>
        <v>0.52374046550658793</v>
      </c>
      <c r="AT20" s="34">
        <f t="shared" si="16"/>
        <v>6.1900325210243919E-2</v>
      </c>
      <c r="AU20" s="34">
        <f t="shared" si="17"/>
        <v>0</v>
      </c>
      <c r="AV20" s="34">
        <f t="shared" si="18"/>
        <v>1.4248394340607425E-2</v>
      </c>
      <c r="AW20" s="34">
        <f t="shared" si="19"/>
        <v>0.39894830187712016</v>
      </c>
      <c r="AX20" s="34">
        <f t="shared" si="20"/>
        <v>1.1625130654404981E-3</v>
      </c>
      <c r="AY20" s="4">
        <f t="shared" si="8"/>
        <v>0.99999999999999989</v>
      </c>
    </row>
    <row r="21" spans="1:51" ht="14.4" x14ac:dyDescent="0.3">
      <c r="A21" s="1" t="s">
        <v>113</v>
      </c>
      <c r="B21" s="1" t="s">
        <v>114</v>
      </c>
      <c r="C21" s="68">
        <f>IFERROR(VLOOKUP(_xlfn.CONCAT($C$3,"_",B21,"_",$C$2,"_",Parámetros!$C$6),DATA_KPI!$A:$H,6,FALSE),0)</f>
        <v>9300473.1199999936</v>
      </c>
      <c r="D21" s="68">
        <f>IFERROR(VLOOKUP(_xlfn.CONCAT($D$3,"_",B21,"_",$C$2,"_",Parámetros!$C$6),DATA_KPI!A:H,6,FALSE),0)</f>
        <v>9776510.0799999963</v>
      </c>
      <c r="E21" s="38">
        <f>IFERROR(+D21/C21,0)</f>
        <v>1.0511841659943428</v>
      </c>
      <c r="F21" s="68">
        <f>IFERROR(VLOOKUP(_xlfn.CONCAT($D$3,"_",B21,"_",$C$2,"_",Parámetros!$C$6),DATA_KPI_PRE!$A:$F,6,FALSE),0)</f>
        <v>9996843.0704637393</v>
      </c>
      <c r="G21" s="38">
        <f t="shared" si="0"/>
        <v>-2.2040257000205399E-2</v>
      </c>
      <c r="H21" s="38"/>
      <c r="I21" s="73">
        <f>IFERROR(VLOOKUP(_xlfn.CONCAT($I$3,"_",B21,"_",$I$2,"_",Parámetros!$C$6),DATA_KPI!$A:$H,6,FALSE),0)</f>
        <v>6590534.1599999946</v>
      </c>
      <c r="J21" s="73">
        <f>IFERROR(VLOOKUP(_xlfn.CONCAT($J$3,"_",B21,"_",$I$2,"_",Parámetros!$C$6),DATA_KPI!$A:$H,6,FALSE),0)</f>
        <v>6680235.5999999978</v>
      </c>
      <c r="K21" s="22">
        <f>IFERROR(+J21/I21,0)</f>
        <v>1.0136106479114286</v>
      </c>
      <c r="L21" s="75">
        <f>IFERROR(VLOOKUP(_xlfn.CONCAT($J$3,"_",B21,"_",$I$2,"_",Parámetros!$C$6),DATA_KPI_PRE!A:F,6,FALSE),0)</f>
        <v>7079792.1992498003</v>
      </c>
      <c r="M21" s="38">
        <f t="shared" si="1"/>
        <v>-5.6436204341158591E-2</v>
      </c>
      <c r="N21" s="4"/>
      <c r="O21" s="73">
        <f>IFERROR(VLOOKUP(_xlfn.CONCAT($O$3,"_",B21,"_",$O$2,"_",Parámetros!$C$6),DATA_KPI!$A:$H,6,FALSE),0)</f>
        <v>551119.85</v>
      </c>
      <c r="P21" s="73">
        <f>IFERROR(VLOOKUP(_xlfn.CONCAT($P$3,"_",B21,"_",$O$2,"_",Parámetros!$C$6),DATA_KPI!$A:$H,6,FALSE),0)</f>
        <v>335242.79999999993</v>
      </c>
      <c r="Q21" s="22">
        <f>IFERROR(+P21/O21,0)</f>
        <v>0.60829382211509886</v>
      </c>
      <c r="R21" s="73">
        <f>IFERROR(VLOOKUP(_xlfn.CONCAT($P$3,"_",B21,"_",$O$2,"_",Parámetros!$C$6),DATA_KPI_PRE!A:F,6,FALSE),0)</f>
        <v>559367.65596050303</v>
      </c>
      <c r="S21" s="27">
        <f t="shared" si="2"/>
        <v>-0.40067539403159302</v>
      </c>
      <c r="T21" s="5"/>
      <c r="U21" s="73">
        <f>IFERROR(VLOOKUP(_xlfn.CONCAT($U$3,"_",B21,"_",$U$2,"_",Parámetros!$C$6),DATA_KPI!$A:$H,6,FALSE),0)</f>
        <v>0</v>
      </c>
      <c r="V21" s="73">
        <f>IFERROR(VLOOKUP(_xlfn.CONCAT($V$3,"_",B21,"_",$U$2,"_",Parámetros!$C$6),DATA_KPI!$A:$H,6,FALSE),0)</f>
        <v>0</v>
      </c>
      <c r="W21" s="4">
        <f>IFERROR(+V21/U21,0)</f>
        <v>0</v>
      </c>
      <c r="X21" s="73">
        <f>IFERROR(VLOOKUP(_xlfn.CONCAT($V$3,"_",B21,"_",$U$2,"_",Parámetros!$C$6),DATA_KPI_PRE!A:F,6,FALSE),0)</f>
        <v>0</v>
      </c>
      <c r="Y21" s="27">
        <f t="shared" si="3"/>
        <v>0</v>
      </c>
      <c r="Z21" s="4"/>
      <c r="AA21" s="73">
        <f>IFERROR(VLOOKUP(_xlfn.CONCAT($AA$3,"_",B21,"_",$AA$2,"_",Parámetros!$C$6),DATA_KPI!$A:$H,6,FALSE),0)</f>
        <v>12371.68</v>
      </c>
      <c r="AB21" s="73">
        <f>IFERROR(VLOOKUP(_xlfn.CONCAT($AB$3,"_",B21,"_",$AA$2,"_",Parámetros!$C$6),DATA_KPI!$A:$H,6,FALSE),0)</f>
        <v>0</v>
      </c>
      <c r="AC21" s="4">
        <f>IFERROR(+AB21/AA21,0)</f>
        <v>0</v>
      </c>
      <c r="AD21" s="73">
        <f>IFERROR(VLOOKUP(_xlfn.CONCAT($AB$3,"_",B21,"_",$AA$2,"_",Parámetros!$C$6),DATA_KPI_PRE!A:F,6,FALSE),0)</f>
        <v>0</v>
      </c>
      <c r="AE21" s="27">
        <f t="shared" si="4"/>
        <v>0</v>
      </c>
      <c r="AF21" s="5"/>
      <c r="AG21" s="73">
        <f>IFERROR(VLOOKUP(_xlfn.CONCAT($AG$3,"_",B21,"_",$AG$2,"_",Parámetros!$C$6),DATA_KPI!$A:$H,6,FALSE),0)</f>
        <v>2146447.4299999992</v>
      </c>
      <c r="AH21" s="73">
        <f>IFERROR(VLOOKUP(_xlfn.CONCAT($AH$3,"_",B21,"_",$AG$2,"_",Parámetros!$C$6),DATA_KPI!$A:$H,6,FALSE),0)</f>
        <v>2761031.6799999992</v>
      </c>
      <c r="AI21" s="27">
        <f>IFERROR(+AH21/AG21,0)</f>
        <v>1.2863262530496731</v>
      </c>
      <c r="AJ21" s="73">
        <f>IFERROR(VLOOKUP(_xlfn.CONCAT($AH$3,"_",B21,"_",$AG$2,"_",Parámetros!$C$6),DATA_KPI_PRE!A:F,6,FALSE),0)</f>
        <v>2357683.2152534355</v>
      </c>
      <c r="AK21" s="27">
        <f t="shared" si="5"/>
        <v>0.17107831202132306</v>
      </c>
      <c r="AM21" s="73">
        <f>IFERROR(VLOOKUP(_xlfn.CONCAT($AM$3,"_",B21,"_",$AM$2,"_",Parámetros!$C$6),DATA_KPI!$A:$H,6,FALSE),0)</f>
        <v>0</v>
      </c>
      <c r="AN21" s="73">
        <f>IFERROR(VLOOKUP(_xlfn.CONCAT($AN$3,"_",B21,"_",$AM$2,"_",Parámetros!$C$6),DATA_KPI!$A:$H,6,FALSE),0)</f>
        <v>0</v>
      </c>
      <c r="AO21" s="27">
        <f t="shared" si="6"/>
        <v>0</v>
      </c>
      <c r="AP21" s="73">
        <f>IFERROR(VLOOKUP(_xlfn.CONCAT($AN$3,"_",B21,"_",$AM$2,"_",Parámetros!$C$6),DATA_KPI_PRE!A:F,6,FALSE),0)</f>
        <v>0</v>
      </c>
      <c r="AQ21" s="27">
        <f t="shared" si="7"/>
        <v>0</v>
      </c>
      <c r="AS21" s="38">
        <f>IFERROR(J21/D21,0)</f>
        <v>0.68329450338990494</v>
      </c>
      <c r="AT21" s="38">
        <f>IFERROR(P21/D21,0)</f>
        <v>3.4290641267359083E-2</v>
      </c>
      <c r="AU21" s="38">
        <f>IFERROR(V21/D21,0)</f>
        <v>0</v>
      </c>
      <c r="AV21" s="38">
        <f>IFERROR(AB21/D21,0)</f>
        <v>0</v>
      </c>
      <c r="AW21" s="38">
        <f>IFERROR(AH21/D21,0)</f>
        <v>0.28241485534273597</v>
      </c>
      <c r="AX21" s="38">
        <f>IFERROR(AN21/D21,0)</f>
        <v>0</v>
      </c>
      <c r="AY21" s="4">
        <f t="shared" si="8"/>
        <v>1</v>
      </c>
    </row>
    <row r="22" spans="1:51" ht="14.4" x14ac:dyDescent="0.3">
      <c r="A22" s="1" t="s">
        <v>17</v>
      </c>
      <c r="B22" s="1" t="str">
        <f>IF(IFERROR(VLOOKUP(A22,DATA_KPI!$D:$H,5,FALSE),"")="",VLOOKUP(A22,DATA_KPI_PRE!$D:$H,5,FALSE),VLOOKUP(A22,DATA_KPI!$D:$H,5,FALSE))</f>
        <v>S39</v>
      </c>
      <c r="C22" s="68">
        <f>IFERROR(VLOOKUP(_xlfn.CONCAT($C$3,"_",B22,"_",$C$2,"_",Parámetros!$C$6),DATA_KPI!$A:$H,6,FALSE),0)</f>
        <v>13723675.609999992</v>
      </c>
      <c r="D22" s="68">
        <f>IFERROR(VLOOKUP(_xlfn.CONCAT($D$3,"_",B22,"_",$C$2,"_",Parámetros!$C$6),DATA_KPI!A:H,6,FALSE),0)</f>
        <v>13686424.279999992</v>
      </c>
      <c r="E22" s="34">
        <f t="shared" ref="E22:E28" si="21">IFERROR(+(D22/C22)-1,0)</f>
        <v>-2.714384328120989E-3</v>
      </c>
      <c r="F22" s="68">
        <f>IFERROR(VLOOKUP(_xlfn.CONCAT($D$3,"_",B22,"_",$C$2,"_",Parámetros!$C$6),DATA_KPI_PRE!$A:$F,6,FALSE),0)</f>
        <v>12747347.784145249</v>
      </c>
      <c r="G22" s="34">
        <f t="shared" si="0"/>
        <v>7.3668382769217056E-2</v>
      </c>
      <c r="H22" s="34"/>
      <c r="I22" s="73">
        <f>IFERROR(VLOOKUP(_xlfn.CONCAT($I$3,"_",B22,"_",$I$2,"_",Parámetros!$C$6),DATA_KPI!$A:$H,6,FALSE),0)</f>
        <v>9520082.4399999939</v>
      </c>
      <c r="J22" s="73">
        <f>IFERROR(VLOOKUP(_xlfn.CONCAT($J$3,"_",B22,"_",$I$2,"_",Parámetros!$C$6),DATA_KPI!$A:$H,6,FALSE),0)</f>
        <v>9699979.6199999936</v>
      </c>
      <c r="K22" s="22">
        <f t="shared" ref="K22:K28" si="22">IFERROR(+(J22/I22)-1,0)</f>
        <v>1.8896598966846812E-2</v>
      </c>
      <c r="L22" s="75">
        <f>IFERROR(VLOOKUP(_xlfn.CONCAT($J$3,"_",B22,"_",$I$2,"_",Parámetros!$C$6),DATA_KPI_PRE!A:F,6,FALSE),0)</f>
        <v>9001810.5935910381</v>
      </c>
      <c r="M22" s="34">
        <f t="shared" si="1"/>
        <v>7.7558733229293519E-2</v>
      </c>
      <c r="N22" s="4"/>
      <c r="O22" s="73">
        <f>IFERROR(VLOOKUP(_xlfn.CONCAT($O$3,"_",B22,"_",$O$2,"_",Parámetros!$C$6),DATA_KPI!$A:$H,6,FALSE),0)</f>
        <v>875411.09000000032</v>
      </c>
      <c r="P22" s="73">
        <f>IFERROR(VLOOKUP(_xlfn.CONCAT($P$3,"_",B22,"_",$O$2,"_",Parámetros!$C$6),DATA_KPI!$A:$H,6,FALSE),0)</f>
        <v>869982.55</v>
      </c>
      <c r="Q22" s="22">
        <f t="shared" ref="Q22:Q28" si="23">IFERROR(+(P22/O22)-1,0)</f>
        <v>-6.2011323160188203E-3</v>
      </c>
      <c r="R22" s="73">
        <f>IFERROR(VLOOKUP(_xlfn.CONCAT($P$3,"_",B22,"_",$O$2,"_",Parámetros!$C$6),DATA_KPI_PRE!A:F,6,FALSE),0)</f>
        <v>712915.54691910371</v>
      </c>
      <c r="S22" s="25">
        <f t="shared" si="2"/>
        <v>0.22031642283531117</v>
      </c>
      <c r="T22" s="5"/>
      <c r="U22" s="73">
        <f>IFERROR(VLOOKUP(_xlfn.CONCAT($U$3,"_",B22,"_",$U$2,"_",Parámetros!$C$6),DATA_KPI!$A:$H,6,FALSE),0)</f>
        <v>0</v>
      </c>
      <c r="V22" s="73">
        <f>IFERROR(VLOOKUP(_xlfn.CONCAT($V$3,"_",B22,"_",$U$2,"_",Parámetros!$C$6),DATA_KPI!$A:$H,6,FALSE),0)</f>
        <v>0</v>
      </c>
      <c r="W22" s="4">
        <f t="shared" ref="W22:W28" si="24">IFERROR(+(V22/U22)-1,0)</f>
        <v>0</v>
      </c>
      <c r="X22" s="73">
        <f>IFERROR(VLOOKUP(_xlfn.CONCAT($V$3,"_",B22,"_",$U$2,"_",Parámetros!$C$6),DATA_KPI_PRE!A:F,6,FALSE),0)</f>
        <v>0</v>
      </c>
      <c r="Y22" s="25">
        <f t="shared" si="3"/>
        <v>0</v>
      </c>
      <c r="Z22" s="4"/>
      <c r="AA22" s="73">
        <f>IFERROR(VLOOKUP(_xlfn.CONCAT($AA$3,"_",B22,"_",$AA$2,"_",Parámetros!$C$6),DATA_KPI!$A:$H,6,FALSE),0)</f>
        <v>0</v>
      </c>
      <c r="AB22" s="73">
        <f>IFERROR(VLOOKUP(_xlfn.CONCAT($AB$3,"_",B22,"_",$AA$2,"_",Parámetros!$C$6),DATA_KPI!$A:$H,6,FALSE),0)</f>
        <v>0</v>
      </c>
      <c r="AC22" s="4">
        <f t="shared" ref="AC22:AC28" si="25">IFERROR(+(AB22/AA22)-1,0)</f>
        <v>0</v>
      </c>
      <c r="AD22" s="73">
        <f>IFERROR(VLOOKUP(_xlfn.CONCAT($AB$3,"_",B22,"_",$AA$2,"_",Parámetros!$C$6),DATA_KPI_PRE!A:F,6,FALSE),0)</f>
        <v>0</v>
      </c>
      <c r="AE22" s="25">
        <f t="shared" si="4"/>
        <v>0</v>
      </c>
      <c r="AF22" s="5"/>
      <c r="AG22" s="73">
        <f>IFERROR(VLOOKUP(_xlfn.CONCAT($AG$3,"_",B22,"_",$AG$2,"_",Parámetros!$C$6),DATA_KPI!$A:$H,6,FALSE),0)</f>
        <v>3328182.0799999987</v>
      </c>
      <c r="AH22" s="73">
        <f>IFERROR(VLOOKUP(_xlfn.CONCAT($AH$3,"_",B22,"_",$AG$2,"_",Parámetros!$C$6),DATA_KPI!$A:$H,6,FALSE),0)</f>
        <v>3116462.1099999971</v>
      </c>
      <c r="AI22" s="25">
        <f t="shared" ref="AI22:AI28" si="26">IFERROR(+(AH22/AG22)-1,0)</f>
        <v>-6.3614299010948838E-2</v>
      </c>
      <c r="AJ22" s="73">
        <f>IFERROR(VLOOKUP(_xlfn.CONCAT($AH$3,"_",B22,"_",$AG$2,"_",Parámetros!$C$6),DATA_KPI_PRE!A:F,6,FALSE),0)</f>
        <v>3030562.0833268785</v>
      </c>
      <c r="AK22" s="25">
        <f t="shared" si="5"/>
        <v>2.8344585694419999E-2</v>
      </c>
      <c r="AM22" s="73">
        <f>IFERROR(VLOOKUP(_xlfn.CONCAT($AM$3,"_",B22,"_",$AM$2,"_",Parámetros!$C$6),DATA_KPI!$A:$H,6,FALSE),0)</f>
        <v>0</v>
      </c>
      <c r="AN22" s="73">
        <f>IFERROR(VLOOKUP(_xlfn.CONCAT($AN$3,"_",B22,"_",$AM$2,"_",Parámetros!$C$6),DATA_KPI!$A:$H,6,FALSE),0)</f>
        <v>0</v>
      </c>
      <c r="AO22" s="25">
        <f t="shared" si="6"/>
        <v>0</v>
      </c>
      <c r="AP22" s="73">
        <f>IFERROR(VLOOKUP(_xlfn.CONCAT($AN$3,"_",B22,"_",$AM$2,"_",Parámetros!$C$6),DATA_KPI_PRE!A:F,6,FALSE),0)</f>
        <v>2059.5603082287244</v>
      </c>
      <c r="AQ22" s="25">
        <f t="shared" si="7"/>
        <v>-1</v>
      </c>
      <c r="AS22" s="34">
        <f t="shared" ref="AS22:AS28" si="27">J22/D22</f>
        <v>0.70873001023171545</v>
      </c>
      <c r="AT22" s="34">
        <f t="shared" ref="AT22:AT28" si="28">P22/D22</f>
        <v>6.3565364641757299E-2</v>
      </c>
      <c r="AU22" s="34">
        <f t="shared" ref="AU22:AU28" si="29">V22/D22</f>
        <v>0</v>
      </c>
      <c r="AV22" s="34">
        <f t="shared" ref="AV22:AV28" si="30">AB22/D22</f>
        <v>0</v>
      </c>
      <c r="AW22" s="34">
        <f t="shared" ref="AW22:AW28" si="31">AH22/D22</f>
        <v>0.22770462512652712</v>
      </c>
      <c r="AX22" s="34">
        <f t="shared" ref="AX22:AX28" si="32">AN22/D22</f>
        <v>0</v>
      </c>
      <c r="AY22" s="4">
        <f t="shared" si="8"/>
        <v>0.99999999999999989</v>
      </c>
    </row>
    <row r="23" spans="1:51" ht="14.4" x14ac:dyDescent="0.3">
      <c r="A23" s="1" t="s">
        <v>18</v>
      </c>
      <c r="B23" s="1" t="str">
        <f>IF(IFERROR(VLOOKUP(A23,DATA_KPI!$D:$H,5,FALSE),"")="",VLOOKUP(A23,DATA_KPI_PRE!$D:$H,5,FALSE),VLOOKUP(A23,DATA_KPI!$D:$H,5,FALSE))</f>
        <v>S27</v>
      </c>
      <c r="C23" s="68">
        <f>IFERROR(VLOOKUP(_xlfn.CONCAT($C$3,"_",B23,"_",$C$2,"_",Parámetros!$C$6),DATA_KPI!$A:$H,6,FALSE),0)</f>
        <v>9926730.7199999988</v>
      </c>
      <c r="D23" s="68">
        <f>IFERROR(VLOOKUP(_xlfn.CONCAT($D$3,"_",B23,"_",$C$2,"_",Parámetros!$C$6),DATA_KPI!A:H,6,FALSE),0)</f>
        <v>9337944.8200000096</v>
      </c>
      <c r="E23" s="34">
        <f t="shared" si="21"/>
        <v>-5.9313173350590165E-2</v>
      </c>
      <c r="F23" s="68">
        <f>IFERROR(VLOOKUP(_xlfn.CONCAT($D$3,"_",B23,"_",$C$2,"_",Parámetros!$C$6),DATA_KPI_PRE!$A:$F,6,FALSE),0)</f>
        <v>10484599.60461686</v>
      </c>
      <c r="G23" s="34">
        <f t="shared" si="0"/>
        <v>-0.10936562461688326</v>
      </c>
      <c r="H23" s="34"/>
      <c r="I23" s="73">
        <f>IFERROR(VLOOKUP(_xlfn.CONCAT($I$3,"_",B23,"_",$I$2,"_",Parámetros!$C$6),DATA_KPI!$A:$H,6,FALSE),0)</f>
        <v>6234090.1700000018</v>
      </c>
      <c r="J23" s="73">
        <f>IFERROR(VLOOKUP(_xlfn.CONCAT($J$3,"_",B23,"_",$I$2,"_",Parámetros!$C$6),DATA_KPI!$A:$H,6,FALSE),0)</f>
        <v>6324439.0300000077</v>
      </c>
      <c r="K23" s="22">
        <f t="shared" si="22"/>
        <v>1.4492709847988339E-2</v>
      </c>
      <c r="L23" s="75">
        <f>IFERROR(VLOOKUP(_xlfn.CONCAT($J$3,"_",B23,"_",$I$2,"_",Parámetros!$C$6),DATA_KPI_PRE!A:F,6,FALSE),0)</f>
        <v>6714576.5568105951</v>
      </c>
      <c r="M23" s="34">
        <f t="shared" si="1"/>
        <v>-5.810307225030753E-2</v>
      </c>
      <c r="N23" s="4"/>
      <c r="O23" s="73">
        <f>IFERROR(VLOOKUP(_xlfn.CONCAT($O$3,"_",B23,"_",$O$2,"_",Parámetros!$C$6),DATA_KPI!$A:$H,6,FALSE),0)</f>
        <v>163829.63</v>
      </c>
      <c r="P23" s="73">
        <f>IFERROR(VLOOKUP(_xlfn.CONCAT($P$3,"_",B23,"_",$O$2,"_",Parámetros!$C$6),DATA_KPI!$A:$H,6,FALSE),0)</f>
        <v>117147.45999999999</v>
      </c>
      <c r="Q23" s="22">
        <f t="shared" si="23"/>
        <v>-0.28494338905605787</v>
      </c>
      <c r="R23" s="73">
        <f>IFERROR(VLOOKUP(_xlfn.CONCAT($P$3,"_",B23,"_",$O$2,"_",Parámetros!$C$6),DATA_KPI_PRE!A:F,6,FALSE),0)</f>
        <v>109438.39777468644</v>
      </c>
      <c r="S23" s="25">
        <f t="shared" si="2"/>
        <v>7.0442023842354651E-2</v>
      </c>
      <c r="T23" s="4"/>
      <c r="U23" s="73">
        <f>IFERROR(VLOOKUP(_xlfn.CONCAT($U$3,"_",B23,"_",$U$2,"_",Parámetros!$C$6),DATA_KPI!$A:$H,6,FALSE),0)</f>
        <v>0</v>
      </c>
      <c r="V23" s="73">
        <f>IFERROR(VLOOKUP(_xlfn.CONCAT($V$3,"_",B23,"_",$U$2,"_",Parámetros!$C$6),DATA_KPI!$A:$H,6,FALSE),0)</f>
        <v>0</v>
      </c>
      <c r="W23" s="4">
        <f t="shared" si="24"/>
        <v>0</v>
      </c>
      <c r="X23" s="73">
        <f>IFERROR(VLOOKUP(_xlfn.CONCAT($V$3,"_",B23,"_",$U$2,"_",Parámetros!$C$6),DATA_KPI_PRE!A:F,6,FALSE),0)</f>
        <v>0</v>
      </c>
      <c r="Y23" s="25">
        <f t="shared" si="3"/>
        <v>0</v>
      </c>
      <c r="Z23" s="4"/>
      <c r="AA23" s="73">
        <f>IFERROR(VLOOKUP(_xlfn.CONCAT($AA$3,"_",B23,"_",$AA$2,"_",Parámetros!$C$6),DATA_KPI!$A:$H,6,FALSE),0)</f>
        <v>265196.61</v>
      </c>
      <c r="AB23" s="73">
        <f>IFERROR(VLOOKUP(_xlfn.CONCAT($AB$3,"_",B23,"_",$AA$2,"_",Parámetros!$C$6),DATA_KPI!$A:$H,6,FALSE),0)</f>
        <v>52612.42</v>
      </c>
      <c r="AC23" s="4">
        <f t="shared" si="25"/>
        <v>-0.80160975662547118</v>
      </c>
      <c r="AD23" s="73">
        <f>IFERROR(VLOOKUP(_xlfn.CONCAT($AB$3,"_",B23,"_",$AA$2,"_",Parámetros!$C$6),DATA_KPI_PRE!A:F,6,FALSE),0)</f>
        <v>199413.57744537175</v>
      </c>
      <c r="AE23" s="25">
        <f t="shared" si="4"/>
        <v>-0.73616430398570587</v>
      </c>
      <c r="AF23" s="5"/>
      <c r="AG23" s="73">
        <f>IFERROR(VLOOKUP(_xlfn.CONCAT($AG$3,"_",B23,"_",$AG$2,"_",Parámetros!$C$6),DATA_KPI!$A:$H,6,FALSE),0)</f>
        <v>3249839.9699999965</v>
      </c>
      <c r="AH23" s="73">
        <f>IFERROR(VLOOKUP(_xlfn.CONCAT($AH$3,"_",B23,"_",$AG$2,"_",Parámetros!$C$6),DATA_KPI!$A:$H,6,FALSE),0)</f>
        <v>2801887.850000002</v>
      </c>
      <c r="AI23" s="25">
        <f t="shared" si="26"/>
        <v>-0.13783820869185603</v>
      </c>
      <c r="AJ23" s="73">
        <f>IFERROR(VLOOKUP(_xlfn.CONCAT($AH$3,"_",B23,"_",$AG$2,"_",Parámetros!$C$6),DATA_KPI_PRE!A:F,6,FALSE),0)</f>
        <v>3434765.9031175398</v>
      </c>
      <c r="AK23" s="25">
        <f t="shared" si="5"/>
        <v>-0.18425653187692081</v>
      </c>
      <c r="AM23" s="73">
        <f>IFERROR(VLOOKUP(_xlfn.CONCAT($AM$3,"_",B23,"_",$AM$2,"_",Parámetros!$C$6),DATA_KPI!$A:$H,6,FALSE),0)</f>
        <v>13774.34</v>
      </c>
      <c r="AN23" s="73">
        <f>IFERROR(VLOOKUP(_xlfn.CONCAT($AN$3,"_",B23,"_",$AM$2,"_",Parámetros!$C$6),DATA_KPI!$A:$H,6,FALSE),0)</f>
        <v>41858.06</v>
      </c>
      <c r="AO23" s="25">
        <f t="shared" si="6"/>
        <v>3.0388432404020809</v>
      </c>
      <c r="AP23" s="73">
        <f>IFERROR(VLOOKUP(_xlfn.CONCAT($AN$3,"_",B23,"_",$AM$2,"_",Parámetros!$C$6),DATA_KPI_PRE!A:F,6,FALSE),0)</f>
        <v>26405.169468667671</v>
      </c>
      <c r="AQ23" s="25">
        <f t="shared" si="7"/>
        <v>0.58522216832081697</v>
      </c>
      <c r="AS23" s="34">
        <f t="shared" si="27"/>
        <v>0.6772838297838647</v>
      </c>
      <c r="AT23" s="34">
        <f t="shared" si="28"/>
        <v>1.2545315083581728E-2</v>
      </c>
      <c r="AU23" s="34">
        <f t="shared" si="29"/>
        <v>0</v>
      </c>
      <c r="AV23" s="34">
        <f t="shared" si="30"/>
        <v>5.6342611799670012E-3</v>
      </c>
      <c r="AW23" s="34">
        <f t="shared" si="31"/>
        <v>0.30005401659676961</v>
      </c>
      <c r="AX23" s="34">
        <f t="shared" si="32"/>
        <v>4.4825773558169251E-3</v>
      </c>
      <c r="AY23" s="4">
        <f t="shared" si="8"/>
        <v>0.99999999999999989</v>
      </c>
    </row>
    <row r="24" spans="1:51" ht="14.4" x14ac:dyDescent="0.3">
      <c r="A24" s="1" t="s">
        <v>19</v>
      </c>
      <c r="B24" s="1" t="str">
        <f>IF(IFERROR(VLOOKUP(A24,DATA_KPI!$D:$H,5,FALSE),"")="",VLOOKUP(A24,DATA_KPI_PRE!$D:$H,5,FALSE),VLOOKUP(A24,DATA_KPI!$D:$H,5,FALSE))</f>
        <v>S19</v>
      </c>
      <c r="C24" s="68">
        <f>IFERROR(VLOOKUP(_xlfn.CONCAT($C$3,"_",B24,"_",$C$2,"_",Parámetros!$C$6),DATA_KPI!$A:$H,6,FALSE),0)</f>
        <v>30405629.829999991</v>
      </c>
      <c r="D24" s="68">
        <f>IFERROR(VLOOKUP(_xlfn.CONCAT($D$3,"_",B24,"_",$C$2,"_",Parámetros!$C$6),DATA_KPI!A:H,6,FALSE),0)</f>
        <v>29801655.309999999</v>
      </c>
      <c r="E24" s="34">
        <f t="shared" si="21"/>
        <v>-1.9863904263021537E-2</v>
      </c>
      <c r="F24" s="68">
        <f>IFERROR(VLOOKUP(_xlfn.CONCAT($D$3,"_",B24,"_",$C$2,"_",Parámetros!$C$6),DATA_KPI_PRE!$A:$F,6,FALSE),0)</f>
        <v>30477251.418612018</v>
      </c>
      <c r="G24" s="34">
        <f t="shared" si="0"/>
        <v>-2.2167225624533882E-2</v>
      </c>
      <c r="H24" s="34"/>
      <c r="I24" s="73">
        <f>IFERROR(VLOOKUP(_xlfn.CONCAT($I$3,"_",B24,"_",$I$2,"_",Parámetros!$C$6),DATA_KPI!$A:$H,6,FALSE),0)</f>
        <v>19574540.980000008</v>
      </c>
      <c r="J24" s="73">
        <f>IFERROR(VLOOKUP(_xlfn.CONCAT($J$3,"_",B24,"_",$I$2,"_",Parámetros!$C$6),DATA_KPI!$A:$H,6,FALSE),0)</f>
        <v>19373315.430000007</v>
      </c>
      <c r="K24" s="22">
        <f t="shared" si="22"/>
        <v>-1.0279962641555729E-2</v>
      </c>
      <c r="L24" s="75">
        <f>IFERROR(VLOOKUP(_xlfn.CONCAT($J$3,"_",B24,"_",$I$2,"_",Parámetros!$C$6),DATA_KPI_PRE!A:F,6,FALSE),0)</f>
        <v>18187238.822678689</v>
      </c>
      <c r="M24" s="34">
        <f t="shared" si="1"/>
        <v>6.5214770580915848E-2</v>
      </c>
      <c r="N24" s="4"/>
      <c r="O24" s="73">
        <f>IFERROR(VLOOKUP(_xlfn.CONCAT($O$3,"_",B24,"_",$O$2,"_",Parámetros!$C$6),DATA_KPI!$A:$H,6,FALSE),0)</f>
        <v>2198557.14</v>
      </c>
      <c r="P24" s="73">
        <f>IFERROR(VLOOKUP(_xlfn.CONCAT($P$3,"_",B24,"_",$O$2,"_",Parámetros!$C$6),DATA_KPI!$A:$H,6,FALSE),0)</f>
        <v>1672345.7700000012</v>
      </c>
      <c r="Q24" s="22">
        <f t="shared" si="23"/>
        <v>-0.23934395901122629</v>
      </c>
      <c r="R24" s="73">
        <f>IFERROR(VLOOKUP(_xlfn.CONCAT($P$3,"_",B24,"_",$O$2,"_",Parámetros!$C$6),DATA_KPI_PRE!A:F,6,FALSE),0)</f>
        <v>2374930.6401548288</v>
      </c>
      <c r="S24" s="25">
        <f t="shared" si="2"/>
        <v>-0.29583384806093704</v>
      </c>
      <c r="T24" s="4"/>
      <c r="U24" s="73">
        <f>IFERROR(VLOOKUP(_xlfn.CONCAT($U$3,"_",B24,"_",$U$2,"_",Parámetros!$C$6),DATA_KPI!$A:$H,6,FALSE),0)</f>
        <v>0</v>
      </c>
      <c r="V24" s="73">
        <f>IFERROR(VLOOKUP(_xlfn.CONCAT($V$3,"_",B24,"_",$U$2,"_",Parámetros!$C$6),DATA_KPI!$A:$H,6,FALSE),0)</f>
        <v>0</v>
      </c>
      <c r="W24" s="4">
        <f t="shared" si="24"/>
        <v>0</v>
      </c>
      <c r="X24" s="73">
        <f>IFERROR(VLOOKUP(_xlfn.CONCAT($V$3,"_",B24,"_",$U$2,"_",Parámetros!$C$6),DATA_KPI_PRE!A:F,6,FALSE),0)</f>
        <v>0</v>
      </c>
      <c r="Y24" s="25">
        <f t="shared" si="3"/>
        <v>0</v>
      </c>
      <c r="Z24" s="4"/>
      <c r="AA24" s="73">
        <f>IFERROR(VLOOKUP(_xlfn.CONCAT($AA$3,"_",B24,"_",$AA$2,"_",Parámetros!$C$6),DATA_KPI!$A:$H,6,FALSE),0)</f>
        <v>447181.57999999996</v>
      </c>
      <c r="AB24" s="73">
        <f>IFERROR(VLOOKUP(_xlfn.CONCAT($AB$3,"_",B24,"_",$AA$2,"_",Parámetros!$C$6),DATA_KPI!$A:$H,6,FALSE),0)</f>
        <v>510349.7699999999</v>
      </c>
      <c r="AC24" s="4">
        <f t="shared" si="25"/>
        <v>0.14125847938548808</v>
      </c>
      <c r="AD24" s="73">
        <f>IFERROR(VLOOKUP(_xlfn.CONCAT($AB$3,"_",B24,"_",$AA$2,"_",Parámetros!$C$6),DATA_KPI_PRE!A:F,6,FALSE),0)</f>
        <v>954627.8732762587</v>
      </c>
      <c r="AE24" s="25">
        <f t="shared" si="4"/>
        <v>-0.46539401971525052</v>
      </c>
      <c r="AF24" s="5"/>
      <c r="AG24" s="73">
        <f>IFERROR(VLOOKUP(_xlfn.CONCAT($AG$3,"_",B24,"_",$AG$2,"_",Parámetros!$C$6),DATA_KPI!$A:$H,6,FALSE),0)</f>
        <v>8178633.3199999845</v>
      </c>
      <c r="AH24" s="73">
        <f>IFERROR(VLOOKUP(_xlfn.CONCAT($AH$3,"_",B24,"_",$AG$2,"_",Parámetros!$C$6),DATA_KPI!$A:$H,6,FALSE),0)</f>
        <v>8213909.8299999908</v>
      </c>
      <c r="AI24" s="25">
        <f t="shared" si="26"/>
        <v>4.3132524249180904E-3</v>
      </c>
      <c r="AJ24" s="73">
        <f>IFERROR(VLOOKUP(_xlfn.CONCAT($AH$3,"_",B24,"_",$AG$2,"_",Parámetros!$C$6),DATA_KPI_PRE!A:F,6,FALSE),0)</f>
        <v>8890922.6054026969</v>
      </c>
      <c r="AK24" s="25">
        <f t="shared" si="5"/>
        <v>-7.6146515434889706E-2</v>
      </c>
      <c r="AM24" s="73">
        <f>IFERROR(VLOOKUP(_xlfn.CONCAT($AM$3,"_",B24,"_",$AM$2,"_",Parámetros!$C$6),DATA_KPI!$A:$H,6,FALSE),0)</f>
        <v>6716.81</v>
      </c>
      <c r="AN24" s="73">
        <f>IFERROR(VLOOKUP(_xlfn.CONCAT($AN$3,"_",B24,"_",$AM$2,"_",Parámetros!$C$6),DATA_KPI!$A:$H,6,FALSE),0)</f>
        <v>31734.510000000002</v>
      </c>
      <c r="AO24" s="25">
        <f t="shared" si="6"/>
        <v>4.7246401193423662</v>
      </c>
      <c r="AP24" s="73">
        <f>IFERROR(VLOOKUP(_xlfn.CONCAT($AN$3,"_",B24,"_",$AM$2,"_",Parámetros!$C$6),DATA_KPI_PRE!A:F,6,FALSE),0)</f>
        <v>69531.477099544252</v>
      </c>
      <c r="AQ24" s="25">
        <f t="shared" si="7"/>
        <v>-0.54359505473229752</v>
      </c>
      <c r="AS24" s="34">
        <f t="shared" si="27"/>
        <v>0.65007514611107042</v>
      </c>
      <c r="AT24" s="34">
        <f t="shared" si="28"/>
        <v>5.6115868484622147E-2</v>
      </c>
      <c r="AU24" s="34">
        <f t="shared" si="29"/>
        <v>0</v>
      </c>
      <c r="AV24" s="34">
        <f t="shared" si="30"/>
        <v>1.7124879966944357E-2</v>
      </c>
      <c r="AW24" s="34">
        <f t="shared" si="31"/>
        <v>0.275619248144374</v>
      </c>
      <c r="AX24" s="34">
        <f t="shared" si="32"/>
        <v>1.064857292989072E-3</v>
      </c>
      <c r="AY24" s="4">
        <f t="shared" si="8"/>
        <v>1</v>
      </c>
    </row>
    <row r="25" spans="1:51" ht="14.4" x14ac:dyDescent="0.3">
      <c r="A25" s="1" t="s">
        <v>25</v>
      </c>
      <c r="B25" s="1" t="s">
        <v>91</v>
      </c>
      <c r="C25" s="68">
        <f>IFERROR(VLOOKUP(_xlfn.CONCAT($C$3,"_",B25,"_",$C$2,"_",Parámetros!$C$6),DATA_KPI!$A:$H,6,FALSE),0)</f>
        <v>11210848.359999998</v>
      </c>
      <c r="D25" s="68">
        <f>IFERROR(VLOOKUP(_xlfn.CONCAT($D$3,"_",B25,"_",$C$2,"_",Parámetros!$C$6),DATA_KPI!A:H,6,FALSE),0)</f>
        <v>8975890.7399999965</v>
      </c>
      <c r="E25" s="38">
        <f t="shared" si="21"/>
        <v>-0.19935668989817656</v>
      </c>
      <c r="F25" s="68">
        <f>IFERROR(VLOOKUP(_xlfn.CONCAT($D$3,"_",B25,"_",$C$2,"_",Parámetros!$C$6),DATA_KPI_PRE!$A:$F,6,FALSE),0)</f>
        <v>10790744.370324187</v>
      </c>
      <c r="G25" s="38">
        <f t="shared" si="0"/>
        <v>-0.16818613879087441</v>
      </c>
      <c r="H25" s="38"/>
      <c r="I25" s="73">
        <f>IFERROR(VLOOKUP(_xlfn.CONCAT($I$3,"_",B25,"_",$I$2,"_",Parámetros!$C$6),DATA_KPI!$A:$H,6,FALSE),0)</f>
        <v>5330410.700000003</v>
      </c>
      <c r="J25" s="73">
        <f>IFERROR(VLOOKUP(_xlfn.CONCAT($J$3,"_",B25,"_",$I$2,"_",Parámetros!$C$6),DATA_KPI!$A:$H,6,FALSE),0)</f>
        <v>4861858.6499999957</v>
      </c>
      <c r="K25" s="22">
        <f t="shared" si="22"/>
        <v>-8.7901678945678019E-2</v>
      </c>
      <c r="L25" s="75">
        <f>IFERROR(VLOOKUP(_xlfn.CONCAT($J$3,"_",B25,"_",$I$2,"_",Parámetros!$C$6),DATA_KPI_PRE!A:F,6,FALSE),0)</f>
        <v>5537749.7148387097</v>
      </c>
      <c r="M25" s="38">
        <f t="shared" si="1"/>
        <v>-0.12205157322795324</v>
      </c>
      <c r="N25" s="4"/>
      <c r="O25" s="73">
        <f>IFERROR(VLOOKUP(_xlfn.CONCAT($O$3,"_",B25,"_",$O$2,"_",Parámetros!$C$6),DATA_KPI!$A:$H,6,FALSE),0)</f>
        <v>342123.30000000005</v>
      </c>
      <c r="P25" s="73">
        <f>IFERROR(VLOOKUP(_xlfn.CONCAT($P$3,"_",B25,"_",$O$2,"_",Parámetros!$C$6),DATA_KPI!$A:$H,6,FALSE),0)</f>
        <v>337342.06000000006</v>
      </c>
      <c r="Q25" s="22">
        <f t="shared" si="23"/>
        <v>-1.3975195492385351E-2</v>
      </c>
      <c r="R25" s="73">
        <f>IFERROR(VLOOKUP(_xlfn.CONCAT($P$3,"_",B25,"_",$O$2,"_",Parámetros!$C$6),DATA_KPI_PRE!A:F,6,FALSE),0)</f>
        <v>119994.93476129034</v>
      </c>
      <c r="S25" s="27">
        <f t="shared" si="2"/>
        <v>1.8113024993187015</v>
      </c>
      <c r="T25" s="4"/>
      <c r="U25" s="73">
        <f>IFERROR(VLOOKUP(_xlfn.CONCAT($U$3,"_",B25,"_",$U$2,"_",Parámetros!$C$6),DATA_KPI!$A:$H,6,FALSE),0)</f>
        <v>0</v>
      </c>
      <c r="V25" s="73">
        <f>IFERROR(VLOOKUP(_xlfn.CONCAT($V$3,"_",B25,"_",$U$2,"_",Parámetros!$C$6),DATA_KPI!$A:$H,6,FALSE),0)</f>
        <v>0</v>
      </c>
      <c r="W25" s="4">
        <f t="shared" si="24"/>
        <v>0</v>
      </c>
      <c r="X25" s="73">
        <f>IFERROR(VLOOKUP(_xlfn.CONCAT($V$3,"_",B25,"_",$U$2,"_",Parámetros!$C$6),DATA_KPI_PRE!A:F,6,FALSE),0)</f>
        <v>0</v>
      </c>
      <c r="Y25" s="27">
        <f t="shared" si="3"/>
        <v>0</v>
      </c>
      <c r="Z25" s="4"/>
      <c r="AA25" s="73">
        <f>IFERROR(VLOOKUP(_xlfn.CONCAT($AA$3,"_",B25,"_",$AA$2,"_",Parámetros!$C$6),DATA_KPI!$A:$H,6,FALSE),0)</f>
        <v>39674.339999999997</v>
      </c>
      <c r="AB25" s="73">
        <f>IFERROR(VLOOKUP(_xlfn.CONCAT($AB$3,"_",B25,"_",$AA$2,"_",Parámetros!$C$6),DATA_KPI!$A:$H,6,FALSE),0)</f>
        <v>0</v>
      </c>
      <c r="AC25" s="4">
        <f t="shared" si="25"/>
        <v>-1</v>
      </c>
      <c r="AD25" s="73">
        <f>IFERROR(VLOOKUP(_xlfn.CONCAT($AB$3,"_",B25,"_",$AA$2,"_",Parámetros!$C$6),DATA_KPI_PRE!A:F,6,FALSE),0)</f>
        <v>16405.851789473687</v>
      </c>
      <c r="AE25" s="27">
        <f t="shared" si="4"/>
        <v>-1</v>
      </c>
      <c r="AF25" s="4"/>
      <c r="AG25" s="73">
        <f>IFERROR(VLOOKUP(_xlfn.CONCAT($AG$3,"_",B25,"_",$AG$2,"_",Parámetros!$C$6),DATA_KPI!$A:$H,6,FALSE),0)</f>
        <v>5495458.599999995</v>
      </c>
      <c r="AH25" s="73">
        <f>IFERROR(VLOOKUP(_xlfn.CONCAT($AH$3,"_",B25,"_",$AG$2,"_",Parámetros!$C$6),DATA_KPI!$A:$H,6,FALSE),0)</f>
        <v>3776690.0300000017</v>
      </c>
      <c r="AI25" s="27">
        <f t="shared" si="26"/>
        <v>-0.31276162648190908</v>
      </c>
      <c r="AJ25" s="73">
        <f>IFERROR(VLOOKUP(_xlfn.CONCAT($AH$3,"_",B25,"_",$AG$2,"_",Parámetros!$C$6),DATA_KPI_PRE!A:F,6,FALSE),0)</f>
        <v>5116593.8689347124</v>
      </c>
      <c r="AK25" s="27">
        <f t="shared" si="5"/>
        <v>-0.26187418295399745</v>
      </c>
      <c r="AM25" s="73">
        <f>IFERROR(VLOOKUP(_xlfn.CONCAT($AM$3,"_",B25,"_",$AM$2,"_",Parámetros!$C$6),DATA_KPI!$A:$H,6,FALSE),0)</f>
        <v>3181.42</v>
      </c>
      <c r="AN25" s="73">
        <f>IFERROR(VLOOKUP(_xlfn.CONCAT($AN$3,"_",B25,"_",$AM$2,"_",Parámetros!$C$6),DATA_KPI!$A:$H,6,FALSE),0)</f>
        <v>0</v>
      </c>
      <c r="AO25" s="27">
        <f t="shared" si="6"/>
        <v>0</v>
      </c>
      <c r="AP25" s="73">
        <f>IFERROR(VLOOKUP(_xlfn.CONCAT($AN$3,"_",B25,"_",$AM$2,"_",Parámetros!$C$6),DATA_KPI_PRE!A:F,6,FALSE),0)</f>
        <v>0</v>
      </c>
      <c r="AQ25" s="27">
        <f t="shared" si="7"/>
        <v>0</v>
      </c>
      <c r="AS25" s="38">
        <f t="shared" si="27"/>
        <v>0.54165751242199256</v>
      </c>
      <c r="AT25" s="38">
        <f t="shared" si="28"/>
        <v>3.7583129047758464E-2</v>
      </c>
      <c r="AU25" s="38">
        <f t="shared" si="29"/>
        <v>0</v>
      </c>
      <c r="AV25" s="38">
        <f t="shared" si="30"/>
        <v>0</v>
      </c>
      <c r="AW25" s="38">
        <f t="shared" si="31"/>
        <v>0.42075935853024915</v>
      </c>
      <c r="AX25" s="38">
        <f t="shared" si="32"/>
        <v>0</v>
      </c>
      <c r="AY25" s="4">
        <f t="shared" si="8"/>
        <v>1.0000000000000002</v>
      </c>
    </row>
    <row r="26" spans="1:51" ht="14.4" x14ac:dyDescent="0.3">
      <c r="A26" s="1" t="s">
        <v>20</v>
      </c>
      <c r="B26" s="1" t="str">
        <f>IF(IFERROR(VLOOKUP(A26,DATA_KPI!$D:$H,5,FALSE),"")="",VLOOKUP(A26,DATA_KPI_PRE!$D:$H,5,FALSE),VLOOKUP(A26,DATA_KPI!$D:$H,5,FALSE))</f>
        <v>S10</v>
      </c>
      <c r="C26" s="68">
        <f>IFERROR(VLOOKUP(_xlfn.CONCAT($C$3,"_",B26,"_",$C$2,"_",Parámetros!$C$6),DATA_KPI!$A:$H,6,FALSE),0)</f>
        <v>10271152.879999995</v>
      </c>
      <c r="D26" s="68">
        <f>IFERROR(VLOOKUP(_xlfn.CONCAT($D$3,"_",B26,"_",$C$2,"_",Parámetros!$C$6),DATA_KPI!A:H,6,FALSE),0)</f>
        <v>11624834.060000002</v>
      </c>
      <c r="E26" s="34">
        <f t="shared" si="21"/>
        <v>0.13179447291023161</v>
      </c>
      <c r="F26" s="68">
        <f>IFERROR(VLOOKUP(_xlfn.CONCAT($D$3,"_",B26,"_",$C$2,"_",Parámetros!$C$6),DATA_KPI_PRE!$A:$F,6,FALSE),0)</f>
        <v>13330190.413495416</v>
      </c>
      <c r="G26" s="34">
        <f t="shared" si="0"/>
        <v>-0.12793188248600851</v>
      </c>
      <c r="H26" s="34"/>
      <c r="I26" s="73">
        <f>IFERROR(VLOOKUP(_xlfn.CONCAT($I$3,"_",B26,"_",$I$2,"_",Parámetros!$C$6),DATA_KPI!$A:$H,6,FALSE),0)</f>
        <v>7379897.3099999949</v>
      </c>
      <c r="J26" s="73">
        <f>IFERROR(VLOOKUP(_xlfn.CONCAT($J$3,"_",B26,"_",$I$2,"_",Parámetros!$C$6),DATA_KPI!$A:$H,6,FALSE),0)</f>
        <v>8423304.0199999996</v>
      </c>
      <c r="K26" s="22">
        <f t="shared" si="22"/>
        <v>0.14138499035564567</v>
      </c>
      <c r="L26" s="75">
        <f>IFERROR(VLOOKUP(_xlfn.CONCAT($J$3,"_",B26,"_",$I$2,"_",Parámetros!$C$6),DATA_KPI_PRE!A:F,6,FALSE),0)</f>
        <v>9624031.3687827364</v>
      </c>
      <c r="M26" s="34">
        <f t="shared" si="1"/>
        <v>-0.12476344920045779</v>
      </c>
      <c r="N26" s="4"/>
      <c r="O26" s="73">
        <f>IFERROR(VLOOKUP(_xlfn.CONCAT($O$3,"_",B26,"_",$O$2,"_",Parámetros!$C$6),DATA_KPI!$A:$H,6,FALSE),0)</f>
        <v>273078.78000000003</v>
      </c>
      <c r="P26" s="73">
        <f>IFERROR(VLOOKUP(_xlfn.CONCAT($P$3,"_",B26,"_",$O$2,"_",Parámetros!$C$6),DATA_KPI!$A:$H,6,FALSE),0)</f>
        <v>54651.03</v>
      </c>
      <c r="Q26" s="22">
        <f t="shared" si="23"/>
        <v>-0.79987082848400015</v>
      </c>
      <c r="R26" s="73">
        <f>IFERROR(VLOOKUP(_xlfn.CONCAT($P$3,"_",B26,"_",$O$2,"_",Parámetros!$C$6),DATA_KPI_PRE!A:F,6,FALSE),0)</f>
        <v>411730.14787917852</v>
      </c>
      <c r="S26" s="25">
        <f t="shared" si="2"/>
        <v>-0.86726492999964322</v>
      </c>
      <c r="T26" s="5"/>
      <c r="U26" s="73">
        <f>IFERROR(VLOOKUP(_xlfn.CONCAT($U$3,"_",B26,"_",$U$2,"_",Parámetros!$C$6),DATA_KPI!$A:$H,6,FALSE),0)</f>
        <v>0</v>
      </c>
      <c r="V26" s="73">
        <f>IFERROR(VLOOKUP(_xlfn.CONCAT($V$3,"_",B26,"_",$U$2,"_",Parámetros!$C$6),DATA_KPI!$A:$H,6,FALSE),0)</f>
        <v>0</v>
      </c>
      <c r="W26" s="4">
        <f t="shared" si="24"/>
        <v>0</v>
      </c>
      <c r="X26" s="73">
        <f>IFERROR(VLOOKUP(_xlfn.CONCAT($V$3,"_",B26,"_",$U$2,"_",Parámetros!$C$6),DATA_KPI_PRE!A:F,6,FALSE),0)</f>
        <v>0</v>
      </c>
      <c r="Y26" s="25">
        <f t="shared" si="3"/>
        <v>0</v>
      </c>
      <c r="Z26" s="4"/>
      <c r="AA26" s="73">
        <f>IFERROR(VLOOKUP(_xlfn.CONCAT($AA$3,"_",B26,"_",$AA$2,"_",Parámetros!$C$6),DATA_KPI!$A:$H,6,FALSE),0)</f>
        <v>0</v>
      </c>
      <c r="AB26" s="73">
        <f>IFERROR(VLOOKUP(_xlfn.CONCAT($AB$3,"_",B26,"_",$AA$2,"_",Parámetros!$C$6),DATA_KPI!$A:$H,6,FALSE),0)</f>
        <v>0</v>
      </c>
      <c r="AC26" s="4">
        <f t="shared" si="25"/>
        <v>0</v>
      </c>
      <c r="AD26" s="73">
        <f>IFERROR(VLOOKUP(_xlfn.CONCAT($AB$3,"_",B26,"_",$AA$2,"_",Parámetros!$C$6),DATA_KPI_PRE!A:F,6,FALSE),0)</f>
        <v>0</v>
      </c>
      <c r="AE26" s="25">
        <f t="shared" si="4"/>
        <v>0</v>
      </c>
      <c r="AF26" s="5"/>
      <c r="AG26" s="73">
        <f>IFERROR(VLOOKUP(_xlfn.CONCAT($AG$3,"_",B26,"_",$AG$2,"_",Parámetros!$C$6),DATA_KPI!$A:$H,6,FALSE),0)</f>
        <v>2618176.7900000005</v>
      </c>
      <c r="AH26" s="73">
        <f>IFERROR(VLOOKUP(_xlfn.CONCAT($AH$3,"_",B26,"_",$AG$2,"_",Parámetros!$C$6),DATA_KPI!$A:$H,6,FALSE),0)</f>
        <v>3146879.0100000044</v>
      </c>
      <c r="AI26" s="25">
        <f t="shared" si="26"/>
        <v>0.20193526350831492</v>
      </c>
      <c r="AJ26" s="73">
        <f>IFERROR(VLOOKUP(_xlfn.CONCAT($AH$3,"_",B26,"_",$AG$2,"_",Parámetros!$C$6),DATA_KPI_PRE!A:F,6,FALSE),0)</f>
        <v>3294428.8968335022</v>
      </c>
      <c r="AK26" s="25">
        <f t="shared" si="5"/>
        <v>-4.4787698097026096E-2</v>
      </c>
      <c r="AM26" s="73">
        <f>IFERROR(VLOOKUP(_xlfn.CONCAT($AM$3,"_",B26,"_",$AM$2,"_",Parámetros!$C$6),DATA_KPI!$A:$H,6,FALSE),0)</f>
        <v>0</v>
      </c>
      <c r="AN26" s="73">
        <f>IFERROR(VLOOKUP(_xlfn.CONCAT($AN$3,"_",B26,"_",$AM$2,"_",Parámetros!$C$6),DATA_KPI!$A:$H,6,FALSE),0)</f>
        <v>0</v>
      </c>
      <c r="AO26" s="25">
        <f t="shared" si="6"/>
        <v>0</v>
      </c>
      <c r="AP26" s="73">
        <f>IFERROR(VLOOKUP(_xlfn.CONCAT($AN$3,"_",B26,"_",$AM$2,"_",Parámetros!$C$6),DATA_KPI_PRE!A:F,6,FALSE),0)</f>
        <v>0</v>
      </c>
      <c r="AQ26" s="25">
        <f t="shared" si="7"/>
        <v>0</v>
      </c>
      <c r="AS26" s="34">
        <f t="shared" si="27"/>
        <v>0.72459563521717896</v>
      </c>
      <c r="AT26" s="34">
        <f t="shared" si="28"/>
        <v>4.701230978259658E-3</v>
      </c>
      <c r="AU26" s="34">
        <f t="shared" si="29"/>
        <v>0</v>
      </c>
      <c r="AV26" s="34">
        <f t="shared" si="30"/>
        <v>0</v>
      </c>
      <c r="AW26" s="34">
        <f t="shared" si="31"/>
        <v>0.27070313380456151</v>
      </c>
      <c r="AX26" s="34">
        <f t="shared" si="32"/>
        <v>0</v>
      </c>
      <c r="AY26" s="4">
        <f t="shared" si="8"/>
        <v>1.0000000000000002</v>
      </c>
    </row>
    <row r="27" spans="1:51" ht="14.4" x14ac:dyDescent="0.3">
      <c r="A27" s="1" t="s">
        <v>21</v>
      </c>
      <c r="B27" s="1" t="str">
        <f>IF(IFERROR(VLOOKUP(A27,DATA_KPI!$D:$H,5,FALSE),"")="",VLOOKUP(A27,DATA_KPI_PRE!$D:$H,5,FALSE),VLOOKUP(A27,DATA_KPI!$D:$H,5,FALSE))</f>
        <v>S14</v>
      </c>
      <c r="C27" s="68">
        <f>IFERROR(VLOOKUP(_xlfn.CONCAT($C$3,"_",B27,"_",$C$2,"_",Parámetros!$C$6),DATA_KPI!$A:$H,6,FALSE),0)</f>
        <v>21214457.199999996</v>
      </c>
      <c r="D27" s="68">
        <f>IFERROR(VLOOKUP(_xlfn.CONCAT($D$3,"_",B27,"_",$C$2,"_",Parámetros!$C$6),DATA_KPI!A:H,6,FALSE),0)</f>
        <v>18728574.18999999</v>
      </c>
      <c r="E27" s="34">
        <f t="shared" si="21"/>
        <v>-0.11717872329064383</v>
      </c>
      <c r="F27" s="68">
        <f>IFERROR(VLOOKUP(_xlfn.CONCAT($D$3,"_",B27,"_",$C$2,"_",Parámetros!$C$6),DATA_KPI_PRE!$A:$F,6,FALSE),0)</f>
        <v>20135196.210359801</v>
      </c>
      <c r="G27" s="34">
        <f t="shared" si="0"/>
        <v>-6.9858868305245791E-2</v>
      </c>
      <c r="H27" s="34"/>
      <c r="I27" s="73">
        <f>IFERROR(VLOOKUP(_xlfn.CONCAT($I$3,"_",B27,"_",$I$2,"_",Parámetros!$C$6),DATA_KPI!$A:$H,6,FALSE),0)</f>
        <v>11433379.209999997</v>
      </c>
      <c r="J27" s="73">
        <f>IFERROR(VLOOKUP(_xlfn.CONCAT($J$3,"_",B27,"_",$I$2,"_",Parámetros!$C$6),DATA_KPI!$A:$H,6,FALSE),0)</f>
        <v>10095201.379999992</v>
      </c>
      <c r="K27" s="22">
        <f t="shared" si="22"/>
        <v>-0.11704132307879656</v>
      </c>
      <c r="L27" s="75">
        <f>IFERROR(VLOOKUP(_xlfn.CONCAT($J$3,"_",B27,"_",$I$2,"_",Parámetros!$C$6),DATA_KPI_PRE!A:F,6,FALSE),0)</f>
        <v>10054692.959213505</v>
      </c>
      <c r="M27" s="34">
        <f t="shared" si="1"/>
        <v>4.0288073391010482E-3</v>
      </c>
      <c r="N27" s="4"/>
      <c r="O27" s="73">
        <f>IFERROR(VLOOKUP(_xlfn.CONCAT($O$3,"_",B27,"_",$O$2,"_",Parámetros!$C$6),DATA_KPI!$A:$H,6,FALSE),0)</f>
        <v>1407968.5499999998</v>
      </c>
      <c r="P27" s="73">
        <f>IFERROR(VLOOKUP(_xlfn.CONCAT($P$3,"_",B27,"_",$O$2,"_",Parámetros!$C$6),DATA_KPI!$A:$H,6,FALSE),0)</f>
        <v>1241475.22</v>
      </c>
      <c r="Q27" s="22">
        <f t="shared" si="23"/>
        <v>-0.1182507450184167</v>
      </c>
      <c r="R27" s="73">
        <f>IFERROR(VLOOKUP(_xlfn.CONCAT($P$3,"_",B27,"_",$O$2,"_",Parámetros!$C$6),DATA_KPI_PRE!A:F,6,FALSE),0)</f>
        <v>1337923.789204068</v>
      </c>
      <c r="S27" s="25">
        <f t="shared" si="2"/>
        <v>-7.2088238494843804E-2</v>
      </c>
      <c r="T27" s="5"/>
      <c r="U27" s="73">
        <f>IFERROR(VLOOKUP(_xlfn.CONCAT($U$3,"_",B27,"_",$U$2,"_",Parámetros!$C$6),DATA_KPI!$A:$H,6,FALSE),0)</f>
        <v>0</v>
      </c>
      <c r="V27" s="73">
        <f>IFERROR(VLOOKUP(_xlfn.CONCAT($V$3,"_",B27,"_",$U$2,"_",Parámetros!$C$6),DATA_KPI!$A:$H,6,FALSE),0)</f>
        <v>0</v>
      </c>
      <c r="W27" s="4">
        <f t="shared" si="24"/>
        <v>0</v>
      </c>
      <c r="X27" s="73">
        <f>IFERROR(VLOOKUP(_xlfn.CONCAT($V$3,"_",B27,"_",$U$2,"_",Parámetros!$C$6),DATA_KPI_PRE!A:F,6,FALSE),0)</f>
        <v>0</v>
      </c>
      <c r="Y27" s="25">
        <f t="shared" si="3"/>
        <v>0</v>
      </c>
      <c r="Z27" s="4"/>
      <c r="AA27" s="73">
        <f>IFERROR(VLOOKUP(_xlfn.CONCAT($AA$3,"_",B27,"_",$AA$2,"_",Parámetros!$C$6),DATA_KPI!$A:$H,6,FALSE),0)</f>
        <v>443617.91000000003</v>
      </c>
      <c r="AB27" s="73">
        <f>IFERROR(VLOOKUP(_xlfn.CONCAT($AB$3,"_",B27,"_",$AA$2,"_",Parámetros!$C$6),DATA_KPI!$A:$H,6,FALSE),0)</f>
        <v>118902.76</v>
      </c>
      <c r="AC27" s="4">
        <f t="shared" si="25"/>
        <v>-0.73197033456110916</v>
      </c>
      <c r="AD27" s="73">
        <f>IFERROR(VLOOKUP(_xlfn.CONCAT($AB$3,"_",B27,"_",$AA$2,"_",Parámetros!$C$6),DATA_KPI_PRE!A:F,6,FALSE),0)</f>
        <v>1106018.2103007371</v>
      </c>
      <c r="AE27" s="25">
        <f t="shared" si="4"/>
        <v>-0.89249475380005794</v>
      </c>
      <c r="AF27" s="5"/>
      <c r="AG27" s="73">
        <f>IFERROR(VLOOKUP(_xlfn.CONCAT($AG$3,"_",B27,"_",$AG$2,"_",Parámetros!$C$6),DATA_KPI!$A:$H,6,FALSE),0)</f>
        <v>7896721.6000000006</v>
      </c>
      <c r="AH27" s="73">
        <f>IFERROR(VLOOKUP(_xlfn.CONCAT($AH$3,"_",B27,"_",$AG$2,"_",Parámetros!$C$6),DATA_KPI!$A:$H,6,FALSE),0)</f>
        <v>7253177.1299999971</v>
      </c>
      <c r="AI27" s="25">
        <f t="shared" si="26"/>
        <v>-8.1495144769951566E-2</v>
      </c>
      <c r="AJ27" s="73">
        <f>IFERROR(VLOOKUP(_xlfn.CONCAT($AH$3,"_",B27,"_",$AG$2,"_",Parámetros!$C$6),DATA_KPI_PRE!A:F,6,FALSE),0)</f>
        <v>7587503.5003996985</v>
      </c>
      <c r="AK27" s="25">
        <f t="shared" si="5"/>
        <v>-4.4062763250401038E-2</v>
      </c>
      <c r="AM27" s="73">
        <f>IFERROR(VLOOKUP(_xlfn.CONCAT($AM$3,"_",B27,"_",$AM$2,"_",Parámetros!$C$6),DATA_KPI!$A:$H,6,FALSE),0)</f>
        <v>32769.93</v>
      </c>
      <c r="AN27" s="73">
        <f>IFERROR(VLOOKUP(_xlfn.CONCAT($AN$3,"_",B27,"_",$AM$2,"_",Parámetros!$C$6),DATA_KPI!$A:$H,6,FALSE),0)</f>
        <v>19817.699999999997</v>
      </c>
      <c r="AO27" s="25">
        <f t="shared" si="6"/>
        <v>0.60475258872997273</v>
      </c>
      <c r="AP27" s="73">
        <f>IFERROR(VLOOKUP(_xlfn.CONCAT($AN$3,"_",B27,"_",$AM$2,"_",Parámetros!$C$6),DATA_KPI_PRE!A:F,6,FALSE),0)</f>
        <v>49057.751241791193</v>
      </c>
      <c r="AQ27" s="25">
        <f t="shared" si="7"/>
        <v>-0.59603325675642171</v>
      </c>
      <c r="AS27" s="34">
        <f t="shared" si="27"/>
        <v>0.53902669138530923</v>
      </c>
      <c r="AT27" s="34">
        <f t="shared" si="28"/>
        <v>6.6287759410050454E-2</v>
      </c>
      <c r="AU27" s="34">
        <f t="shared" si="29"/>
        <v>0</v>
      </c>
      <c r="AV27" s="34">
        <f t="shared" si="30"/>
        <v>6.3487352957966982E-3</v>
      </c>
      <c r="AW27" s="34">
        <f t="shared" si="31"/>
        <v>0.38727866074678485</v>
      </c>
      <c r="AX27" s="34">
        <f t="shared" si="32"/>
        <v>1.0581531620587295E-3</v>
      </c>
      <c r="AY27" s="4">
        <f t="shared" si="8"/>
        <v>1</v>
      </c>
    </row>
    <row r="28" spans="1:51" ht="14.4" x14ac:dyDescent="0.3">
      <c r="A28" s="1" t="s">
        <v>22</v>
      </c>
      <c r="B28" s="1" t="str">
        <f>IF(IFERROR(VLOOKUP(A28,DATA_KPI!$D:$H,5,FALSE),"")="",VLOOKUP(A28,DATA_KPI_PRE!$D:$H,5,FALSE),VLOOKUP(A28,DATA_KPI!$D:$H,5,FALSE))</f>
        <v>S21</v>
      </c>
      <c r="C28" s="68">
        <f>IFERROR(VLOOKUP(_xlfn.CONCAT($C$3,"_",B28,"_",$C$2,"_",Parámetros!$C$6),DATA_KPI!$A:$H,6,FALSE),0)</f>
        <v>18082463.460000012</v>
      </c>
      <c r="D28" s="68">
        <f>IFERROR(VLOOKUP(_xlfn.CONCAT($D$3,"_",B28,"_",$C$2,"_",Parámetros!$C$6),DATA_KPI!A:H,6,FALSE),0)</f>
        <v>14768521.810000001</v>
      </c>
      <c r="E28" s="38">
        <f t="shared" si="21"/>
        <v>-0.18326826194510171</v>
      </c>
      <c r="F28" s="68">
        <f>IFERROR(VLOOKUP(_xlfn.CONCAT($D$3,"_",B28,"_",$C$2,"_",Parámetros!$C$6),DATA_KPI_PRE!$A:$F,6,FALSE),0)</f>
        <v>17317823.30522237</v>
      </c>
      <c r="G28" s="38">
        <f t="shared" si="0"/>
        <v>-0.14720680828598132</v>
      </c>
      <c r="H28" s="38"/>
      <c r="I28" s="73">
        <f>IFERROR(VLOOKUP(_xlfn.CONCAT($I$3,"_",B28,"_",$I$2,"_",Parámetros!$C$6),DATA_KPI!$A:$H,6,FALSE),0)</f>
        <v>15150638.45000001</v>
      </c>
      <c r="J28" s="73">
        <f>IFERROR(VLOOKUP(_xlfn.CONCAT($J$3,"_",B28,"_",$I$2,"_",Parámetros!$C$6),DATA_KPI!$A:$H,6,FALSE),0)</f>
        <v>11849654.549999999</v>
      </c>
      <c r="K28" s="22">
        <f t="shared" si="22"/>
        <v>-0.21787754429583195</v>
      </c>
      <c r="L28" s="75">
        <f>IFERROR(VLOOKUP(_xlfn.CONCAT($J$3,"_",B28,"_",$I$2,"_",Parámetros!$C$6),DATA_KPI_PRE!A:F,6,FALSE),0)</f>
        <v>14044565.168151481</v>
      </c>
      <c r="M28" s="38">
        <f t="shared" si="1"/>
        <v>-0.15628184937536038</v>
      </c>
      <c r="N28" s="4"/>
      <c r="O28" s="73">
        <f>IFERROR(VLOOKUP(_xlfn.CONCAT($O$3,"_",B28,"_",$O$2,"_",Parámetros!$C$6),DATA_KPI!$A:$H,6,FALSE),0)</f>
        <v>315489.59000000008</v>
      </c>
      <c r="P28" s="73">
        <f>IFERROR(VLOOKUP(_xlfn.CONCAT($P$3,"_",B28,"_",$O$2,"_",Parámetros!$C$6),DATA_KPI!$A:$H,6,FALSE),0)</f>
        <v>208915.63000000006</v>
      </c>
      <c r="Q28" s="22">
        <f t="shared" si="23"/>
        <v>-0.3378049969889656</v>
      </c>
      <c r="R28" s="73">
        <f>IFERROR(VLOOKUP(_xlfn.CONCAT($P$3,"_",B28,"_",$O$2,"_",Parámetros!$C$6),DATA_KPI_PRE!A:F,6,FALSE),0)</f>
        <v>767353.72684919136</v>
      </c>
      <c r="S28" s="27">
        <f t="shared" si="2"/>
        <v>-0.72774533739762703</v>
      </c>
      <c r="T28" s="5"/>
      <c r="U28" s="73">
        <f>IFERROR(VLOOKUP(_xlfn.CONCAT($U$3,"_",B28,"_",$U$2,"_",Parámetros!$C$6),DATA_KPI!$A:$H,6,FALSE),0)</f>
        <v>0</v>
      </c>
      <c r="V28" s="73">
        <f>IFERROR(VLOOKUP(_xlfn.CONCAT($V$3,"_",B28,"_",$U$2,"_",Parámetros!$C$6),DATA_KPI!$A:$H,6,FALSE),0)</f>
        <v>0</v>
      </c>
      <c r="W28" s="4">
        <f t="shared" si="24"/>
        <v>0</v>
      </c>
      <c r="X28" s="73">
        <f>IFERROR(VLOOKUP(_xlfn.CONCAT($V$3,"_",B28,"_",$U$2,"_",Parámetros!$C$6),DATA_KPI_PRE!A:F,6,FALSE),0)</f>
        <v>0</v>
      </c>
      <c r="Y28" s="27">
        <f t="shared" si="3"/>
        <v>0</v>
      </c>
      <c r="Z28" s="4"/>
      <c r="AA28" s="73">
        <f>IFERROR(VLOOKUP(_xlfn.CONCAT($AA$3,"_",B28,"_",$AA$2,"_",Parámetros!$C$6),DATA_KPI!$A:$H,6,FALSE),0)</f>
        <v>0</v>
      </c>
      <c r="AB28" s="73">
        <f>IFERROR(VLOOKUP(_xlfn.CONCAT($AB$3,"_",B28,"_",$AA$2,"_",Parámetros!$C$6),DATA_KPI!$A:$H,6,FALSE),0)</f>
        <v>0</v>
      </c>
      <c r="AC28" s="4">
        <f t="shared" si="25"/>
        <v>0</v>
      </c>
      <c r="AD28" s="73">
        <f>IFERROR(VLOOKUP(_xlfn.CONCAT($AB$3,"_",B28,"_",$AA$2,"_",Parámetros!$C$6),DATA_KPI_PRE!A:F,6,FALSE),0)</f>
        <v>0</v>
      </c>
      <c r="AE28" s="27">
        <f t="shared" si="4"/>
        <v>0</v>
      </c>
      <c r="AF28" s="5"/>
      <c r="AG28" s="73">
        <f>IFERROR(VLOOKUP(_xlfn.CONCAT($AG$3,"_",B28,"_",$AG$2,"_",Parámetros!$C$6),DATA_KPI!$A:$H,6,FALSE),0)</f>
        <v>2616335.4200000009</v>
      </c>
      <c r="AH28" s="73">
        <f>IFERROR(VLOOKUP(_xlfn.CONCAT($AH$3,"_",B28,"_",$AG$2,"_",Parámetros!$C$6),DATA_KPI!$A:$H,6,FALSE),0)</f>
        <v>2709951.6300000008</v>
      </c>
      <c r="AI28" s="27">
        <f t="shared" si="26"/>
        <v>3.578142515075533E-2</v>
      </c>
      <c r="AJ28" s="73">
        <f>IFERROR(VLOOKUP(_xlfn.CONCAT($AH$3,"_",B28,"_",$AG$2,"_",Parámetros!$C$6),DATA_KPI_PRE!A:F,6,FALSE),0)</f>
        <v>2505904.4102216996</v>
      </c>
      <c r="AK28" s="27">
        <f t="shared" si="5"/>
        <v>8.1426577544611467E-2</v>
      </c>
      <c r="AM28" s="73">
        <f>IFERROR(VLOOKUP(_xlfn.CONCAT($AM$3,"_",B28,"_",$AM$2,"_",Parámetros!$C$6),DATA_KPI!$A:$H,6,FALSE),0)</f>
        <v>0</v>
      </c>
      <c r="AN28" s="73">
        <f>IFERROR(VLOOKUP(_xlfn.CONCAT($AN$3,"_",B28,"_",$AM$2,"_",Parámetros!$C$6),DATA_KPI!$A:$H,6,FALSE),0)</f>
        <v>0</v>
      </c>
      <c r="AO28" s="27">
        <f t="shared" si="6"/>
        <v>0</v>
      </c>
      <c r="AP28" s="73">
        <f>IFERROR(VLOOKUP(_xlfn.CONCAT($AN$3,"_",B28,"_",$AM$2,"_",Parámetros!$C$6),DATA_KPI_PRE!A:F,6,FALSE),0)</f>
        <v>0</v>
      </c>
      <c r="AQ28" s="27">
        <f t="shared" si="7"/>
        <v>0</v>
      </c>
      <c r="AS28" s="38">
        <f t="shared" si="27"/>
        <v>0.80235887534637418</v>
      </c>
      <c r="AT28" s="38">
        <f t="shared" si="28"/>
        <v>1.4146008157603151E-2</v>
      </c>
      <c r="AU28" s="38">
        <f t="shared" si="29"/>
        <v>0</v>
      </c>
      <c r="AV28" s="38">
        <f t="shared" si="30"/>
        <v>0</v>
      </c>
      <c r="AW28" s="38">
        <f t="shared" si="31"/>
        <v>0.18349511649602263</v>
      </c>
      <c r="AX28" s="38">
        <f t="shared" si="32"/>
        <v>0</v>
      </c>
      <c r="AY28" s="4">
        <f t="shared" si="8"/>
        <v>1</v>
      </c>
    </row>
    <row r="29" spans="1:51" thickBot="1" x14ac:dyDescent="0.35">
      <c r="A29" s="1" t="s">
        <v>49</v>
      </c>
      <c r="B29" s="1" t="str">
        <f>IF(IFERROR(VLOOKUP(A29,DATA_KPI!$D:$H,5,FALSE),"")="",VLOOKUP(A29,DATA_KPI_PRE!$D:$H,5,FALSE),VLOOKUP(A29,DATA_KPI!$D:$H,5,FALSE))</f>
        <v>S20</v>
      </c>
      <c r="C29" s="72">
        <f>IFERROR(VLOOKUP(_xlfn.CONCAT($C$3,"_",B29,"_",$C$2,"_",Parámetros!$C$6),DATA_KPI!$A:$H,6,FALSE),0)</f>
        <v>23200859.559999991</v>
      </c>
      <c r="D29" s="72">
        <f>IFERROR(VLOOKUP(_xlfn.CONCAT($D$3,"_",B29,"_",$C$2,"_",Parámetros!$C$6),DATA_KPI!A:H,6,FALSE),0)</f>
        <v>22505365.859999999</v>
      </c>
      <c r="E29" s="36">
        <f>IFERROR(+(D29/C29)-1,0)</f>
        <v>-2.9977066073839542E-2</v>
      </c>
      <c r="F29" s="72">
        <f>IFERROR(VLOOKUP(_xlfn.CONCAT($D$3,"_",B29,"_",$C$2,"_",Parámetros!$C$6),DATA_KPI_PRE!$A:$F,6,FALSE),0)</f>
        <v>22881447.232152693</v>
      </c>
      <c r="G29" s="36">
        <f t="shared" si="0"/>
        <v>-1.643608327467283E-2</v>
      </c>
      <c r="H29" s="38"/>
      <c r="I29" s="74">
        <f>IFERROR(VLOOKUP(_xlfn.CONCAT($I$3,"_",B29,"_",$I$2,"_",Parámetros!$C$6),DATA_KPI!$A:$H,6,FALSE),0)</f>
        <v>15590030.059999993</v>
      </c>
      <c r="J29" s="74">
        <f>IFERROR(VLOOKUP(_xlfn.CONCAT($J$3,"_",B29,"_",$I$2,"_",Parámetros!$C$6),DATA_KPI!$A:$H,6,FALSE),0)</f>
        <v>15093779.969999995</v>
      </c>
      <c r="K29" s="23">
        <f>IFERROR(+(J29/I29)-1,0)</f>
        <v>-3.183124651396585E-2</v>
      </c>
      <c r="L29" s="76">
        <f>IFERROR(VLOOKUP(_xlfn.CONCAT($J$3,"_",B29,"_",$I$2,"_",Parámetros!$C$6),DATA_KPI_PRE!A:F,6,FALSE),0)</f>
        <v>15316810.301619556</v>
      </c>
      <c r="M29" s="36">
        <f>IFERROR(+(J29/L29)-1,0)</f>
        <v>-1.4561147342536329E-2</v>
      </c>
      <c r="N29" s="4"/>
      <c r="O29" s="74">
        <f>IFERROR(VLOOKUP(_xlfn.CONCAT($O$3,"_",B29,"_",$O$2,"_",Parámetros!$C$6),DATA_KPI!$A:$H,6,FALSE),0)</f>
        <v>2614941.9899999998</v>
      </c>
      <c r="P29" s="74">
        <f>IFERROR(VLOOKUP(_xlfn.CONCAT($P$3,"_",B29,"_",$O$2,"_",Parámetros!$C$6),DATA_KPI!$A:$H,6,FALSE),0)</f>
        <v>2170722.1100000008</v>
      </c>
      <c r="Q29" s="23">
        <f>IFERROR(+(P29/O29)-1,0)</f>
        <v>-0.16987752756993246</v>
      </c>
      <c r="R29" s="74">
        <f>IFERROR(VLOOKUP(_xlfn.CONCAT($P$3,"_",B29,"_",$O$2,"_",Parámetros!$C$6),DATA_KPI_PRE!A:F,6,FALSE),0)</f>
        <v>2096643.1817197402</v>
      </c>
      <c r="S29" s="26">
        <f>IFERROR(+(P29/R29)-1,0)</f>
        <v>3.5332158054427909E-2</v>
      </c>
      <c r="T29" s="4"/>
      <c r="U29" s="74">
        <f>IFERROR(VLOOKUP(_xlfn.CONCAT($U$3,"_",B29,"_",$U$2,"_",Parámetros!$C$6),DATA_KPI!$A:$H,6,FALSE),0)</f>
        <v>0</v>
      </c>
      <c r="V29" s="74">
        <f>IFERROR(VLOOKUP(_xlfn.CONCAT($V$3,"_",B29,"_",$U$2,"_",Parámetros!$C$6),DATA_KPI!$A:$H,6,FALSE),0)</f>
        <v>0</v>
      </c>
      <c r="W29" s="13">
        <f>IFERROR(+(V29/U29)-1,0)</f>
        <v>0</v>
      </c>
      <c r="X29" s="74">
        <f>IFERROR(VLOOKUP(_xlfn.CONCAT($V$3,"_",B29,"_",$U$2,"_",Parámetros!$C$6),DATA_KPI_PRE!A:F,6,FALSE),0)</f>
        <v>0</v>
      </c>
      <c r="Y29" s="26">
        <f>IFERROR(+(V29/X29)-1,0)</f>
        <v>0</v>
      </c>
      <c r="Z29" s="4"/>
      <c r="AA29" s="74">
        <f>IFERROR(VLOOKUP(_xlfn.CONCAT($AA$3,"_",B29,"_",$AA$2,"_",Parámetros!$C$6),DATA_KPI!$A:$H,6,FALSE),0)</f>
        <v>861525.13</v>
      </c>
      <c r="AB29" s="74">
        <f>IFERROR(VLOOKUP(_xlfn.CONCAT($AB$3,"_",B29,"_",$AA$2,"_",Parámetros!$C$6),DATA_KPI!$A:$H,6,FALSE),0)</f>
        <v>552794.04</v>
      </c>
      <c r="AC29" s="13">
        <f>IFERROR(+(AB29/AA29)-1,0)</f>
        <v>-0.35835413181737363</v>
      </c>
      <c r="AD29" s="74">
        <f>IFERROR(VLOOKUP(_xlfn.CONCAT($AB$3,"_",B29,"_",$AA$2,"_",Parámetros!$C$6),DATA_KPI_PRE!A:F,6,FALSE),0)</f>
        <v>1469062.7137225545</v>
      </c>
      <c r="AE29" s="26">
        <f>IFERROR(+(AB29/AD29)-1,0)</f>
        <v>-0.62370970630706513</v>
      </c>
      <c r="AF29" s="4"/>
      <c r="AG29" s="74">
        <f>IFERROR(VLOOKUP(_xlfn.CONCAT($AG$3,"_",B29,"_",$AG$2,"_",Parámetros!$C$6),DATA_KPI!$A:$H,6,FALSE),0)</f>
        <v>4129415.4700000011</v>
      </c>
      <c r="AH29" s="74">
        <f>IFERROR(VLOOKUP(_xlfn.CONCAT($AH$3,"_",B29,"_",$AG$2,"_",Parámetros!$C$6),DATA_KPI!$A:$H,6,FALSE),0)</f>
        <v>4666839.6500000013</v>
      </c>
      <c r="AI29" s="26">
        <f>IFERROR(+(AH29/AG29)-1,0)</f>
        <v>0.13014533991659594</v>
      </c>
      <c r="AJ29" s="74">
        <f>IFERROR(VLOOKUP(_xlfn.CONCAT($AH$3,"_",B29,"_",$AG$2,"_",Parámetros!$C$6),DATA_KPI_PRE!A:F,6,FALSE),0)</f>
        <v>3989699.3353011622</v>
      </c>
      <c r="AK29" s="26">
        <f>IFERROR(+(AH29/AJ29)-1,0)</f>
        <v>0.16972214139232245</v>
      </c>
      <c r="AM29" s="74">
        <f>IFERROR(VLOOKUP(_xlfn.CONCAT($AM$3,"_",B29,"_",$AM$2,"_",Parámetros!$C$6),DATA_KPI!$A:$H,6,FALSE),0)</f>
        <v>4946.91</v>
      </c>
      <c r="AN29" s="74">
        <f>IFERROR(VLOOKUP(_xlfn.CONCAT($AN$3,"_",B29,"_",$AM$2,"_",Parámetros!$C$6),DATA_KPI!$A:$H,6,FALSE),0)</f>
        <v>21230.09</v>
      </c>
      <c r="AO29" s="26">
        <f>IFERROR(+AN29/AM29,0)</f>
        <v>4.2915860607935059</v>
      </c>
      <c r="AP29" s="74">
        <f>IFERROR(VLOOKUP(_xlfn.CONCAT($AN$3,"_",B29,"_",$AM$2,"_",Parámetros!$C$6),DATA_KPI_PRE!A:F,6,FALSE),0)</f>
        <v>9231.6997896823323</v>
      </c>
      <c r="AQ29" s="26">
        <f>IFERROR(+(AN29/AP29)-1,0)</f>
        <v>1.2996945831933879</v>
      </c>
      <c r="AS29" s="36">
        <f>IFERROR(J29/D29,0)</f>
        <v>0.67067472103739423</v>
      </c>
      <c r="AT29" s="36">
        <f>IFERROR(P29/D29,0)</f>
        <v>9.6453535725812944E-2</v>
      </c>
      <c r="AU29" s="36">
        <f>IFERROR(V29/D29,0)</f>
        <v>0</v>
      </c>
      <c r="AV29" s="36">
        <f>IFERROR(AB29/D29,0)</f>
        <v>2.4562766206014483E-2</v>
      </c>
      <c r="AW29" s="36">
        <f>IFERROR(AH29/D29,0)</f>
        <v>0.20736564244417049</v>
      </c>
      <c r="AX29" s="36">
        <f>IFERROR(AN29/D29,0)</f>
        <v>9.4333458660778241E-4</v>
      </c>
      <c r="AY29" s="4">
        <f>SUM(AS29:AX29)</f>
        <v>0.99999999999999989</v>
      </c>
    </row>
    <row r="30" spans="1:51" ht="14.4" x14ac:dyDescent="0.3">
      <c r="A30" s="6" t="s">
        <v>23</v>
      </c>
      <c r="B30" s="1"/>
      <c r="C30" s="68">
        <f>IFERROR(VLOOKUP(_xlfn.CONCAT($C$3,"_",$A$3,"_",$C$2,"_",Parámetros!$C$6),DATA_KPI!$A:$H,6,FALSE),0)</f>
        <v>479647022.05999994</v>
      </c>
      <c r="D30" s="68">
        <f>IFERROR(VLOOKUP(_xlfn.CONCAT($D$3,"_",$A$3,"_",$C$2,"_",Parámetros!$C$6),DATA_KPI!$A:$H,6,FALSE),0)</f>
        <v>440763922.29000014</v>
      </c>
      <c r="E30" s="38">
        <f t="shared" ref="E30" si="33">IFERROR(+(D30/C30)-1,0)</f>
        <v>-8.1066071468563927E-2</v>
      </c>
      <c r="F30" s="68">
        <f>IFERROR(VLOOKUP(_xlfn.CONCAT($D$3,"_",A3,"_",$C$2,"_",Parámetros!$C$6),DATA_KPI_PRE!$A:$F,6,FALSE),0)</f>
        <v>476181578.96580994</v>
      </c>
      <c r="G30" s="38">
        <f t="shared" ref="G30" si="34">IFERROR(+(D30/F30)-1,0)</f>
        <v>-7.4378468719288326E-2</v>
      </c>
      <c r="H30" s="38"/>
      <c r="I30" s="73">
        <f>IFERROR(VLOOKUP(_xlfn.CONCAT($I$3,"_",$A$3,"_",$I$2,"_",Parámetros!$C$6),DATA_KPI!$A:$H,6,FALSE),0)</f>
        <v>318679903.6500001</v>
      </c>
      <c r="J30" s="73">
        <f>IFERROR(VLOOKUP(_xlfn.CONCAT(J3,"_",$A$3,"_",$I$2,"_",Parámetros!$C$6),DATA_KPI!$A:$H,6,FALSE),0)</f>
        <v>296740680.25000006</v>
      </c>
      <c r="K30" s="22">
        <f t="shared" ref="K30" si="35">IFERROR(+(J30/I30)-1,0)</f>
        <v>-6.8844075665641769E-2</v>
      </c>
      <c r="L30" s="73">
        <f>IFERROR(VLOOKUP(_xlfn.CONCAT(J3,"_",A3,"_",I2,"_",Parámetros!$C$6),DATA_KPI_PRE!$A:$F,6,FALSE),0)</f>
        <v>306720075.75738156</v>
      </c>
      <c r="M30" s="34">
        <f t="shared" ref="M30" si="36">IFERROR(+(J30/L30)-1,0)</f>
        <v>-3.2535840644729364E-2</v>
      </c>
      <c r="N30" s="7"/>
      <c r="O30" s="73">
        <f>IFERROR(VLOOKUP(_xlfn.CONCAT(O3,"_",$A$3,"_",O2,"_",Parámetros!$C$6),DATA_KPI!$A:$H,6,FALSE),0)</f>
        <v>49089944.080000006</v>
      </c>
      <c r="P30" s="73">
        <f>IFERROR(VLOOKUP(_xlfn.CONCAT(P3,"_",$A$3,"_",O2,"_",Parámetros!$C$6),DATA_KPI!$A:$H,6,FALSE),0)</f>
        <v>36862160.20000007</v>
      </c>
      <c r="Q30" s="22">
        <f t="shared" ref="Q30" si="37">IFERROR(+(P30/O30)-1,0)</f>
        <v>-0.2490893829512778</v>
      </c>
      <c r="R30" s="73">
        <f>IFERROR(VLOOKUP(_xlfn.CONCAT(P3,"_",A3,"_",O2,"_",Parámetros!$C$6),DATA_KPI_PRE!$A:$F,6,FALSE),0)</f>
        <v>52928980.809337102</v>
      </c>
      <c r="S30" s="25">
        <f t="shared" ref="S30" si="38">IFERROR(+(P30/R30)-1,0)</f>
        <v>-0.30355431681584</v>
      </c>
      <c r="T30" s="7"/>
      <c r="U30" s="73">
        <f>IFERROR(VLOOKUP(_xlfn.CONCAT(U3,"_",$A$3,"_",U2,"_",Parámetros!$C$6),DATA_KPI!$A:$H,6,FALSE),0)</f>
        <v>1402823.57</v>
      </c>
      <c r="V30" s="73">
        <f>IFERROR(VLOOKUP(_xlfn.CONCAT(V3,"_",$A$3,"_",U2,"_",Parámetros!$C$6),DATA_KPI!$A:$H,6,FALSE),0)</f>
        <v>1678471.5399999996</v>
      </c>
      <c r="W30" s="22">
        <f t="shared" ref="W30" si="39">IFERROR(+(V30/U30)-1,0)</f>
        <v>0.19649510878976706</v>
      </c>
      <c r="X30" s="73">
        <f>IFERROR(VLOOKUP(_xlfn.CONCAT(V3,"_",A3,"_",U2,"_",Parámetros!$C$6),DATA_KPI_PRE!$A:$F,6,FALSE),0)</f>
        <v>1688666.9438675442</v>
      </c>
      <c r="Y30" s="25">
        <f t="shared" ref="Y30" si="40">IFERROR(+(V30/X30)-1,0)</f>
        <v>-6.0375457129481225E-3</v>
      </c>
      <c r="Z30" s="7"/>
      <c r="AA30" s="73">
        <f>IFERROR(VLOOKUP(_xlfn.CONCAT(AA3,"_",$A$3,"_",AA2,"_",Parámetros!$C$6),DATA_KPI!$A:$H,6,FALSE),0)</f>
        <v>6881679.04</v>
      </c>
      <c r="AB30" s="73">
        <f>IFERROR(VLOOKUP(_xlfn.CONCAT(AB3,"_",$A$3,"_",AA2,"_",Parámetros!$C$6),DATA_KPI!$A:$H,6,FALSE),0)</f>
        <v>4766224.8</v>
      </c>
      <c r="AC30" s="22">
        <f t="shared" ref="AC30" si="41">IFERROR(+(AB30/AA30)-1,0)</f>
        <v>-0.30740379313011379</v>
      </c>
      <c r="AD30" s="73">
        <f>IFERROR(VLOOKUP(_xlfn.CONCAT(AB3,"_",A3,"_",AA2,"_",Parámetros!$C$6),DATA_KPI_PRE!$A:$F,6,FALSE),0)</f>
        <v>11130302.018809425</v>
      </c>
      <c r="AE30" s="25">
        <f t="shared" ref="AE30" si="42">IFERROR(+(AB30/AD30)-1,0)</f>
        <v>-0.57177938281050988</v>
      </c>
      <c r="AF30" s="8"/>
      <c r="AG30" s="73">
        <f>IFERROR(VLOOKUP(_xlfn.CONCAT(AG3,"_",$A$3,"_",AG2,"_",Parámetros!$C$6),DATA_KPI!$A:$H,6,FALSE),0)</f>
        <v>102942156.89999996</v>
      </c>
      <c r="AH30" s="73">
        <f>IFERROR(VLOOKUP(_xlfn.CONCAT(AH3,"_",$A$3,"_",AG2,"_",Parámetros!$C$6),DATA_KPI!$A:$H,6,FALSE),0)</f>
        <v>99782784.279999986</v>
      </c>
      <c r="AI30" s="25">
        <f t="shared" ref="AI30" si="43">IFERROR(+(AH30/AG30)-1,0)</f>
        <v>-3.0690756004549735E-2</v>
      </c>
      <c r="AJ30" s="73">
        <f>IFERROR(VLOOKUP(_xlfn.CONCAT(AH3,"_",A3,"_",AG2,"_",Parámetros!$C$6),DATA_KPI_PRE!$A:$F,6,FALSE),0)</f>
        <v>102788508.78931764</v>
      </c>
      <c r="AK30" s="25">
        <f t="shared" ref="AK30" si="44">IFERROR(+(AH30/AJ30)-1,0)</f>
        <v>-2.9241833982419085E-2</v>
      </c>
      <c r="AM30" s="73">
        <f>IFERROR(VLOOKUP(_xlfn.CONCAT($AM$3,"_",$A$3,"_",$AM$2,"_",Parámetros!$C$6),DATA_KPI!$A:$H,6,FALSE),0)</f>
        <v>650514.81999999995</v>
      </c>
      <c r="AN30" s="73">
        <f>IFERROR(VLOOKUP(_xlfn.CONCAT($AN$3,"_",$A$3,"_",$AM$2,"_",Parámetros!$C$6),DATA_KPI!$A:$H,6,FALSE),0)</f>
        <v>933601.22</v>
      </c>
      <c r="AO30" s="25">
        <f>IFERROR(AN30/AM30,0)</f>
        <v>1.4351728681600213</v>
      </c>
      <c r="AP30" s="73">
        <f>IFERROR(VLOOKUP(_xlfn.CONCAT($AN$3,"_",A3,"_",$AM$2,"_",Parámetros!$C$6),DATA_KPI_PRE!$A:$F,6,FALSE),0)</f>
        <v>925044.64709658525</v>
      </c>
      <c r="AQ30" s="25">
        <f t="shared" ref="AQ30" si="45">IFERROR(+(AN30/AP30)-1,0)</f>
        <v>9.2499026185071109E-3</v>
      </c>
      <c r="AS30" s="34">
        <f>J30/D30</f>
        <v>0.67324176331918528</v>
      </c>
      <c r="AT30" s="34">
        <f>P30/D30</f>
        <v>8.3632435269388156E-2</v>
      </c>
      <c r="AU30" s="34">
        <f>V30/D30</f>
        <v>3.8080964777685482E-3</v>
      </c>
      <c r="AV30" s="34">
        <f>AB30/D30</f>
        <v>1.0813554737504281E-2</v>
      </c>
      <c r="AW30" s="34">
        <f>AH30/D30</f>
        <v>0.22638600673479808</v>
      </c>
      <c r="AX30" s="34">
        <f>AN30/D30</f>
        <v>2.1181434613555738E-3</v>
      </c>
      <c r="AY30" s="4">
        <f t="shared" ref="AY30" si="46">SUM(AS30:AX30)</f>
        <v>0.99999999999999978</v>
      </c>
    </row>
    <row r="31" spans="1:51" s="78" customFormat="1" ht="14.4" hidden="1" x14ac:dyDescent="0.3">
      <c r="C31" s="78">
        <f>SUM(C4:C29)</f>
        <v>479647022.06</v>
      </c>
      <c r="D31" s="78">
        <f>SUM(D4:D29)</f>
        <v>440763922.29000008</v>
      </c>
      <c r="F31" s="78">
        <f>SUM(F4:F29)</f>
        <v>476181578.96580994</v>
      </c>
      <c r="I31" s="78">
        <f>SUM(I4:I29)</f>
        <v>318679903.65000004</v>
      </c>
      <c r="J31" s="78">
        <f>SUM(J4:J29)</f>
        <v>296740680.25000006</v>
      </c>
      <c r="L31" s="78">
        <f>SUM(L4:L29)</f>
        <v>306720075.75738162</v>
      </c>
      <c r="O31" s="78">
        <f>SUM(O4:O29)</f>
        <v>49089944.080000006</v>
      </c>
      <c r="P31" s="78">
        <f>SUM(P4:P29)</f>
        <v>36862160.200000063</v>
      </c>
      <c r="R31" s="78">
        <f>SUM(R4:R29)</f>
        <v>52928980.809337102</v>
      </c>
      <c r="U31" s="78">
        <f>SUM(U4:U29)</f>
        <v>1402823.57</v>
      </c>
      <c r="V31" s="78">
        <f>SUM(V4:V29)</f>
        <v>1678471.5399999996</v>
      </c>
      <c r="X31" s="78">
        <f>SUM(X4:X29)</f>
        <v>1688666.9438675442</v>
      </c>
      <c r="AA31" s="78">
        <f>SUM(AA4:AA29)</f>
        <v>6881679.040000001</v>
      </c>
      <c r="AB31" s="78">
        <f>SUM(AB4:AB29)</f>
        <v>4766224.8</v>
      </c>
      <c r="AD31" s="78">
        <f>SUM(AD4:AD29)</f>
        <v>11130302.018809425</v>
      </c>
      <c r="AG31" s="78">
        <f>SUM(AG4:AG29)</f>
        <v>102942156.89999996</v>
      </c>
      <c r="AH31" s="78">
        <f>SUM(AH4:AH29)</f>
        <v>99782784.279999986</v>
      </c>
      <c r="AJ31" s="78">
        <f>SUM(AJ4:AJ29)</f>
        <v>102788508.78931764</v>
      </c>
      <c r="AM31" s="78">
        <f>SUM(AM4:AM29)</f>
        <v>650514.82000000007</v>
      </c>
      <c r="AN31" s="78">
        <f>SUM(AN4:AN29)</f>
        <v>933601.21999999986</v>
      </c>
      <c r="AP31" s="78">
        <f>SUM(AP4:AP29)</f>
        <v>925044.64709658537</v>
      </c>
    </row>
    <row r="32" spans="1:51" s="78" customFormat="1" ht="14.4" x14ac:dyDescent="0.3"/>
    <row r="33" spans="1:51" thickBot="1" x14ac:dyDescent="0.35">
      <c r="A33" s="6" t="s">
        <v>1359</v>
      </c>
      <c r="B33" s="1" t="str">
        <f>IF(IFERROR(VLOOKUP(A33,DATA_KPI!$D:$H,5,FALSE),"")="",VLOOKUP(A33,DATA_KPI_PRE!$D:$H,5,FALSE),VLOOKUP(A33,DATA_KPI!$D:$H,5,FALSE))</f>
        <v>G40</v>
      </c>
      <c r="C33" s="72">
        <f>IFERROR(VLOOKUP(_xlfn.CONCAT($C$3,"_",B33,"_",$C$2,"_",Parámetros!$C$6),DATA_KPI!$A:$H,6,FALSE),0)</f>
        <v>0</v>
      </c>
      <c r="D33" s="72">
        <f>IFERROR(VLOOKUP(_xlfn.CONCAT($D$3,"_",B33,"_",$C$2,"_",Parámetros!$C$6),DATA_KPI!A:H,6,FALSE),0)</f>
        <v>0</v>
      </c>
      <c r="E33" s="36">
        <f>IFERROR(+(D33/C33)-1,0)</f>
        <v>0</v>
      </c>
      <c r="F33" s="17">
        <f>IFERROR(VLOOKUP(_xlfn.CONCAT($D$3,"_",B33,"_",$C$2,"_",Parámetros!$C$6),DATA_KPI_PRE!$A:$F,6,FALSE),0)</f>
        <v>2912326.1533935489</v>
      </c>
      <c r="G33" s="36">
        <f>IFERROR(+(D33/F33)-1,0)</f>
        <v>-1</v>
      </c>
      <c r="H33" s="38"/>
      <c r="I33" s="74">
        <f>IFERROR(VLOOKUP(_xlfn.CONCAT($I$3,"_",B33,"_",$I$2,"_",Parámetros!$C$6),DATA_KPI!$A:$H,6,FALSE),0)</f>
        <v>0</v>
      </c>
      <c r="J33" s="74">
        <f>IFERROR(VLOOKUP(_xlfn.CONCAT($J$3,"_",B33,"_",$I$2,"_",Parámetros!$C$6),DATA_KPI!$A:$H,6,FALSE),0)</f>
        <v>0</v>
      </c>
      <c r="K33" s="23">
        <f>IFERROR(+(J33/I33)-1,0)</f>
        <v>0</v>
      </c>
      <c r="L33" s="76">
        <f>IFERROR(VLOOKUP(_xlfn.CONCAT($J$3,"_",B33,"_",$I$2,"_",Parámetros!$C$6),DATA_KPI_PRE!A:F,6,FALSE),0)</f>
        <v>2527056.4759741942</v>
      </c>
      <c r="M33" s="36">
        <f>IFERROR(+(J33/L33)-1,0)</f>
        <v>-1</v>
      </c>
      <c r="N33" s="4"/>
      <c r="O33" s="74">
        <f>IFERROR(VLOOKUP(_xlfn.CONCAT($O$3,"_",B33,"_",$O$2,"_",Parámetros!$C$6),DATA_KPI!$A:$H,6,FALSE),0)</f>
        <v>0</v>
      </c>
      <c r="P33" s="74">
        <f>IFERROR(VLOOKUP(_xlfn.CONCAT($P$3,"_",B33,"_",$O$2,"_",Parámetros!$C$6),DATA_KPI!$A:$H,6,FALSE),0)</f>
        <v>0</v>
      </c>
      <c r="Q33" s="23">
        <f>IFERROR(+(P33/O33)-1,0)</f>
        <v>0</v>
      </c>
      <c r="R33" s="74">
        <f>IFERROR(VLOOKUP(_xlfn.CONCAT($P$3,"_",B33,"_",$O$2,"_",Parámetros!$C$6),DATA_KPI_PRE!A:F,6,FALSE),0)</f>
        <v>385269.67741935485</v>
      </c>
      <c r="S33" s="26">
        <f>IFERROR(+(P33/R33)-1,0)</f>
        <v>-1</v>
      </c>
      <c r="T33" s="4"/>
      <c r="U33" s="74">
        <f>IFERROR(VLOOKUP(_xlfn.CONCAT($U$3,"_",B33,"_",$U$2,"_",Parámetros!$C$6),DATA_KPI!$A:$H,6,FALSE),0)</f>
        <v>0</v>
      </c>
      <c r="V33" s="74">
        <f>IFERROR(VLOOKUP(_xlfn.CONCAT($V$3,"_",B33,"_",$U$2,"_",Parámetros!$C$6),DATA_KPI!$A:$H,6,FALSE),0)</f>
        <v>0</v>
      </c>
      <c r="W33" s="13">
        <f>IFERROR(+(V33/U33)-1,0)</f>
        <v>0</v>
      </c>
      <c r="X33" s="74">
        <f>IFERROR(VLOOKUP(_xlfn.CONCAT($V$3,"_",B33,"_",$U$2,"_",Parámetros!$C$6),DATA_KPI_PRE!A:F,6,FALSE),0)</f>
        <v>0</v>
      </c>
      <c r="Y33" s="26">
        <f>IFERROR(+(V33/X33)-1,0)</f>
        <v>0</v>
      </c>
      <c r="Z33" s="4"/>
      <c r="AA33" s="74">
        <f>IFERROR(VLOOKUP(_xlfn.CONCAT($AA$3,"_",B33,"_",$AA$2,"_",Parámetros!$C$6),DATA_KPI!$A:$H,6,FALSE),0)</f>
        <v>0</v>
      </c>
      <c r="AB33" s="74">
        <f>IFERROR(VLOOKUP(_xlfn.CONCAT($AB$3,"_",B33,"_",$AA$2,"_",Parámetros!$C$6),DATA_KPI!$A:$H,6,FALSE),0)</f>
        <v>0</v>
      </c>
      <c r="AC33" s="13">
        <f>IFERROR(+(AB33/AA33)-1,0)</f>
        <v>0</v>
      </c>
      <c r="AD33" s="74">
        <f>IFERROR(VLOOKUP(_xlfn.CONCAT($AB$3,"_",B33,"_",$AA$2,"_",Parámetros!$C$6),DATA_KPI_PRE!A:F,6,FALSE),0)</f>
        <v>0</v>
      </c>
      <c r="AE33" s="26">
        <f>IFERROR(+(AB33/AD33)-1,0)</f>
        <v>0</v>
      </c>
      <c r="AF33" s="4"/>
      <c r="AG33" s="74">
        <f>IFERROR(VLOOKUP(_xlfn.CONCAT($AG$3,"_",B33,"_",$AG$2,"_",Parámetros!$C$6),DATA_KPI!$A:$H,6,FALSE),0)</f>
        <v>0</v>
      </c>
      <c r="AH33" s="74">
        <f>IFERROR(VLOOKUP(_xlfn.CONCAT($AH$3,"_",B33,"_",$AG$2,"_",Parámetros!$C$6),DATA_KPI!$A:$H,6,FALSE),0)</f>
        <v>0</v>
      </c>
      <c r="AI33" s="26">
        <f>IFERROR(+(AH33/AG33)-1,0)</f>
        <v>0</v>
      </c>
      <c r="AJ33" s="74">
        <f>IFERROR(VLOOKUP(_xlfn.CONCAT($AH$3,"_",B33,"_",$AG$2,"_",Parámetros!$C$6),DATA_KPI_PRE!A:F,6,FALSE),0)</f>
        <v>0</v>
      </c>
      <c r="AK33" s="26">
        <f>IFERROR(+(AH33/AJ33)-1,0)</f>
        <v>0</v>
      </c>
      <c r="AM33" s="74">
        <f>IFERROR(VLOOKUP(_xlfn.CONCAT($AM$3,"_",B33,"_",$AM$2,"_",Parámetros!$C$6),DATA_KPI!$A:$H,6,FALSE),0)</f>
        <v>0</v>
      </c>
      <c r="AN33" s="74">
        <f>IFERROR(VLOOKUP(_xlfn.CONCAT($AN$3,"_",B33,"_",$AM$2,"_",Parámetros!$C$6),DATA_KPI!$A:$H,6,FALSE),0)</f>
        <v>0</v>
      </c>
      <c r="AO33" s="26">
        <f>IFERROR(+AN33/AM33,0)</f>
        <v>0</v>
      </c>
      <c r="AP33" s="74">
        <f>IFERROR(VLOOKUP(_xlfn.CONCAT($AN$3,"_",B33,"_",$AM$2,"_",Parámetros!$C$6),DATA_KPI_PRE!A:F,6,FALSE),0)</f>
        <v>0</v>
      </c>
      <c r="AQ33" s="26">
        <f>IFERROR(+(AN33/AP33)-1,0)</f>
        <v>0</v>
      </c>
      <c r="AS33" s="36">
        <f>IFERROR(J33/D33,0)</f>
        <v>0</v>
      </c>
      <c r="AT33" s="36">
        <f>IFERROR(P33/D33,0)</f>
        <v>0</v>
      </c>
      <c r="AU33" s="36">
        <f>IFERROR(V33/D33,0)</f>
        <v>0</v>
      </c>
      <c r="AV33" s="36">
        <f>IFERROR(AB33/D33,0)</f>
        <v>0</v>
      </c>
      <c r="AW33" s="36">
        <f>IFERROR(AH33/D33,0)</f>
        <v>0</v>
      </c>
      <c r="AX33" s="36">
        <f>IFERROR(AN33/D33,0)</f>
        <v>0</v>
      </c>
      <c r="AY33" s="4">
        <f>SUM(AS33:AX33)</f>
        <v>0</v>
      </c>
    </row>
    <row r="34" spans="1:51" ht="14.4" x14ac:dyDescent="0.3">
      <c r="A34" s="6"/>
      <c r="B34" s="1"/>
      <c r="D34" s="14"/>
      <c r="E34" s="22"/>
      <c r="F34" s="16"/>
      <c r="G34" s="22"/>
      <c r="H34" s="22"/>
      <c r="J34" s="14"/>
      <c r="K34" s="22"/>
      <c r="L34" s="30"/>
      <c r="M34" s="22"/>
      <c r="N34" s="7"/>
      <c r="O34" s="14"/>
      <c r="P34" s="14"/>
      <c r="Q34" s="22"/>
      <c r="R34" s="22"/>
      <c r="S34" s="22"/>
      <c r="T34" s="7"/>
      <c r="U34" s="14"/>
      <c r="V34" s="14"/>
      <c r="W34" s="4"/>
      <c r="X34" s="4"/>
      <c r="Y34" s="4"/>
      <c r="Z34" s="7"/>
      <c r="AA34" s="14"/>
      <c r="AB34" s="14"/>
      <c r="AC34" s="4"/>
      <c r="AD34" s="4"/>
      <c r="AE34" s="4"/>
      <c r="AF34" s="8"/>
      <c r="AG34" s="14"/>
      <c r="AH34" s="14"/>
      <c r="AI34" s="22"/>
      <c r="AJ34" s="7"/>
      <c r="AM34" s="14"/>
      <c r="AN34" s="14"/>
      <c r="AO34" s="22"/>
      <c r="AP34" s="7"/>
    </row>
    <row r="35" spans="1:51" ht="14.4" x14ac:dyDescent="0.3">
      <c r="A35" s="18" t="s">
        <v>102</v>
      </c>
      <c r="B35" s="1"/>
      <c r="E35" s="22"/>
      <c r="F35" s="22"/>
      <c r="G35" s="22"/>
      <c r="H35" s="22"/>
      <c r="K35" s="22"/>
      <c r="L35" s="30"/>
      <c r="M35" s="22"/>
      <c r="N35" s="7"/>
      <c r="O35" s="14"/>
      <c r="P35" s="14"/>
      <c r="Q35" s="22"/>
      <c r="R35" s="22"/>
      <c r="S35" s="22"/>
      <c r="T35" s="7"/>
      <c r="U35" s="14"/>
      <c r="V35" s="14"/>
      <c r="W35" s="4"/>
      <c r="X35" s="4"/>
      <c r="Y35" s="4"/>
      <c r="Z35" s="7"/>
      <c r="AA35" s="14"/>
      <c r="AB35" s="14"/>
      <c r="AC35" s="4"/>
      <c r="AD35" s="4"/>
      <c r="AE35" s="4"/>
      <c r="AF35" s="8"/>
      <c r="AG35" s="14"/>
      <c r="AH35" s="14"/>
      <c r="AI35" s="22"/>
      <c r="AJ35" s="7"/>
      <c r="AM35" s="14"/>
      <c r="AN35" s="14"/>
      <c r="AO35" s="22"/>
      <c r="AP35" s="7"/>
    </row>
    <row r="36" spans="1:51" thickBot="1" x14ac:dyDescent="0.35">
      <c r="A36" s="1" t="s">
        <v>1445</v>
      </c>
      <c r="B36" s="1" t="str">
        <f>IF(IFERROR(VLOOKUP(A36,DATA_KPI!$D:$H,5,FALSE),"")="",VLOOKUP(A36,DATA_KPI_PRE!$D:$H,5,FALSE),VLOOKUP(A36,DATA_KPI!$D:$H,5,FALSE))</f>
        <v>S84</v>
      </c>
      <c r="C36">
        <f>IFERROR(VLOOKUP(_xlfn.CONCAT($C$3,"_",B36,"_",$C$2,"_",Parámetros!$C$6),DATA_KPI!$A:$H,6,FALSE),0)</f>
        <v>0</v>
      </c>
      <c r="D36" s="68">
        <f>IFERROR(VLOOKUP(_xlfn.CONCAT($D$3,"_",B36,"_",$C$2,"_",Parámetros!$C$6),DATA_KPI!A:H,6,FALSE),0)</f>
        <v>8064239.6199999982</v>
      </c>
      <c r="E36" s="34">
        <f t="shared" ref="E36" si="47">IFERROR(+D36/C36,0)</f>
        <v>0</v>
      </c>
      <c r="F36" s="68">
        <f>IFERROR(VLOOKUP(_xlfn.CONCAT($D$3,"_",B36,"_",$C$2,"_",Parámetros!$C$6),DATA_KPI_PRE!$A:$F,6,FALSE),0)</f>
        <v>14821407.920943297</v>
      </c>
      <c r="G36" s="34">
        <f t="shared" ref="G36" si="48">IFERROR(+(D36/F36)-1,0)</f>
        <v>-0.45590596635526948</v>
      </c>
      <c r="H36" s="34"/>
      <c r="I36">
        <f>IFERROR(VLOOKUP(_xlfn.CONCAT($I$3,"_",B36,"_",$I$2,"_",Parámetros!$C$6),DATA_KPI!$A:$H,6,FALSE),0)</f>
        <v>0</v>
      </c>
      <c r="J36" s="68">
        <f>IFERROR(VLOOKUP(_xlfn.CONCAT($J$3,"_",B36,"_",$I$2,"_",Parámetros!$C$6),DATA_KPI!$A:$H,6,FALSE),0)</f>
        <v>7303179.4899999984</v>
      </c>
      <c r="K36" s="22">
        <f t="shared" ref="K36" si="49">IFERROR(+J36/I36,0)</f>
        <v>0</v>
      </c>
      <c r="L36" s="68">
        <f>IFERROR(VLOOKUP(_xlfn.CONCAT($J$3,"_",B36,"_",$I$2,"_",Parámetros!$C$6),DATA_KPI_PRE!A:F,6,FALSE),0)</f>
        <v>14032051.111905141</v>
      </c>
      <c r="M36" s="34">
        <f t="shared" ref="M36" si="50">IFERROR(+(J36/L36)-1,0)</f>
        <v>-0.4795358546118893</v>
      </c>
      <c r="N36" s="7"/>
      <c r="O36" s="73">
        <f>IFERROR(VLOOKUP(_xlfn.CONCAT($O$3,"_",B36,"_",$O$2,"_",Parámetros!$C$6),DATA_KPI!$A:$H,6,FALSE),0)</f>
        <v>0</v>
      </c>
      <c r="P36" s="73">
        <f>IFERROR(VLOOKUP(_xlfn.CONCAT($P$3,"_",B36,"_",$O$2,"_",Parámetros!$C$6),DATA_KPI!$A:$H,6,FALSE),0)</f>
        <v>761060.12999999989</v>
      </c>
      <c r="Q36" s="22">
        <f t="shared" ref="Q36" si="51">IFERROR(+P36/O36,0)</f>
        <v>0</v>
      </c>
      <c r="R36" s="73">
        <f>IFERROR(VLOOKUP(_xlfn.CONCAT($P$3,"_",B36,"_",$O$2,"_",Parámetros!$C$6),DATA_KPI_PRE!A:F,6,FALSE),0)</f>
        <v>789356.80903815629</v>
      </c>
      <c r="S36" s="26">
        <f t="shared" ref="S36" si="52">IFERROR(+(P36/R36)-1,0)</f>
        <v>-3.5847767086010673E-2</v>
      </c>
      <c r="T36" s="7"/>
      <c r="U36" s="14">
        <f>IFERROR(VLOOKUP(_xlfn.CONCAT($U$3,"_",B36,"_",$U$2,"_",Parámetros!$C$6),DATA_KPI!$A:$H,6,FALSE),0)</f>
        <v>0</v>
      </c>
      <c r="V36" s="14">
        <f>IFERROR(VLOOKUP(_xlfn.CONCAT($V$3,"_",B36,"_",$U$2,"_",Parámetros!$C$6),DATA_KPI!$A:$H,6,FALSE),0)</f>
        <v>0</v>
      </c>
      <c r="W36" s="4">
        <f t="shared" ref="W36" si="53">IFERROR(+V36/U36,0)</f>
        <v>0</v>
      </c>
      <c r="X36" s="4">
        <f>IFERROR(VLOOKUP(_xlfn.CONCAT($V$3,"_",B36,"_",$U$2,"_",Parámetros!$C$6),DATA_KPI_PRE!A:F,6,FALSE),0)</f>
        <v>0</v>
      </c>
      <c r="Y36" s="4">
        <f t="shared" ref="Y36" si="54">IFERROR(+(V36/X36)-1,0)</f>
        <v>0</v>
      </c>
      <c r="Z36" s="7"/>
      <c r="AA36" s="14">
        <f>IFERROR(VLOOKUP(_xlfn.CONCAT($AA$3,"_",B36,"_",$AA$2,"_",Parámetros!$C$6),DATA_KPI!$A:$H,6,FALSE),0)</f>
        <v>0</v>
      </c>
      <c r="AB36" s="14">
        <f>IFERROR(VLOOKUP(_xlfn.CONCAT($AB$3,"_",B36,"_",$AA$2,"_",Parámetros!$C$6),DATA_KPI!$A:$H,6,FALSE),0)</f>
        <v>0</v>
      </c>
      <c r="AC36" s="4">
        <f t="shared" ref="AC36" si="55">IFERROR(+AB36/AA36,0)</f>
        <v>0</v>
      </c>
      <c r="AD36" s="4">
        <f>IFERROR(VLOOKUP(_xlfn.CONCAT($AB$3,"_",B36,"_",$AA$2,"_",Parámetros!$C$6),DATA_KPI_PRE!A:F,6,FALSE),0)</f>
        <v>0</v>
      </c>
      <c r="AE36" s="4">
        <f t="shared" ref="AE36" si="56">IFERROR(+(AB36/AD36)-1,0)</f>
        <v>0</v>
      </c>
      <c r="AF36" s="8"/>
      <c r="AG36" s="14">
        <f>IFERROR(VLOOKUP(_xlfn.CONCAT($AG$3,"_",B36,"_",$AG$2,"_",Parámetros!$C$6),DATA_KPI!$A:$H,6,FALSE),0)</f>
        <v>0</v>
      </c>
      <c r="AH36" s="14">
        <f>IFERROR(VLOOKUP(_xlfn.CONCAT($AH$3,"_",B36,"_",$AG$2,"_",Parámetros!$C$6),DATA_KPI!$A:$H,6,FALSE),0)</f>
        <v>0</v>
      </c>
      <c r="AI36" s="27">
        <f t="shared" ref="AI36" si="57">IFERROR(+AH36/AG36,0)</f>
        <v>0</v>
      </c>
      <c r="AJ36" s="14">
        <f>IFERROR(VLOOKUP(_xlfn.CONCAT($AH$3,"_",B36,"_",$AG$2,"_",Parámetros!$C$6),DATA_KPI_PRE!A:F,6,FALSE),0)</f>
        <v>0</v>
      </c>
      <c r="AK36" s="27">
        <f t="shared" ref="AK36" si="58">IFERROR(+(AH36/AJ36)-1,0)</f>
        <v>0</v>
      </c>
      <c r="AM36" s="14">
        <f>IFERROR(VLOOKUP(_xlfn.CONCAT($AM$3,"_",B36,"_",$AM$2,"_",Parámetros!$C$6),DATA_KPI!$A:$H,6,FALSE),0)</f>
        <v>0</v>
      </c>
      <c r="AN36" s="14">
        <f>IFERROR(VLOOKUP(_xlfn.CONCAT($AN$3,"_",B36,"_",$AM$2,"_",Parámetros!$C$6),DATA_KPI!$A:$H,6,FALSE),0)</f>
        <v>0</v>
      </c>
      <c r="AO36" s="22">
        <f t="shared" ref="AO36" si="59">IFERROR(+AN36/AM36,0)</f>
        <v>0</v>
      </c>
      <c r="AP36" s="14">
        <f>IFERROR(VLOOKUP(_xlfn.CONCAT($AN$3,"_",B36,"_",$AM$2,"_",Parámetros!$C$6),DATA_KPI_PRE!A:F,6,FALSE),0)</f>
        <v>0</v>
      </c>
      <c r="AQ36" s="25">
        <f t="shared" ref="AQ36" si="60">IFERROR(+(AN36/AP36)-1,0)</f>
        <v>0</v>
      </c>
      <c r="AS36" s="34">
        <f>IFERROR(J36/D36,0)</f>
        <v>0.90562530804361197</v>
      </c>
      <c r="AT36" s="34">
        <f>IFERROR(P36/D36,0)</f>
        <v>9.4374691956388077E-2</v>
      </c>
      <c r="AU36" s="34">
        <f>IFERROR(V36/D36,0)</f>
        <v>0</v>
      </c>
      <c r="AV36" s="34">
        <f>IFERROR(AB36/D36,0)</f>
        <v>0</v>
      </c>
      <c r="AW36" s="34">
        <f>IFERROR(AH36/D36,0)</f>
        <v>0</v>
      </c>
      <c r="AX36" s="34">
        <f>IFERROR(AN36/D36,0)</f>
        <v>0</v>
      </c>
      <c r="AY36" s="4">
        <f t="shared" ref="AY36" si="61">SUM(AS36:AX36)</f>
        <v>1</v>
      </c>
    </row>
    <row r="37" spans="1:51" thickBot="1" x14ac:dyDescent="0.35">
      <c r="A37" s="1" t="s">
        <v>1468</v>
      </c>
      <c r="B37" s="1" t="str">
        <f>IF(IFERROR(VLOOKUP(A37,DATA_KPI!$D:$H,5,FALSE),"")="",VLOOKUP(A37,DATA_KPI_PRE!$D:$H,5,FALSE),VLOOKUP(A37,DATA_KPI!$D:$H,5,FALSE))</f>
        <v>S85</v>
      </c>
      <c r="C37">
        <f>IFERROR(VLOOKUP(_xlfn.CONCAT($C$3,"_",B37,"_",$C$2,"_",Parámetros!$C$6),DATA_KPI!$A:$H,6,FALSE),0)</f>
        <v>0</v>
      </c>
      <c r="D37" s="68">
        <f>IFERROR(VLOOKUP(_xlfn.CONCAT($D$3,"_",B37,"_",$C$2,"_",Parámetros!$C$6),DATA_KPI!A:H,6,FALSE),0)</f>
        <v>7492937.9899999984</v>
      </c>
      <c r="E37" s="34">
        <f t="shared" ref="E37:E38" si="62">IFERROR(+D37/C37,0)</f>
        <v>0</v>
      </c>
      <c r="F37" s="68">
        <f>IFERROR(VLOOKUP(_xlfn.CONCAT($D$3,"_",B37,"_",$C$2,"_",Parámetros!$C$6),DATA_KPI_PRE!$A:$F,6,FALSE),0)</f>
        <v>10353560.148540344</v>
      </c>
      <c r="G37" s="34">
        <f t="shared" ref="G37:G38" si="63">IFERROR(+(D37/F37)-1,0)</f>
        <v>-0.27629357607427807</v>
      </c>
      <c r="H37" s="34"/>
      <c r="I37">
        <f>IFERROR(VLOOKUP(_xlfn.CONCAT($I$3,"_",B37,"_",$I$2,"_",Parámetros!$C$6),DATA_KPI!$A:$H,6,FALSE),0)</f>
        <v>0</v>
      </c>
      <c r="J37" s="68">
        <f>IFERROR(VLOOKUP(_xlfn.CONCAT($J$3,"_",B37,"_",$I$2,"_",Parámetros!$C$6),DATA_KPI!$A:$H,6,FALSE),0)</f>
        <v>7291624.6699999981</v>
      </c>
      <c r="K37" s="22">
        <f t="shared" ref="K37:K38" si="64">IFERROR(+J37/I37,0)</f>
        <v>0</v>
      </c>
      <c r="L37" s="68">
        <f>IFERROR(VLOOKUP(_xlfn.CONCAT($J$3,"_",B37,"_",$I$2,"_",Parámetros!$C$6),DATA_KPI_PRE!A:F,6,FALSE),0)</f>
        <v>9741976.0392254759</v>
      </c>
      <c r="M37" s="34">
        <f t="shared" ref="M37:M38" si="65">IFERROR(+(J37/L37)-1,0)</f>
        <v>-0.25152508683651931</v>
      </c>
      <c r="N37" s="7"/>
      <c r="O37" s="73">
        <f>IFERROR(VLOOKUP(_xlfn.CONCAT($O$3,"_",B37,"_",$O$2,"_",Parámetros!$C$6),DATA_KPI!$A:$H,6,FALSE),0)</f>
        <v>0</v>
      </c>
      <c r="P37" s="73">
        <f>IFERROR(VLOOKUP(_xlfn.CONCAT($P$3,"_",B37,"_",$O$2,"_",Parámetros!$C$6),DATA_KPI!$A:$H,6,FALSE),0)</f>
        <v>201313.31999999995</v>
      </c>
      <c r="Q37" s="22">
        <f t="shared" ref="Q37:Q38" si="66">IFERROR(+P37/O37,0)</f>
        <v>0</v>
      </c>
      <c r="R37" s="73">
        <f>IFERROR(VLOOKUP(_xlfn.CONCAT($P$3,"_",B37,"_",$O$2,"_",Parámetros!$C$6),DATA_KPI_PRE!A:F,6,FALSE),0)</f>
        <v>611584.10931486776</v>
      </c>
      <c r="S37" s="26">
        <f t="shared" ref="S37:S38" si="67">IFERROR(+(P37/R37)-1,0)</f>
        <v>-0.67083297794391217</v>
      </c>
      <c r="T37" s="7"/>
      <c r="U37" s="14">
        <f>IFERROR(VLOOKUP(_xlfn.CONCAT($U$3,"_",B37,"_",$U$2,"_",Parámetros!$C$6),DATA_KPI!$A:$H,6,FALSE),0)</f>
        <v>0</v>
      </c>
      <c r="V37" s="14">
        <f>IFERROR(VLOOKUP(_xlfn.CONCAT($V$3,"_",B37,"_",$U$2,"_",Parámetros!$C$6),DATA_KPI!$A:$H,6,FALSE),0)</f>
        <v>0</v>
      </c>
      <c r="W37" s="4">
        <f t="shared" ref="W37:W38" si="68">IFERROR(+V37/U37,0)</f>
        <v>0</v>
      </c>
      <c r="X37" s="4">
        <f>IFERROR(VLOOKUP(_xlfn.CONCAT($V$3,"_",B37,"_",$U$2,"_",Parámetros!$C$6),DATA_KPI_PRE!A:F,6,FALSE),0)</f>
        <v>0</v>
      </c>
      <c r="Y37" s="4">
        <f t="shared" ref="Y37:Y38" si="69">IFERROR(+(V37/X37)-1,0)</f>
        <v>0</v>
      </c>
      <c r="Z37" s="7"/>
      <c r="AA37" s="14">
        <f>IFERROR(VLOOKUP(_xlfn.CONCAT($AA$3,"_",B37,"_",$AA$2,"_",Parámetros!$C$6),DATA_KPI!$A:$H,6,FALSE),0)</f>
        <v>0</v>
      </c>
      <c r="AB37" s="14">
        <f>IFERROR(VLOOKUP(_xlfn.CONCAT($AB$3,"_",B37,"_",$AA$2,"_",Parámetros!$C$6),DATA_KPI!$A:$H,6,FALSE),0)</f>
        <v>0</v>
      </c>
      <c r="AC37" s="4">
        <f t="shared" ref="AC37:AC38" si="70">IFERROR(+AB37/AA37,0)</f>
        <v>0</v>
      </c>
      <c r="AD37" s="4">
        <f>IFERROR(VLOOKUP(_xlfn.CONCAT($AB$3,"_",B37,"_",$AA$2,"_",Parámetros!$C$6),DATA_KPI_PRE!A:F,6,FALSE),0)</f>
        <v>0</v>
      </c>
      <c r="AE37" s="4">
        <f t="shared" ref="AE37:AE38" si="71">IFERROR(+(AB37/AD37)-1,0)</f>
        <v>0</v>
      </c>
      <c r="AF37" s="8"/>
      <c r="AG37" s="14">
        <f>IFERROR(VLOOKUP(_xlfn.CONCAT($AG$3,"_",B37,"_",$AG$2,"_",Parámetros!$C$6),DATA_KPI!$A:$H,6,FALSE),0)</f>
        <v>0</v>
      </c>
      <c r="AH37" s="14">
        <f>IFERROR(VLOOKUP(_xlfn.CONCAT($AH$3,"_",B37,"_",$AG$2,"_",Parámetros!$C$6),DATA_KPI!$A:$H,6,FALSE),0)</f>
        <v>0</v>
      </c>
      <c r="AI37" s="27">
        <f t="shared" ref="AI37:AI38" si="72">IFERROR(+AH37/AG37,0)</f>
        <v>0</v>
      </c>
      <c r="AJ37" s="14">
        <f>IFERROR(VLOOKUP(_xlfn.CONCAT($AH$3,"_",B37,"_",$AG$2,"_",Parámetros!$C$6),DATA_KPI_PRE!A:F,6,FALSE),0)</f>
        <v>0</v>
      </c>
      <c r="AK37" s="27">
        <f t="shared" ref="AK37:AK38" si="73">IFERROR(+(AH37/AJ37)-1,0)</f>
        <v>0</v>
      </c>
      <c r="AM37" s="14">
        <f>IFERROR(VLOOKUP(_xlfn.CONCAT($AM$3,"_",B37,"_",$AM$2,"_",Parámetros!$C$6),DATA_KPI!$A:$H,6,FALSE),0)</f>
        <v>0</v>
      </c>
      <c r="AN37" s="14">
        <f>IFERROR(VLOOKUP(_xlfn.CONCAT($AN$3,"_",B37,"_",$AM$2,"_",Parámetros!$C$6),DATA_KPI!$A:$H,6,FALSE),0)</f>
        <v>0</v>
      </c>
      <c r="AO37" s="22">
        <f t="shared" ref="AO37:AO38" si="74">IFERROR(+AN37/AM37,0)</f>
        <v>0</v>
      </c>
      <c r="AP37" s="14">
        <f>IFERROR(VLOOKUP(_xlfn.CONCAT($AN$3,"_",B37,"_",$AM$2,"_",Parámetros!$C$6),DATA_KPI_PRE!A:F,6,FALSE),0)</f>
        <v>0</v>
      </c>
      <c r="AQ37" s="25">
        <f t="shared" ref="AQ37:AQ38" si="75">IFERROR(+(AN37/AP37)-1,0)</f>
        <v>0</v>
      </c>
      <c r="AS37" s="34">
        <f>IFERROR(J37/D37,0)</f>
        <v>0.97313292592723022</v>
      </c>
      <c r="AT37" s="34">
        <f>IFERROR(P37/D37,0)</f>
        <v>2.6867074072769684E-2</v>
      </c>
      <c r="AU37" s="34">
        <f>IFERROR(V37/D37,0)</f>
        <v>0</v>
      </c>
      <c r="AV37" s="34">
        <f>IFERROR(AB37/D37,0)</f>
        <v>0</v>
      </c>
      <c r="AW37" s="34">
        <f>IFERROR(AH37/D37,0)</f>
        <v>0</v>
      </c>
      <c r="AX37" s="34">
        <f>IFERROR(AN37/D37,0)</f>
        <v>0</v>
      </c>
      <c r="AY37" s="4">
        <f t="shared" ref="AY37:AY38" si="76">SUM(AS37:AX37)</f>
        <v>0.99999999999999989</v>
      </c>
    </row>
    <row r="38" spans="1:51" thickBot="1" x14ac:dyDescent="0.35">
      <c r="A38" s="1" t="s">
        <v>641</v>
      </c>
      <c r="B38" s="1" t="s">
        <v>642</v>
      </c>
      <c r="C38" s="72">
        <f>IFERROR(VLOOKUP(_xlfn.CONCAT($C$3,"_",B38,"_",$C$2,"_",Parámetros!$C$6),DATA_KPI!$A:$H,6,FALSE),0)</f>
        <v>0</v>
      </c>
      <c r="D38" s="72">
        <f>IFERROR(VLOOKUP(_xlfn.CONCAT($D$3,"_",B38,"_",$C$2,"_",Parámetros!$C$6),DATA_KPI!A:H,6,FALSE),0)</f>
        <v>1611443.4600000016</v>
      </c>
      <c r="E38" s="36">
        <f t="shared" si="62"/>
        <v>0</v>
      </c>
      <c r="F38" s="72">
        <f>IFERROR(VLOOKUP(_xlfn.CONCAT($D$3,"_",B38,"_",$C$2,"_",Parámetros!$C$6),DATA_KPI_PRE!$A:$F,6,FALSE),0)</f>
        <v>2892062.6233499311</v>
      </c>
      <c r="G38" s="36">
        <f t="shared" si="63"/>
        <v>-0.44280478334406326</v>
      </c>
      <c r="H38" s="38"/>
      <c r="I38" s="77">
        <f>IFERROR(VLOOKUP(_xlfn.CONCAT($I$3,"_",B38,"_",$I$2,"_",Parámetros!$C$6),DATA_KPI!$A:$H,6,FALSE),0)</f>
        <v>0</v>
      </c>
      <c r="J38" s="72">
        <f>IFERROR(VLOOKUP(_xlfn.CONCAT($J$3,"_",B38,"_",$I$2,"_",Parámetros!$C$6),DATA_KPI!$A:$H,6,FALSE),0)</f>
        <v>1611443.4600000016</v>
      </c>
      <c r="K38" s="23">
        <f t="shared" si="64"/>
        <v>0</v>
      </c>
      <c r="L38" s="76">
        <f>IFERROR(VLOOKUP(_xlfn.CONCAT($J$3,"_",B38,"_",$I$2,"_",Parámetros!$C$6),DATA_KPI_PRE!A:F,6,FALSE),0)</f>
        <v>0</v>
      </c>
      <c r="M38" s="34">
        <f t="shared" si="65"/>
        <v>0</v>
      </c>
      <c r="O38" s="74">
        <f>IFERROR(VLOOKUP(_xlfn.CONCAT($O$3,"_",B38,"_",$O$2,"_",Parámetros!$C$6),DATA_KPI!$A:$H,6,FALSE),0)</f>
        <v>0</v>
      </c>
      <c r="P38" s="74">
        <f>IFERROR(VLOOKUP(_xlfn.CONCAT($P$3,"_",B38,"_",$O$2,"_",Parámetros!$C$6),DATA_KPI!$A:$H,6,FALSE),0)</f>
        <v>0</v>
      </c>
      <c r="Q38" s="22">
        <f t="shared" si="66"/>
        <v>0</v>
      </c>
      <c r="R38" s="74">
        <f>IFERROR(VLOOKUP(_xlfn.CONCAT($P$3,"_",B38,"_",$O$2,"_",Parámetros!$C$6),DATA_KPI_PRE!A:F,6,FALSE),0)</f>
        <v>2892062.6233499311</v>
      </c>
      <c r="S38" s="26">
        <f t="shared" si="67"/>
        <v>-1</v>
      </c>
      <c r="U38" s="15">
        <f>IFERROR(VLOOKUP(_xlfn.CONCAT($U$3,"_",B38,"_",$U$2,"_",Parámetros!$C$6),DATA_KPI!$A:$H,6,FALSE),0)</f>
        <v>0</v>
      </c>
      <c r="V38" s="15">
        <f>IFERROR(VLOOKUP(_xlfn.CONCAT($V$3,"_",B38,"_",$U$2,"_",Parámetros!$C$6),DATA_KPI!$A:$H,6,FALSE),0)</f>
        <v>0</v>
      </c>
      <c r="W38" s="13">
        <f t="shared" si="68"/>
        <v>0</v>
      </c>
      <c r="X38" s="15">
        <f>IFERROR(VLOOKUP(_xlfn.CONCAT($V$3,"_",B38,"_",$U$2,"_",Parámetros!$C$6),DATA_KPI_PRE!A:F,6,FALSE),0)</f>
        <v>0</v>
      </c>
      <c r="Y38" s="26">
        <f t="shared" si="69"/>
        <v>0</v>
      </c>
      <c r="AA38" s="15">
        <f>IFERROR(VLOOKUP(_xlfn.CONCAT($AA$3,"_",B38,"_",$AA$2,"_",Parámetros!$C$6),DATA_KPI!$A:$H,6,FALSE),0)</f>
        <v>0</v>
      </c>
      <c r="AB38" s="15">
        <f>IFERROR(VLOOKUP(_xlfn.CONCAT($AB$3,"_",B38,"_",$AA$2,"_",Parámetros!$C$6),DATA_KPI!$A:$H,6,FALSE),0)</f>
        <v>0</v>
      </c>
      <c r="AC38" s="13">
        <f t="shared" si="70"/>
        <v>0</v>
      </c>
      <c r="AD38" s="15">
        <f>IFERROR(VLOOKUP(_xlfn.CONCAT($AB$3,"_",B38,"_",$AA$2,"_",Parámetros!$C$6),DATA_KPI_PRE!A:F,6,FALSE),0)</f>
        <v>0</v>
      </c>
      <c r="AE38" s="26">
        <f t="shared" si="71"/>
        <v>0</v>
      </c>
      <c r="AG38" s="15">
        <f>IFERROR(VLOOKUP(_xlfn.CONCAT($AG$3,"_",B38,"_",$AG$2,"_",Parámetros!$C$6),DATA_KPI!$A:$H,6,FALSE),0)</f>
        <v>0</v>
      </c>
      <c r="AH38" s="15">
        <f>IFERROR(VLOOKUP(_xlfn.CONCAT($AH$3,"_",B38,"_",$AG$2,"_",Parámetros!$C$6),DATA_KPI!$A:$H,6,FALSE),0)</f>
        <v>0</v>
      </c>
      <c r="AI38" s="26">
        <f t="shared" si="72"/>
        <v>0</v>
      </c>
      <c r="AJ38" s="15">
        <f>IFERROR(VLOOKUP(_xlfn.CONCAT($AH$3,"_",B38,"_",$AG$2,"_",Parámetros!$C$6),DATA_KPI_PRE!A:F,6,FALSE),0)</f>
        <v>0</v>
      </c>
      <c r="AK38" s="27">
        <f t="shared" si="73"/>
        <v>0</v>
      </c>
      <c r="AM38" s="15">
        <f>IFERROR(VLOOKUP(_xlfn.CONCAT($AM$3,"_",B38,"_",$AM$2,"_",Parámetros!$C$6),DATA_KPI!$A:$H,6,FALSE),0)</f>
        <v>0</v>
      </c>
      <c r="AN38" s="15">
        <f>IFERROR(VLOOKUP(_xlfn.CONCAT($AN$3,"_",B38,"_",$AM$2,"_",Parámetros!$C$6),DATA_KPI!$A:$H,6,FALSE),0)</f>
        <v>0</v>
      </c>
      <c r="AO38" s="23">
        <f t="shared" si="74"/>
        <v>0</v>
      </c>
      <c r="AP38" s="15">
        <f>IFERROR(VLOOKUP(_xlfn.CONCAT($AN$3,"_",B38,"_",$AM$2,"_",Parámetros!$C$6),DATA_KPI_PRE!A:F,6,FALSE),0)</f>
        <v>0</v>
      </c>
      <c r="AQ38" s="26">
        <f t="shared" si="75"/>
        <v>0</v>
      </c>
      <c r="AS38" s="36">
        <f>IFERROR(J38/D38,0)</f>
        <v>1</v>
      </c>
      <c r="AT38" s="36">
        <f>IFERROR(P38/D38,0)</f>
        <v>0</v>
      </c>
      <c r="AU38" s="36">
        <f>IFERROR(V38/D38,0)</f>
        <v>0</v>
      </c>
      <c r="AV38" s="36">
        <f>IFERROR(AB38/D38,0)</f>
        <v>0</v>
      </c>
      <c r="AW38" s="36">
        <f>IFERROR(AH38/D38,0)</f>
        <v>0</v>
      </c>
      <c r="AX38" s="36">
        <f>IFERROR(AN38/D38,0)</f>
        <v>0</v>
      </c>
      <c r="AY38" s="4">
        <f t="shared" si="76"/>
        <v>1</v>
      </c>
    </row>
    <row r="39" spans="1:51" ht="14.4" x14ac:dyDescent="0.3">
      <c r="A39" s="6" t="s">
        <v>23</v>
      </c>
      <c r="B39" s="1"/>
      <c r="C39" s="68">
        <f>IFERROR(VLOOKUP(_xlfn.CONCAT($C$3,"_",A35,"_",$C$2,"_",Parámetros!$C$6),DATA_KPI!$A:$H,6,FALSE),0)</f>
        <v>0</v>
      </c>
      <c r="D39" s="68">
        <f>IFERROR(VLOOKUP(_xlfn.CONCAT(D3,"_",A35,"_",$C$2,"_",Parámetros!$C$6),DATA_KPI!$A:$H,6,FALSE),0)</f>
        <v>17168621.069999997</v>
      </c>
      <c r="E39" s="34">
        <f>IFERROR(D39/C39,0)</f>
        <v>0</v>
      </c>
      <c r="F39" s="68">
        <f>IFERROR(VLOOKUP(_xlfn.CONCAT($D$3,"_",A35,"_",$C$2,"_",Parámetros!$C$6),DATA_KPI_PRE!$A:$F,6,FALSE),0)</f>
        <v>28067030.692833573</v>
      </c>
      <c r="G39" s="34">
        <f>IFERROR(+(D39/F39)-1,0)</f>
        <v>-0.38829934459779869</v>
      </c>
      <c r="H39" s="34"/>
      <c r="I39" s="73">
        <f>IFERROR(VLOOKUP(_xlfn.CONCAT($I$3,"_",A35,"_",$I$2,"_",Parámetros!$C$6),DATA_KPI!$A:$H,6,FALSE),0)</f>
        <v>0</v>
      </c>
      <c r="J39" s="73">
        <f>IFERROR(VLOOKUP(_xlfn.CONCAT(J3,"_",A35,"_",$I$2,"_",Parámetros!$C$6),DATA_KPI!$A:$H,6,FALSE),0)</f>
        <v>16206247.619999997</v>
      </c>
      <c r="K39" s="22">
        <f>IFERROR(J39/I39,0)</f>
        <v>0</v>
      </c>
      <c r="L39" s="73">
        <f>IFERROR(VLOOKUP(_xlfn.CONCAT(J3,"_",A35,"_",I2,"_",Parámetros!$C$6),DATA_KPI_PRE!$A:$F,6,FALSE),0)</f>
        <v>23774027.151130617</v>
      </c>
      <c r="M39" s="34">
        <f t="shared" ref="M39:M57" si="77">IFERROR(+(J39/L39)-1,0)</f>
        <v>-0.31832131270913944</v>
      </c>
      <c r="O39" s="73">
        <f>IFERROR(VLOOKUP(_xlfn.CONCAT(O3,"_",A35,"_",O2,"_",Parámetros!$C$6),DATA_KPI!$A:$H,6,FALSE),0)</f>
        <v>0</v>
      </c>
      <c r="P39" s="73">
        <f>IFERROR(VLOOKUP(_xlfn.CONCAT(P3,"_",A35,"_",O2,"_",Parámetros!$C$6),DATA_KPI!$A:$H,6,FALSE),0)</f>
        <v>962373.44999999984</v>
      </c>
      <c r="Q39" s="22">
        <f>IFERROR(P39/O39,0)</f>
        <v>0</v>
      </c>
      <c r="R39" s="14">
        <f>IFERROR(VLOOKUP(_xlfn.CONCAT(P3,"_",A35,"_",O2,"_",Parámetros!$C$6),DATA_KPI_PRE!$A:$F,6,FALSE),0)</f>
        <v>4293003.541702955</v>
      </c>
      <c r="S39" s="25">
        <f t="shared" ref="S39:S57" si="78">IFERROR(+(P39/R39)-1,0)</f>
        <v>-0.77582747355054726</v>
      </c>
      <c r="U39" s="14">
        <f>IFERROR(VLOOKUP(_xlfn.CONCAT(U3,"_",A35,"_",U2,"_",Parámetros!$C$6),DATA_KPI!$A:$H,6,FALSE),0)</f>
        <v>0</v>
      </c>
      <c r="V39" s="14">
        <f>IFERROR(VLOOKUP(_xlfn.CONCAT(V3,"_",A35,"_",U2,"_",Parámetros!$C$6),DATA_KPI!$A:$H,6,FALSE),0)</f>
        <v>0</v>
      </c>
      <c r="W39" s="22">
        <f>IFERROR(V39/U39,0)</f>
        <v>0</v>
      </c>
      <c r="X39" s="14">
        <f>IFERROR(VLOOKUP(_xlfn.CONCAT(V3,"_",A35,"_",U2,"_",Parámetros!$C$6),DATA_KPI_PRE!$A:$F,6,FALSE),0)</f>
        <v>0</v>
      </c>
      <c r="Y39" s="25">
        <f t="shared" ref="Y39:Y57" si="79">IFERROR(+(V39/X39)-1,0)</f>
        <v>0</v>
      </c>
      <c r="AA39" s="14">
        <f>IFERROR(VLOOKUP(_xlfn.CONCAT(AA3,"_",A35,"_",AA2,"_",Parámetros!$C$6),DATA_KPI!$A:$H,6,FALSE),0)</f>
        <v>0</v>
      </c>
      <c r="AB39" s="14">
        <f>IFERROR(VLOOKUP(_xlfn.CONCAT(AB3,"_",A35,"_",AA2,"_",Parámetros!$C$6),DATA_KPI!$A:$H,6,FALSE),0)</f>
        <v>0</v>
      </c>
      <c r="AC39" s="22">
        <f>IFERROR(AB39/AA39,0)</f>
        <v>0</v>
      </c>
      <c r="AD39" s="14">
        <f>IFERROR(VLOOKUP(_xlfn.CONCAT(AB3,"_",A35,"_",AA2,"_",Parámetros!$C$6),DATA_KPI_PRE!$A:$F,6,FALSE),0)</f>
        <v>0</v>
      </c>
      <c r="AE39" s="25">
        <f t="shared" ref="AE39:AE57" si="80">IFERROR(+(AB39/AD39)-1,0)</f>
        <v>0</v>
      </c>
      <c r="AG39" s="14">
        <f>IFERROR(VLOOKUP(_xlfn.CONCAT(AG3,"_",A35,"_",AG2,"_",Parámetros!$C$6),DATA_KPI!$A:$H,6,FALSE),0)</f>
        <v>0</v>
      </c>
      <c r="AH39" s="14">
        <f>IFERROR(VLOOKUP(_xlfn.CONCAT(AH3,"_",A35,"_",AG2,"_",Parámetros!$C$6),DATA_KPI!$A:$H,6,FALSE),0)</f>
        <v>0</v>
      </c>
      <c r="AI39" s="25">
        <f>IFERROR(AH39/AG39,0)</f>
        <v>0</v>
      </c>
      <c r="AJ39" s="14">
        <f>IFERROR(VLOOKUP(_xlfn.CONCAT(AH3,"_",A35,"_",AG2,"_",Parámetros!$C$6),DATA_KPI_PRE!$A:$F,6,FALSE),0)</f>
        <v>0</v>
      </c>
      <c r="AK39" s="25">
        <f t="shared" ref="AK39:AK57" si="81">IFERROR(+(AH39/AJ39)-1,0)</f>
        <v>0</v>
      </c>
      <c r="AM39" s="14">
        <f>IFERROR(VLOOKUP(_xlfn.CONCAT($AM$3,"_",$A$35,"_",$AM$2,"_",Parámetros!$C$6),DATA_KPI!$A:$H,6,FALSE),0)</f>
        <v>0</v>
      </c>
      <c r="AN39" s="14">
        <f>IFERROR(VLOOKUP(_xlfn.CONCAT($AN$3,"_",A35,"_",$AM$2,"_",Parámetros!$C$6),DATA_KPI!$A:$H,6,FALSE),0)</f>
        <v>0</v>
      </c>
      <c r="AO39" s="22">
        <f>IFERROR(AN39/AM39,0)</f>
        <v>0</v>
      </c>
      <c r="AP39" s="14">
        <f>IFERROR(VLOOKUP(_xlfn.CONCAT(AH3,"_",A35,"_",AM2,"_",Parámetros!$C$6),DATA_KPI_PRE!$A:$F,6,FALSE),0)</f>
        <v>0</v>
      </c>
      <c r="AQ39" s="25">
        <f t="shared" ref="AQ39:AQ57" si="82">IFERROR(+(AN39/AP39)-1,0)</f>
        <v>0</v>
      </c>
      <c r="AS39" s="34">
        <f>J39/D39</f>
        <v>0.94394579238040111</v>
      </c>
      <c r="AT39" s="34">
        <f>P39/D39</f>
        <v>5.6054207619598888E-2</v>
      </c>
      <c r="AU39" s="34">
        <f>V39/D39</f>
        <v>0</v>
      </c>
      <c r="AV39" s="34">
        <f>AB39/D39</f>
        <v>0</v>
      </c>
      <c r="AW39" s="34">
        <f>AH39/D39</f>
        <v>0</v>
      </c>
      <c r="AX39" s="34">
        <f>AN39/D39</f>
        <v>0</v>
      </c>
      <c r="AY39" s="4">
        <f t="shared" ref="AY39" si="83">SUM(AS39:AX39)</f>
        <v>1</v>
      </c>
    </row>
    <row r="40" spans="1:51" ht="14.4" hidden="1" x14ac:dyDescent="0.3">
      <c r="C40" s="14"/>
      <c r="D40" s="73">
        <f>SUM(D36:D38)</f>
        <v>17168621.069999997</v>
      </c>
      <c r="E40" s="22"/>
      <c r="F40" s="73">
        <f>SUM(F36:F38)</f>
        <v>28067030.692833573</v>
      </c>
      <c r="G40" s="34"/>
      <c r="H40" s="34"/>
      <c r="I40" s="14"/>
      <c r="J40" s="73">
        <f>SUM(J36:J38)</f>
        <v>16206247.619999997</v>
      </c>
      <c r="K40" s="22"/>
      <c r="L40" s="73">
        <f>SUM(L36:L38)</f>
        <v>23774027.151130617</v>
      </c>
      <c r="M40" s="34"/>
      <c r="O40" s="14"/>
      <c r="P40" s="73">
        <f>SUM(P36:P38)</f>
        <v>962373.44999999984</v>
      </c>
      <c r="Q40" s="22"/>
      <c r="R40" s="73">
        <f>SUM(R36:R38)</f>
        <v>4293003.541702955</v>
      </c>
      <c r="S40" s="25"/>
      <c r="U40" s="73">
        <f>SUM(U36:U38)</f>
        <v>0</v>
      </c>
      <c r="V40" s="73">
        <f>SUM(V36:V38)</f>
        <v>0</v>
      </c>
      <c r="W40" s="4"/>
      <c r="X40" s="73">
        <f>SUM(X36:X38)</f>
        <v>0</v>
      </c>
      <c r="Y40" s="25"/>
      <c r="AA40" s="73">
        <f>SUM(AA36:AA38)</f>
        <v>0</v>
      </c>
      <c r="AB40" s="73">
        <f>SUM(AB36:AB38)</f>
        <v>0</v>
      </c>
      <c r="AC40" s="4"/>
      <c r="AD40" s="73">
        <f>SUM(AD36:AD38)</f>
        <v>0</v>
      </c>
      <c r="AE40" s="25"/>
      <c r="AG40" s="73">
        <f>SUM(AG36:AG38)</f>
        <v>0</v>
      </c>
      <c r="AH40" s="73">
        <f>SUM(AH36:AH38)</f>
        <v>0</v>
      </c>
      <c r="AI40" s="22"/>
      <c r="AJ40" s="73">
        <f>SUM(AJ36:AJ38)</f>
        <v>0</v>
      </c>
      <c r="AK40" s="25"/>
      <c r="AM40" s="73">
        <f>SUM(AM36:AM38)</f>
        <v>0</v>
      </c>
      <c r="AN40" s="73">
        <f>SUM(AN36:AN38)</f>
        <v>0</v>
      </c>
      <c r="AO40" s="22"/>
      <c r="AP40" s="73">
        <f>SUM(AP36:AP38)</f>
        <v>0</v>
      </c>
      <c r="AQ40" s="25"/>
    </row>
    <row r="41" spans="1:51" ht="14.4" x14ac:dyDescent="0.3">
      <c r="A41" s="18" t="s">
        <v>60</v>
      </c>
      <c r="B41" s="1"/>
      <c r="E41" s="22"/>
      <c r="F41" s="73"/>
      <c r="G41" s="22"/>
      <c r="H41" s="22"/>
      <c r="K41" s="22"/>
      <c r="L41" s="30"/>
      <c r="M41" s="22"/>
      <c r="O41" s="14"/>
      <c r="P41" s="14"/>
      <c r="Q41" s="22"/>
      <c r="R41" s="22"/>
      <c r="S41" s="22"/>
      <c r="U41" s="14"/>
      <c r="V41" s="14"/>
      <c r="W41" s="4"/>
      <c r="X41" s="4"/>
      <c r="Y41" s="4"/>
      <c r="AA41" s="14"/>
      <c r="AB41" s="14"/>
      <c r="AC41" s="4"/>
      <c r="AD41" s="4"/>
      <c r="AE41" s="4"/>
      <c r="AG41" s="14"/>
      <c r="AH41" s="14"/>
      <c r="AI41" s="22"/>
      <c r="AM41" s="14"/>
      <c r="AN41" s="14"/>
      <c r="AO41" s="22"/>
    </row>
    <row r="42" spans="1:51" ht="14.4" x14ac:dyDescent="0.3">
      <c r="A42" s="1" t="s">
        <v>43</v>
      </c>
      <c r="B42" s="1" t="str">
        <f>IF(IFERROR(VLOOKUP(A42,DATA_KPI!$D:$H,5,FALSE),"")="",VLOOKUP(A42,DATA_KPI_PRE!$D:$H,5,FALSE),VLOOKUP(A42,DATA_KPI!$D:$H,5,FALSE))</f>
        <v>V11</v>
      </c>
      <c r="C42" s="68">
        <f>IFERROR(VLOOKUP(_xlfn.CONCAT($C$3,"_",B42,"_",$C$2,"_",Parámetros!$C$6),DATA_KPI!$A:$H,6,FALSE),0)</f>
        <v>3722361.4900000012</v>
      </c>
      <c r="D42" s="68">
        <f>IFERROR(VLOOKUP(_xlfn.CONCAT($D$3,"_",B42,"_",$C$2,"_",Parámetros!$C$6),DATA_KPI!A:H,6,FALSE),0)</f>
        <v>3320240.3500000034</v>
      </c>
      <c r="E42" s="38">
        <f t="shared" ref="E42:E57" si="84">IFERROR(+(D42/C42)-1,0)</f>
        <v>-0.10802850316399493</v>
      </c>
      <c r="F42" s="68">
        <f>IFERROR(VLOOKUP(_xlfn.CONCAT($D$3,"_",B42,"_",$C$2,"_",Parámetros!$C$6),DATA_KPI_PRE!$A:$F,6,FALSE),0)</f>
        <v>3826664.6311260285</v>
      </c>
      <c r="G42" s="38">
        <f t="shared" ref="G42:G53" si="85">IFERROR(+(D42/F42)-1,0)</f>
        <v>-0.13234091041236751</v>
      </c>
      <c r="H42" s="38"/>
      <c r="I42" s="73">
        <f>IFERROR(VLOOKUP(_xlfn.CONCAT($I$3,"_",B42,"_",$I$2,"_",Parámetros!$C$6),DATA_KPI!$A:$H,6,FALSE),0)</f>
        <v>2315637.8000000012</v>
      </c>
      <c r="J42" s="73">
        <f>IFERROR(VLOOKUP(_xlfn.CONCAT($J$3,"_",B42,"_",$I$2,"_",Parámetros!$C$6),DATA_KPI!$A:$H,6,FALSE),0)</f>
        <v>2155611.8500000029</v>
      </c>
      <c r="K42" s="22">
        <f t="shared" ref="K42:K57" si="86">IFERROR(+(J42/I42)-1,0)</f>
        <v>-6.9106640943587205E-2</v>
      </c>
      <c r="L42" s="75">
        <f>IFERROR(VLOOKUP(_xlfn.CONCAT($J$3,"_",B42,"_",$I$2,"_",Parámetros!$C$6),DATA_KPI_PRE!A:F,6,FALSE),0)</f>
        <v>0</v>
      </c>
      <c r="M42" s="34">
        <f t="shared" si="77"/>
        <v>0</v>
      </c>
      <c r="O42" s="73">
        <f>IFERROR(VLOOKUP(_xlfn.CONCAT($O$3,"_",B42,"_",$O$2,"_",Parámetros!$C$6),DATA_KPI!$A:$H,6,FALSE),0)</f>
        <v>0</v>
      </c>
      <c r="P42" s="73">
        <f>IFERROR(VLOOKUP(_xlfn.CONCAT($P$3,"_",B42,"_",$O$2,"_",Parámetros!$C$6),DATA_KPI!$A:$H,6,FALSE),0)</f>
        <v>38185.869999999995</v>
      </c>
      <c r="Q42" s="22">
        <f t="shared" ref="Q42:Q57" si="87">IFERROR(+(P42/O42)-1,0)</f>
        <v>0</v>
      </c>
      <c r="R42" s="73">
        <f>IFERROR(VLOOKUP(_xlfn.CONCAT($P$3,"_",B42,"_",$O$2,"_",Parámetros!$C$6),DATA_KPI_PRE!A:F,6,FALSE),0)</f>
        <v>2468910.0688443445</v>
      </c>
      <c r="S42" s="25">
        <f t="shared" si="78"/>
        <v>-0.98453330865231792</v>
      </c>
      <c r="T42" s="4"/>
      <c r="U42" s="73">
        <f>IFERROR(VLOOKUP(_xlfn.CONCAT($U$3,"_",B42,"_",$U$2,"_",Parámetros!$C$6),DATA_KPI!$A:$H,6,FALSE),0)</f>
        <v>0</v>
      </c>
      <c r="V42" s="73">
        <f>IFERROR(VLOOKUP(_xlfn.CONCAT($V$3,"_",B42,"_",$U$2,"_",Parámetros!$C$6),DATA_KPI!$A:$H,6,FALSE),0)</f>
        <v>0</v>
      </c>
      <c r="W42" s="25">
        <f t="shared" ref="W42:W57" si="88">IFERROR(+(V42/U42)-1,0)</f>
        <v>0</v>
      </c>
      <c r="X42" s="73">
        <f>IFERROR(VLOOKUP(_xlfn.CONCAT($V$3,"_",B42,"_",$U$2,"_",Parámetros!$C$6),DATA_KPI_PRE!A:F,6,FALSE),0)</f>
        <v>0</v>
      </c>
      <c r="Y42" s="4">
        <f t="shared" si="79"/>
        <v>0</v>
      </c>
      <c r="AA42" s="73">
        <f>IFERROR(VLOOKUP(_xlfn.CONCAT($AA$3,"_",B42,"_",$AA$2,"_",Parámetros!$C$6),DATA_KPI!$A:$H,6,FALSE),0)</f>
        <v>0</v>
      </c>
      <c r="AB42" s="73">
        <f>IFERROR(VLOOKUP(_xlfn.CONCAT($AB$3,"_",B42,"_",$AA$2,"_",Parámetros!$C$6),DATA_KPI!$A:$H,6,FALSE),0)</f>
        <v>0</v>
      </c>
      <c r="AC42" s="4">
        <f t="shared" ref="AC42:AC57" si="89">IFERROR(+(AB42/AA42)-1,0)</f>
        <v>0</v>
      </c>
      <c r="AD42" s="73">
        <f>IFERROR(VLOOKUP(_xlfn.CONCAT($AB$3,"_",B42,"_",$AA$2,"_",Parámetros!$C$6),DATA_KPI_PRE!A:F,6,FALSE),0)</f>
        <v>0</v>
      </c>
      <c r="AE42" s="25">
        <f t="shared" si="80"/>
        <v>0</v>
      </c>
      <c r="AG42" s="73">
        <f>IFERROR(VLOOKUP(_xlfn.CONCAT($AG$3,"_",B42,"_",$AG$2,"_",Parámetros!$C$6),DATA_KPI!$A:$H,6,FALSE),0)</f>
        <v>1406723.69</v>
      </c>
      <c r="AH42" s="73">
        <f>IFERROR(VLOOKUP(_xlfn.CONCAT($AH$3,"_",B42,"_",$AG$2,"_",Parámetros!$C$6),DATA_KPI!$A:$H,6,FALSE),0)</f>
        <v>1126442.6300000006</v>
      </c>
      <c r="AI42" s="25">
        <f t="shared" ref="AI42:AI57" si="90">IFERROR(+(AH42/AG42)-1,0)</f>
        <v>-0.19924386145796646</v>
      </c>
      <c r="AJ42" s="73">
        <f>IFERROR(VLOOKUP(_xlfn.CONCAT($AH$3,"_",B42,"_",$AG$2,"_",Parámetros!$C$6),DATA_KPI_PRE!A:F,6,FALSE),0)</f>
        <v>1357754.562281684</v>
      </c>
      <c r="AK42" s="25">
        <f t="shared" si="81"/>
        <v>-0.17036358315966005</v>
      </c>
      <c r="AM42" s="73">
        <f>IFERROR(VLOOKUP(_xlfn.CONCAT($AM$3,"_",B42,"_",$AM$2,"_",Parámetros!$C$6),DATA_KPI!$A:$H,6,FALSE),0)</f>
        <v>0</v>
      </c>
      <c r="AN42" s="73">
        <f>IFERROR(VLOOKUP(_xlfn.CONCAT($AN$3,"_",B42,"_",$AM$2,"_",Parámetros!$C$6),DATA_KPI!$A:$H,6,FALSE),0)</f>
        <v>0</v>
      </c>
      <c r="AO42" s="73">
        <f t="shared" ref="AO42:AO51" si="91">IFERROR(+AN42/AM42,0)</f>
        <v>0</v>
      </c>
      <c r="AP42" s="73">
        <f>IFERROR(VLOOKUP(_xlfn.CONCAT($AN$3,"_",B42,"_",$AM$2,"_",Parámetros!$C$6),DATA_KPI_PRE!A:F,6,FALSE),0)</f>
        <v>0</v>
      </c>
      <c r="AQ42" s="25">
        <f t="shared" si="82"/>
        <v>0</v>
      </c>
      <c r="AS42" s="34">
        <f t="shared" ref="AS42:AS53" si="92">J42/D42</f>
        <v>0.64923367671259125</v>
      </c>
      <c r="AT42" s="34">
        <f t="shared" ref="AT42:AT53" si="93">P42/D42</f>
        <v>1.1500935466915808E-2</v>
      </c>
      <c r="AU42" s="34">
        <f t="shared" ref="AU42:AU53" si="94">V42/D42</f>
        <v>0</v>
      </c>
      <c r="AV42" s="34">
        <f t="shared" ref="AV42:AV53" si="95">AB42/D42</f>
        <v>0</v>
      </c>
      <c r="AW42" s="34">
        <f t="shared" ref="AW42:AW53" si="96">AH42/D42</f>
        <v>0.33926538782049304</v>
      </c>
      <c r="AX42" s="34">
        <f t="shared" ref="AX42:AX53" si="97">AN42/D42</f>
        <v>0</v>
      </c>
      <c r="AY42" s="4">
        <f t="shared" ref="AY42" si="98">SUM(AS42:AX42)</f>
        <v>1</v>
      </c>
    </row>
    <row r="43" spans="1:51" ht="14.4" x14ac:dyDescent="0.3">
      <c r="A43" s="1" t="s">
        <v>50</v>
      </c>
      <c r="B43" s="1" t="str">
        <f>IF(IFERROR(VLOOKUP(A43,DATA_KPI!$D:$H,5,FALSE),"")="",VLOOKUP(A43,DATA_KPI_PRE!$D:$H,5,FALSE),VLOOKUP(A43,DATA_KPI!$D:$H,5,FALSE))</f>
        <v>V05</v>
      </c>
      <c r="C43" s="68">
        <f>IFERROR(VLOOKUP(_xlfn.CONCAT($C$3,"_",B43,"_",$C$2,"_",Parámetros!$C$6),DATA_KPI!$A:$H,6,FALSE),0)</f>
        <v>3480893.9400000013</v>
      </c>
      <c r="D43" s="68">
        <f>IFERROR(VLOOKUP(_xlfn.CONCAT($D$3,"_",B43,"_",$C$2,"_",Parámetros!$C$6),DATA_KPI!A:H,6,FALSE),0)</f>
        <v>3281948.3300000019</v>
      </c>
      <c r="E43" s="38">
        <f t="shared" si="84"/>
        <v>-5.7153597159010028E-2</v>
      </c>
      <c r="F43" s="68">
        <f>IFERROR(VLOOKUP(_xlfn.CONCAT($D$3,"_",B43,"_",$C$2,"_",Parámetros!$C$6),DATA_KPI_PRE!$A:$F,6,FALSE),0)</f>
        <v>3603754.5773852896</v>
      </c>
      <c r="G43" s="38">
        <f t="shared" si="85"/>
        <v>-8.9297492510928667E-2</v>
      </c>
      <c r="H43" s="38"/>
      <c r="I43" s="73">
        <f>IFERROR(VLOOKUP(_xlfn.CONCAT($I$3,"_",B43,"_",$I$2,"_",Parámetros!$C$6),DATA_KPI!$A:$H,6,FALSE),0)</f>
        <v>1782062.5600000012</v>
      </c>
      <c r="J43" s="73">
        <f>IFERROR(VLOOKUP(_xlfn.CONCAT($J$3,"_",B43,"_",$I$2,"_",Parámetros!$C$6),DATA_KPI!$A:$H,6,FALSE),0)</f>
        <v>1534345.9500000014</v>
      </c>
      <c r="K43" s="22">
        <f t="shared" si="86"/>
        <v>-0.13900556330637448</v>
      </c>
      <c r="L43" s="75">
        <f>IFERROR(VLOOKUP(_xlfn.CONCAT($J$3,"_",B43,"_",$I$2,"_",Parámetros!$C$6),DATA_KPI_PRE!A:F,6,FALSE),0)</f>
        <v>0</v>
      </c>
      <c r="M43" s="34">
        <f t="shared" si="77"/>
        <v>0</v>
      </c>
      <c r="O43" s="73">
        <f>IFERROR(VLOOKUP(_xlfn.CONCAT($O$3,"_",B43,"_",$O$2,"_",Parámetros!$C$6),DATA_KPI!$A:$H,6,FALSE),0)</f>
        <v>0</v>
      </c>
      <c r="P43" s="73">
        <f>IFERROR(VLOOKUP(_xlfn.CONCAT($P$3,"_",B43,"_",$O$2,"_",Parámetros!$C$6),DATA_KPI!$A:$H,6,FALSE),0)</f>
        <v>0</v>
      </c>
      <c r="Q43" s="22">
        <f t="shared" si="87"/>
        <v>0</v>
      </c>
      <c r="R43" s="73">
        <f>IFERROR(VLOOKUP(_xlfn.CONCAT($P$3,"_",B43,"_",$O$2,"_",Parámetros!$C$6),DATA_KPI_PRE!A:F,6,FALSE),0)</f>
        <v>1857916.2379354837</v>
      </c>
      <c r="S43" s="25">
        <f t="shared" si="78"/>
        <v>-1</v>
      </c>
      <c r="T43" s="5"/>
      <c r="U43" s="73">
        <f>IFERROR(VLOOKUP(_xlfn.CONCAT($U$3,"_",B43,"_",$U$2,"_",Parámetros!$C$6),DATA_KPI!$A:$H,6,FALSE),0)</f>
        <v>0</v>
      </c>
      <c r="V43" s="73">
        <f>IFERROR(VLOOKUP(_xlfn.CONCAT($V$3,"_",B43,"_",$U$2,"_",Parámetros!$C$6),DATA_KPI!$A:$H,6,FALSE),0)</f>
        <v>0</v>
      </c>
      <c r="W43" s="25">
        <f t="shared" si="88"/>
        <v>0</v>
      </c>
      <c r="X43" s="73">
        <f>IFERROR(VLOOKUP(_xlfn.CONCAT($V$3,"_",B43,"_",$U$2,"_",Parámetros!$C$6),DATA_KPI_PRE!A:F,6,FALSE),0)</f>
        <v>0</v>
      </c>
      <c r="Y43" s="4">
        <f t="shared" si="79"/>
        <v>0</v>
      </c>
      <c r="AA43" s="73">
        <f>IFERROR(VLOOKUP(_xlfn.CONCAT($AA$3,"_",B43,"_",$AA$2,"_",Parámetros!$C$6),DATA_KPI!$A:$H,6,FALSE),0)</f>
        <v>0</v>
      </c>
      <c r="AB43" s="73">
        <f>IFERROR(VLOOKUP(_xlfn.CONCAT($AB$3,"_",B43,"_",$AA$2,"_",Parámetros!$C$6),DATA_KPI!$A:$H,6,FALSE),0)</f>
        <v>0</v>
      </c>
      <c r="AC43" s="4">
        <f t="shared" si="89"/>
        <v>0</v>
      </c>
      <c r="AD43" s="73">
        <f>IFERROR(VLOOKUP(_xlfn.CONCAT($AB$3,"_",B43,"_",$AA$2,"_",Parámetros!$C$6),DATA_KPI_PRE!A:F,6,FALSE),0)</f>
        <v>0</v>
      </c>
      <c r="AE43" s="25">
        <f t="shared" si="80"/>
        <v>0</v>
      </c>
      <c r="AG43" s="73">
        <f>IFERROR(VLOOKUP(_xlfn.CONCAT($AG$3,"_",B43,"_",$AG$2,"_",Parámetros!$C$6),DATA_KPI!$A:$H,6,FALSE),0)</f>
        <v>1698831.3800000004</v>
      </c>
      <c r="AH43" s="73">
        <f>IFERROR(VLOOKUP(_xlfn.CONCAT($AH$3,"_",B43,"_",$AG$2,"_",Parámetros!$C$6),DATA_KPI!$A:$H,6,FALSE),0)</f>
        <v>1747602.3800000008</v>
      </c>
      <c r="AI43" s="25">
        <f t="shared" si="90"/>
        <v>2.8708558467998468E-2</v>
      </c>
      <c r="AJ43" s="73">
        <f>IFERROR(VLOOKUP(_xlfn.CONCAT($AH$3,"_",B43,"_",$AG$2,"_",Parámetros!$C$6),DATA_KPI_PRE!A:F,6,FALSE),0)</f>
        <v>1745838.3394498061</v>
      </c>
      <c r="AK43" s="25">
        <f t="shared" si="81"/>
        <v>1.0104260574037571E-3</v>
      </c>
      <c r="AM43" s="73">
        <f>IFERROR(VLOOKUP(_xlfn.CONCAT($AM$3,"_",B43,"_",$AM$2,"_",Parámetros!$C$6),DATA_KPI!$A:$H,6,FALSE),0)</f>
        <v>0</v>
      </c>
      <c r="AN43" s="73">
        <f>IFERROR(VLOOKUP(_xlfn.CONCAT($AN$3,"_",B43,"_",$AM$2,"_",Parámetros!$C$6),DATA_KPI!$A:$H,6,FALSE),0)</f>
        <v>0</v>
      </c>
      <c r="AO43" s="73">
        <f t="shared" si="91"/>
        <v>0</v>
      </c>
      <c r="AP43" s="73">
        <f>IFERROR(VLOOKUP(_xlfn.CONCAT($AN$3,"_",B43,"_",$AM$2,"_",Parámetros!$C$6),DATA_KPI_PRE!A:F,6,FALSE),0)</f>
        <v>0</v>
      </c>
      <c r="AQ43" s="25">
        <f t="shared" si="82"/>
        <v>0</v>
      </c>
      <c r="AS43" s="34">
        <f t="shared" si="92"/>
        <v>0.46751069661111955</v>
      </c>
      <c r="AT43" s="34">
        <f t="shared" si="93"/>
        <v>0</v>
      </c>
      <c r="AU43" s="34">
        <f t="shared" si="94"/>
        <v>0</v>
      </c>
      <c r="AV43" s="34">
        <f t="shared" si="95"/>
        <v>0</v>
      </c>
      <c r="AW43" s="34">
        <f t="shared" si="96"/>
        <v>0.53248930338888056</v>
      </c>
      <c r="AX43" s="34">
        <f t="shared" si="97"/>
        <v>0</v>
      </c>
      <c r="AY43" s="4">
        <f t="shared" ref="AY43:AY50" si="99">SUM(AS43:AX43)</f>
        <v>1</v>
      </c>
    </row>
    <row r="44" spans="1:51" ht="14.4" x14ac:dyDescent="0.3">
      <c r="A44" s="1" t="s">
        <v>41</v>
      </c>
      <c r="B44" s="1" t="str">
        <f>IF(IFERROR(VLOOKUP(A44,DATA_KPI!$D:$H,5,FALSE),"")="",VLOOKUP(A44,DATA_KPI_PRE!$D:$H,5,FALSE),VLOOKUP(A44,DATA_KPI!$D:$H,5,FALSE))</f>
        <v>V13</v>
      </c>
      <c r="C44" s="68">
        <f>IFERROR(VLOOKUP(_xlfn.CONCAT($C$3,"_",B44,"_",$C$2,"_",Parámetros!$C$6),DATA_KPI!$A:$H,6,FALSE),0)</f>
        <v>4397403.150000005</v>
      </c>
      <c r="D44" s="68">
        <f>IFERROR(VLOOKUP(_xlfn.CONCAT($D$3,"_",B44,"_",$C$2,"_",Parámetros!$C$6),DATA_KPI!A:H,6,FALSE),0)</f>
        <v>4068718.2100000032</v>
      </c>
      <c r="E44" s="38">
        <f t="shared" si="84"/>
        <v>-7.4745236856439079E-2</v>
      </c>
      <c r="F44" s="68">
        <f>IFERROR(VLOOKUP(_xlfn.CONCAT($D$3,"_",B44,"_",$C$2,"_",Parámetros!$C$6),DATA_KPI_PRE!$A:$F,6,FALSE),0)</f>
        <v>4485495.2802585475</v>
      </c>
      <c r="G44" s="38">
        <f t="shared" si="85"/>
        <v>-9.2916622182806274E-2</v>
      </c>
      <c r="H44" s="38"/>
      <c r="I44" s="73">
        <f>IFERROR(VLOOKUP(_xlfn.CONCAT($I$3,"_",B44,"_",$I$2,"_",Parámetros!$C$6),DATA_KPI!$A:$H,6,FALSE),0)</f>
        <v>2758027.3100000033</v>
      </c>
      <c r="J44" s="73">
        <f>IFERROR(VLOOKUP(_xlfn.CONCAT($J$3,"_",B44,"_",$I$2,"_",Parámetros!$C$6),DATA_KPI!$A:$H,6,FALSE),0)</f>
        <v>2102868.430000002</v>
      </c>
      <c r="K44" s="22">
        <f t="shared" si="86"/>
        <v>-0.23754619021520873</v>
      </c>
      <c r="L44" s="75">
        <f>IFERROR(VLOOKUP(_xlfn.CONCAT($J$3,"_",B44,"_",$I$2,"_",Parámetros!$C$6),DATA_KPI_PRE!A:F,6,FALSE),0)</f>
        <v>0</v>
      </c>
      <c r="M44" s="34">
        <f t="shared" si="77"/>
        <v>0</v>
      </c>
      <c r="O44" s="73">
        <f>IFERROR(VLOOKUP(_xlfn.CONCAT($O$3,"_",B44,"_",$O$2,"_",Parámetros!$C$6),DATA_KPI!$A:$H,6,FALSE),0)</f>
        <v>0</v>
      </c>
      <c r="P44" s="73">
        <f>IFERROR(VLOOKUP(_xlfn.CONCAT($P$3,"_",B44,"_",$O$2,"_",Parámetros!$C$6),DATA_KPI!$A:$H,6,FALSE),0)</f>
        <v>0</v>
      </c>
      <c r="Q44" s="22">
        <f t="shared" si="87"/>
        <v>0</v>
      </c>
      <c r="R44" s="73">
        <f>IFERROR(VLOOKUP(_xlfn.CONCAT($P$3,"_",B44,"_",$O$2,"_",Parámetros!$C$6),DATA_KPI_PRE!A:F,6,FALSE),0)</f>
        <v>2693124.1566219567</v>
      </c>
      <c r="S44" s="25">
        <f t="shared" si="78"/>
        <v>-1</v>
      </c>
      <c r="T44" s="4"/>
      <c r="U44" s="73">
        <f>IFERROR(VLOOKUP(_xlfn.CONCAT($U$3,"_",B44,"_",$U$2,"_",Parámetros!$C$6),DATA_KPI!$A:$H,6,FALSE),0)</f>
        <v>0</v>
      </c>
      <c r="V44" s="73">
        <f>IFERROR(VLOOKUP(_xlfn.CONCAT($V$3,"_",B44,"_",$U$2,"_",Parámetros!$C$6),DATA_KPI!$A:$H,6,FALSE),0)</f>
        <v>0</v>
      </c>
      <c r="W44" s="25">
        <f t="shared" si="88"/>
        <v>0</v>
      </c>
      <c r="X44" s="73">
        <f>IFERROR(VLOOKUP(_xlfn.CONCAT($V$3,"_",B44,"_",$U$2,"_",Parámetros!$C$6),DATA_KPI_PRE!A:F,6,FALSE),0)</f>
        <v>0</v>
      </c>
      <c r="Y44" s="4">
        <f t="shared" si="79"/>
        <v>0</v>
      </c>
      <c r="AA44" s="73">
        <f>IFERROR(VLOOKUP(_xlfn.CONCAT($AA$3,"_",B44,"_",$AA$2,"_",Parámetros!$C$6),DATA_KPI!$A:$H,6,FALSE),0)</f>
        <v>0</v>
      </c>
      <c r="AB44" s="73">
        <f>IFERROR(VLOOKUP(_xlfn.CONCAT($AB$3,"_",B44,"_",$AA$2,"_",Parámetros!$C$6),DATA_KPI!$A:$H,6,FALSE),0)</f>
        <v>0</v>
      </c>
      <c r="AC44" s="4">
        <f t="shared" si="89"/>
        <v>0</v>
      </c>
      <c r="AD44" s="73">
        <f>IFERROR(VLOOKUP(_xlfn.CONCAT($AB$3,"_",B44,"_",$AA$2,"_",Parámetros!$C$6),DATA_KPI_PRE!A:F,6,FALSE),0)</f>
        <v>0</v>
      </c>
      <c r="AE44" s="25">
        <f t="shared" si="80"/>
        <v>0</v>
      </c>
      <c r="AG44" s="73">
        <f>IFERROR(VLOOKUP(_xlfn.CONCAT($AG$3,"_",B44,"_",$AG$2,"_",Parámetros!$C$6),DATA_KPI!$A:$H,6,FALSE),0)</f>
        <v>1639375.8400000017</v>
      </c>
      <c r="AH44" s="73">
        <f>IFERROR(VLOOKUP(_xlfn.CONCAT($AH$3,"_",B44,"_",$AG$2,"_",Parámetros!$C$6),DATA_KPI!$A:$H,6,FALSE),0)</f>
        <v>1965849.7800000012</v>
      </c>
      <c r="AI44" s="25">
        <f t="shared" si="90"/>
        <v>0.19914526738420091</v>
      </c>
      <c r="AJ44" s="73">
        <f>IFERROR(VLOOKUP(_xlfn.CONCAT($AH$3,"_",B44,"_",$AG$2,"_",Parámetros!$C$6),DATA_KPI_PRE!A:F,6,FALSE),0)</f>
        <v>1792371.1236365905</v>
      </c>
      <c r="AK44" s="25">
        <f t="shared" si="81"/>
        <v>9.6787241255837264E-2</v>
      </c>
      <c r="AM44" s="73">
        <f>IFERROR(VLOOKUP(_xlfn.CONCAT($AM$3,"_",B44,"_",$AM$2,"_",Parámetros!$C$6),DATA_KPI!$A:$H,6,FALSE),0)</f>
        <v>0</v>
      </c>
      <c r="AN44" s="73">
        <f>IFERROR(VLOOKUP(_xlfn.CONCAT($AN$3,"_",B44,"_",$AM$2,"_",Parámetros!$C$6),DATA_KPI!$A:$H,6,FALSE),0)</f>
        <v>0</v>
      </c>
      <c r="AO44" s="73">
        <f t="shared" si="91"/>
        <v>0</v>
      </c>
      <c r="AP44" s="73">
        <f>IFERROR(VLOOKUP(_xlfn.CONCAT($AN$3,"_",B44,"_",$AM$2,"_",Parámetros!$C$6),DATA_KPI_PRE!A:F,6,FALSE),0)</f>
        <v>0</v>
      </c>
      <c r="AQ44" s="25">
        <f t="shared" si="82"/>
        <v>0</v>
      </c>
      <c r="AS44" s="34">
        <f t="shared" si="92"/>
        <v>0.51683806089879114</v>
      </c>
      <c r="AT44" s="34">
        <f t="shared" si="93"/>
        <v>0</v>
      </c>
      <c r="AU44" s="34">
        <f t="shared" si="94"/>
        <v>0</v>
      </c>
      <c r="AV44" s="34">
        <f t="shared" si="95"/>
        <v>0</v>
      </c>
      <c r="AW44" s="34">
        <f t="shared" si="96"/>
        <v>0.48316193910120891</v>
      </c>
      <c r="AX44" s="34">
        <f t="shared" si="97"/>
        <v>0</v>
      </c>
      <c r="AY44" s="4">
        <f t="shared" si="99"/>
        <v>1</v>
      </c>
    </row>
    <row r="45" spans="1:51" ht="14.4" x14ac:dyDescent="0.3">
      <c r="A45" s="1" t="s">
        <v>40</v>
      </c>
      <c r="B45" s="1" t="str">
        <f>IF(IFERROR(VLOOKUP(A45,DATA_KPI!$D:$H,5,FALSE),"")="",VLOOKUP(A45,DATA_KPI_PRE!$D:$H,5,FALSE),VLOOKUP(A45,DATA_KPI!$D:$H,5,FALSE))</f>
        <v>V06</v>
      </c>
      <c r="C45" s="68">
        <f>IFERROR(VLOOKUP(_xlfn.CONCAT($C$3,"_",B45,"_",$C$2,"_",Parámetros!$C$6),DATA_KPI!$A:$H,6,FALSE),0)</f>
        <v>3528654.9800000032</v>
      </c>
      <c r="D45" s="68">
        <f>IFERROR(VLOOKUP(_xlfn.CONCAT($D$3,"_",B45,"_",$C$2,"_",Parámetros!$C$6),DATA_KPI!A:H,6,FALSE),0)</f>
        <v>3388605.4500000034</v>
      </c>
      <c r="E45" s="38">
        <f t="shared" si="84"/>
        <v>-3.9689210419772913E-2</v>
      </c>
      <c r="F45" s="68">
        <f>IFERROR(VLOOKUP(_xlfn.CONCAT($D$3,"_",B45,"_",$C$2,"_",Parámetros!$C$6),DATA_KPI_PRE!$A:$F,6,FALSE),0)</f>
        <v>3767760.6665465813</v>
      </c>
      <c r="G45" s="38">
        <f t="shared" si="85"/>
        <v>-0.10063144931498536</v>
      </c>
      <c r="H45" s="38"/>
      <c r="I45" s="73">
        <f>IFERROR(VLOOKUP(_xlfn.CONCAT($I$3,"_",B45,"_",$I$2,"_",Parámetros!$C$6),DATA_KPI!$A:$H,6,FALSE),0)</f>
        <v>1808876.5200000028</v>
      </c>
      <c r="J45" s="73">
        <f>IFERROR(VLOOKUP(_xlfn.CONCAT($J$3,"_",B45,"_",$I$2,"_",Parámetros!$C$6),DATA_KPI!$A:$H,6,FALSE),0)</f>
        <v>1442611.3900000018</v>
      </c>
      <c r="K45" s="22">
        <f t="shared" si="86"/>
        <v>-0.2024821075127895</v>
      </c>
      <c r="L45" s="75">
        <f>IFERROR(VLOOKUP(_xlfn.CONCAT($J$3,"_",B45,"_",$I$2,"_",Parámetros!$C$6),DATA_KPI_PRE!A:F,6,FALSE),0)</f>
        <v>0</v>
      </c>
      <c r="M45" s="34">
        <f t="shared" si="77"/>
        <v>0</v>
      </c>
      <c r="O45" s="73">
        <f>IFERROR(VLOOKUP(_xlfn.CONCAT($O$3,"_",B45,"_",$O$2,"_",Parámetros!$C$6),DATA_KPI!$A:$H,6,FALSE),0)</f>
        <v>0</v>
      </c>
      <c r="P45" s="73">
        <f>IFERROR(VLOOKUP(_xlfn.CONCAT($P$3,"_",B45,"_",$O$2,"_",Parámetros!$C$6),DATA_KPI!$A:$H,6,FALSE),0)</f>
        <v>4061.95</v>
      </c>
      <c r="Q45" s="22">
        <f t="shared" si="87"/>
        <v>0</v>
      </c>
      <c r="R45" s="73">
        <f>IFERROR(VLOOKUP(_xlfn.CONCAT($P$3,"_",B45,"_",$O$2,"_",Parámetros!$C$6),DATA_KPI_PRE!A:F,6,FALSE),0)</f>
        <v>1968687.5801806459</v>
      </c>
      <c r="S45" s="25">
        <f t="shared" si="78"/>
        <v>-0.99793672188472526</v>
      </c>
      <c r="T45" s="4"/>
      <c r="U45" s="73">
        <f>IFERROR(VLOOKUP(_xlfn.CONCAT($U$3,"_",B45,"_",$U$2,"_",Parámetros!$C$6),DATA_KPI!$A:$H,6,FALSE),0)</f>
        <v>0</v>
      </c>
      <c r="V45" s="73">
        <f>IFERROR(VLOOKUP(_xlfn.CONCAT($V$3,"_",B45,"_",$U$2,"_",Parámetros!$C$6),DATA_KPI!$A:$H,6,FALSE),0)</f>
        <v>0</v>
      </c>
      <c r="W45" s="25">
        <f t="shared" si="88"/>
        <v>0</v>
      </c>
      <c r="X45" s="73">
        <f>IFERROR(VLOOKUP(_xlfn.CONCAT($V$3,"_",B45,"_",$U$2,"_",Parámetros!$C$6),DATA_KPI_PRE!A:F,6,FALSE),0)</f>
        <v>0</v>
      </c>
      <c r="Y45" s="4">
        <f t="shared" si="79"/>
        <v>0</v>
      </c>
      <c r="AA45" s="73">
        <f>IFERROR(VLOOKUP(_xlfn.CONCAT($AA$3,"_",B45,"_",$AA$2,"_",Parámetros!$C$6),DATA_KPI!$A:$H,6,FALSE),0)</f>
        <v>0</v>
      </c>
      <c r="AB45" s="73">
        <f>IFERROR(VLOOKUP(_xlfn.CONCAT($AB$3,"_",B45,"_",$AA$2,"_",Parámetros!$C$6),DATA_KPI!$A:$H,6,FALSE),0)</f>
        <v>0</v>
      </c>
      <c r="AC45" s="4">
        <f t="shared" si="89"/>
        <v>0</v>
      </c>
      <c r="AD45" s="73">
        <f>IFERROR(VLOOKUP(_xlfn.CONCAT($AB$3,"_",B45,"_",$AA$2,"_",Parámetros!$C$6),DATA_KPI_PRE!A:F,6,FALSE),0)</f>
        <v>0</v>
      </c>
      <c r="AE45" s="25">
        <f t="shared" si="80"/>
        <v>0</v>
      </c>
      <c r="AG45" s="73">
        <f>IFERROR(VLOOKUP(_xlfn.CONCAT($AG$3,"_",B45,"_",$AG$2,"_",Parámetros!$C$6),DATA_KPI!$A:$H,6,FALSE),0)</f>
        <v>1719778.4600000007</v>
      </c>
      <c r="AH45" s="73">
        <f>IFERROR(VLOOKUP(_xlfn.CONCAT($AH$3,"_",B45,"_",$AG$2,"_",Parámetros!$C$6),DATA_KPI!$A:$H,6,FALSE),0)</f>
        <v>1941932.1100000017</v>
      </c>
      <c r="AI45" s="25">
        <f t="shared" si="90"/>
        <v>0.12917573697254059</v>
      </c>
      <c r="AJ45" s="73">
        <f>IFERROR(VLOOKUP(_xlfn.CONCAT($AH$3,"_",B45,"_",$AG$2,"_",Parámetros!$C$6),DATA_KPI_PRE!A:F,6,FALSE),0)</f>
        <v>1799073.0863659354</v>
      </c>
      <c r="AK45" s="25">
        <f t="shared" si="81"/>
        <v>7.9407015043861495E-2</v>
      </c>
      <c r="AM45" s="73">
        <f>IFERROR(VLOOKUP(_xlfn.CONCAT($AM$3,"_",B45,"_",$AM$2,"_",Parámetros!$C$6),DATA_KPI!$A:$H,6,FALSE),0)</f>
        <v>0</v>
      </c>
      <c r="AN45" s="73">
        <f>IFERROR(VLOOKUP(_xlfn.CONCAT($AN$3,"_",B45,"_",$AM$2,"_",Parámetros!$C$6),DATA_KPI!$A:$H,6,FALSE),0)</f>
        <v>0</v>
      </c>
      <c r="AO45" s="73">
        <f t="shared" si="91"/>
        <v>0</v>
      </c>
      <c r="AP45" s="73">
        <f>IFERROR(VLOOKUP(_xlfn.CONCAT($AN$3,"_",B45,"_",$AM$2,"_",Parámetros!$C$6),DATA_KPI_PRE!A:F,6,FALSE),0)</f>
        <v>0</v>
      </c>
      <c r="AQ45" s="25">
        <f t="shared" si="82"/>
        <v>0</v>
      </c>
      <c r="AS45" s="34">
        <f t="shared" si="92"/>
        <v>0.42572421348138961</v>
      </c>
      <c r="AT45" s="34">
        <f t="shared" si="93"/>
        <v>1.1987084539452641E-3</v>
      </c>
      <c r="AU45" s="34">
        <f t="shared" si="94"/>
        <v>0</v>
      </c>
      <c r="AV45" s="34">
        <f t="shared" si="95"/>
        <v>0</v>
      </c>
      <c r="AW45" s="34">
        <f t="shared" si="96"/>
        <v>0.57307707806466512</v>
      </c>
      <c r="AX45" s="34">
        <f t="shared" si="97"/>
        <v>0</v>
      </c>
      <c r="AY45" s="4">
        <f t="shared" si="99"/>
        <v>1</v>
      </c>
    </row>
    <row r="46" spans="1:51" ht="14.4" x14ac:dyDescent="0.3">
      <c r="A46" s="1" t="s">
        <v>42</v>
      </c>
      <c r="B46" s="1" t="str">
        <f>IF(IFERROR(VLOOKUP(A46,DATA_KPI!$D:$H,5,FALSE),"")="",VLOOKUP(A46,DATA_KPI_PRE!$D:$H,5,FALSE),VLOOKUP(A46,DATA_KPI!$D:$H,5,FALSE))</f>
        <v>V02</v>
      </c>
      <c r="C46" s="68">
        <f>IFERROR(VLOOKUP(_xlfn.CONCAT($C$3,"_",B46,"_",$C$2,"_",Parámetros!$C$6),DATA_KPI!$A:$H,6,FALSE),0)</f>
        <v>3782952.200000003</v>
      </c>
      <c r="D46" s="68">
        <f>IFERROR(VLOOKUP(_xlfn.CONCAT($D$3,"_",B46,"_",$C$2,"_",Parámetros!$C$6),DATA_KPI!A:H,6,FALSE),0)</f>
        <v>3475730.640000002</v>
      </c>
      <c r="E46" s="38">
        <f t="shared" si="84"/>
        <v>-8.1212117879787327E-2</v>
      </c>
      <c r="F46" s="68">
        <f>IFERROR(VLOOKUP(_xlfn.CONCAT($D$3,"_",B46,"_",$C$2,"_",Parámetros!$C$6),DATA_KPI_PRE!$A:$F,6,FALSE),0)</f>
        <v>5284299.1986884605</v>
      </c>
      <c r="G46" s="38">
        <f t="shared" si="85"/>
        <v>-0.34225324696552706</v>
      </c>
      <c r="H46" s="38"/>
      <c r="I46" s="73">
        <f>IFERROR(VLOOKUP(_xlfn.CONCAT($I$3,"_",B46,"_",$I$2,"_",Parámetros!$C$6),DATA_KPI!$A:$H,6,FALSE),0)</f>
        <v>1530035.9600000009</v>
      </c>
      <c r="J46" s="73">
        <f>IFERROR(VLOOKUP(_xlfn.CONCAT($J$3,"_",B46,"_",$I$2,"_",Parámetros!$C$6),DATA_KPI!$A:$H,6,FALSE),0)</f>
        <v>1221637.7700000009</v>
      </c>
      <c r="K46" s="22">
        <f t="shared" si="86"/>
        <v>-0.20156270706212664</v>
      </c>
      <c r="L46" s="75">
        <f>IFERROR(VLOOKUP(_xlfn.CONCAT($J$3,"_",B46,"_",$I$2,"_",Parámetros!$C$6),DATA_KPI_PRE!A:F,6,FALSE),0)</f>
        <v>0</v>
      </c>
      <c r="M46" s="34">
        <f t="shared" si="77"/>
        <v>0</v>
      </c>
      <c r="O46" s="73">
        <f>IFERROR(VLOOKUP(_xlfn.CONCAT($O$3,"_",B46,"_",$O$2,"_",Parámetros!$C$6),DATA_KPI!$A:$H,6,FALSE),0)</f>
        <v>18185.86</v>
      </c>
      <c r="P46" s="73">
        <f>IFERROR(VLOOKUP(_xlfn.CONCAT($P$3,"_",B46,"_",$O$2,"_",Parámetros!$C$6),DATA_KPI!$A:$H,6,FALSE),0)</f>
        <v>4415.9399999999996</v>
      </c>
      <c r="Q46" s="22">
        <f t="shared" si="87"/>
        <v>-0.75717727949076918</v>
      </c>
      <c r="R46" s="73">
        <f>IFERROR(VLOOKUP(_xlfn.CONCAT($P$3,"_",B46,"_",$O$2,"_",Parámetros!$C$6),DATA_KPI_PRE!A:F,6,FALSE),0)</f>
        <v>2924412.026521889</v>
      </c>
      <c r="S46" s="25">
        <f t="shared" si="78"/>
        <v>-0.99848997338270007</v>
      </c>
      <c r="T46" s="5"/>
      <c r="U46" s="73">
        <f>IFERROR(VLOOKUP(_xlfn.CONCAT($U$3,"_",B46,"_",$U$2,"_",Parámetros!$C$6),DATA_KPI!$A:$H,6,FALSE),0)</f>
        <v>0</v>
      </c>
      <c r="V46" s="73">
        <f>IFERROR(VLOOKUP(_xlfn.CONCAT($V$3,"_",B46,"_",$U$2,"_",Parámetros!$C$6),DATA_KPI!$A:$H,6,FALSE),0)</f>
        <v>0</v>
      </c>
      <c r="W46" s="25">
        <f t="shared" si="88"/>
        <v>0</v>
      </c>
      <c r="X46" s="73">
        <f>IFERROR(VLOOKUP(_xlfn.CONCAT($V$3,"_",B46,"_",$U$2,"_",Parámetros!$C$6),DATA_KPI_PRE!A:F,6,FALSE),0)</f>
        <v>0</v>
      </c>
      <c r="Y46" s="4">
        <f t="shared" si="79"/>
        <v>0</v>
      </c>
      <c r="AA46" s="73">
        <f>IFERROR(VLOOKUP(_xlfn.CONCAT($AA$3,"_",B46,"_",$AA$2,"_",Parámetros!$C$6),DATA_KPI!$A:$H,6,FALSE),0)</f>
        <v>0</v>
      </c>
      <c r="AB46" s="73">
        <f>IFERROR(VLOOKUP(_xlfn.CONCAT($AB$3,"_",B46,"_",$AA$2,"_",Parámetros!$C$6),DATA_KPI!$A:$H,6,FALSE),0)</f>
        <v>0</v>
      </c>
      <c r="AC46" s="4">
        <f t="shared" si="89"/>
        <v>0</v>
      </c>
      <c r="AD46" s="73">
        <f>IFERROR(VLOOKUP(_xlfn.CONCAT($AB$3,"_",B46,"_",$AA$2,"_",Parámetros!$C$6),DATA_KPI_PRE!A:F,6,FALSE),0)</f>
        <v>0</v>
      </c>
      <c r="AE46" s="25">
        <f t="shared" si="80"/>
        <v>0</v>
      </c>
      <c r="AG46" s="73">
        <f>IFERROR(VLOOKUP(_xlfn.CONCAT($AG$3,"_",B46,"_",$AG$2,"_",Parámetros!$C$6),DATA_KPI!$A:$H,6,FALSE),0)</f>
        <v>2234730.3800000022</v>
      </c>
      <c r="AH46" s="73">
        <f>IFERROR(VLOOKUP(_xlfn.CONCAT($AH$3,"_",B46,"_",$AG$2,"_",Parámetros!$C$6),DATA_KPI!$A:$H,6,FALSE),0)</f>
        <v>2249676.9300000011</v>
      </c>
      <c r="AI46" s="25">
        <f t="shared" si="90"/>
        <v>6.688301252699258E-3</v>
      </c>
      <c r="AJ46" s="73">
        <f>IFERROR(VLOOKUP(_xlfn.CONCAT($AH$3,"_",B46,"_",$AG$2,"_",Parámetros!$C$6),DATA_KPI_PRE!A:F,6,FALSE),0)</f>
        <v>2359887.172166571</v>
      </c>
      <c r="AK46" s="25">
        <f t="shared" si="81"/>
        <v>-4.6701487878925918E-2</v>
      </c>
      <c r="AM46" s="73">
        <f>IFERROR(VLOOKUP(_xlfn.CONCAT($AM$3,"_",B46,"_",$AM$2,"_",Parámetros!$C$6),DATA_KPI!$A:$H,6,FALSE),0)</f>
        <v>0</v>
      </c>
      <c r="AN46" s="73">
        <f>IFERROR(VLOOKUP(_xlfn.CONCAT($AN$3,"_",B46,"_",$AM$2,"_",Parámetros!$C$6),DATA_KPI!$A:$H,6,FALSE),0)</f>
        <v>0</v>
      </c>
      <c r="AO46" s="73">
        <f t="shared" si="91"/>
        <v>0</v>
      </c>
      <c r="AP46" s="73">
        <f>IFERROR(VLOOKUP(_xlfn.CONCAT($AN$3,"_",B46,"_",$AM$2,"_",Parámetros!$C$6),DATA_KPI_PRE!A:F,6,FALSE),0)</f>
        <v>0</v>
      </c>
      <c r="AQ46" s="25">
        <f t="shared" si="82"/>
        <v>0</v>
      </c>
      <c r="AS46" s="34">
        <f t="shared" si="92"/>
        <v>0.35147653731878381</v>
      </c>
      <c r="AT46" s="34">
        <f t="shared" si="93"/>
        <v>1.2705069688599335E-3</v>
      </c>
      <c r="AU46" s="34">
        <f t="shared" si="94"/>
        <v>0</v>
      </c>
      <c r="AV46" s="34">
        <f t="shared" si="95"/>
        <v>0</v>
      </c>
      <c r="AW46" s="34">
        <f t="shared" si="96"/>
        <v>0.6472529557123563</v>
      </c>
      <c r="AX46" s="34">
        <f t="shared" si="97"/>
        <v>0</v>
      </c>
      <c r="AY46" s="4">
        <f t="shared" si="99"/>
        <v>1</v>
      </c>
    </row>
    <row r="47" spans="1:51" ht="14.4" x14ac:dyDescent="0.3">
      <c r="A47" s="1" t="s">
        <v>37</v>
      </c>
      <c r="B47" s="1" t="str">
        <f>IF(IFERROR(VLOOKUP(A47,DATA_KPI!$D:$H,5,FALSE),"")="",VLOOKUP(A47,DATA_KPI_PRE!$D:$H,5,FALSE),VLOOKUP(A47,DATA_KPI!$D:$H,5,FALSE))</f>
        <v>V24</v>
      </c>
      <c r="C47" s="68">
        <f>IFERROR(VLOOKUP(_xlfn.CONCAT($C$3,"_",B47,"_",$C$2,"_",Parámetros!$C$6),DATA_KPI!$A:$H,6,FALSE),0)</f>
        <v>2763451.3200000003</v>
      </c>
      <c r="D47" s="68">
        <f>IFERROR(VLOOKUP(_xlfn.CONCAT($D$3,"_",B47,"_",$C$2,"_",Parámetros!$C$6),DATA_KPI!A:H,6,FALSE),0)</f>
        <v>2962434.8000000003</v>
      </c>
      <c r="E47" s="38">
        <f t="shared" si="84"/>
        <v>7.200542255254927E-2</v>
      </c>
      <c r="F47" s="68">
        <f>IFERROR(VLOOKUP(_xlfn.CONCAT($D$3,"_",B47,"_",$C$2,"_",Parámetros!$C$6),DATA_KPI_PRE!$A:$F,6,FALSE),0)</f>
        <v>3095747.2815559958</v>
      </c>
      <c r="G47" s="38">
        <f t="shared" si="85"/>
        <v>-4.3063102195147418E-2</v>
      </c>
      <c r="H47" s="38"/>
      <c r="I47" s="73">
        <f>IFERROR(VLOOKUP(_xlfn.CONCAT($I$3,"_",B47,"_",$I$2,"_",Parámetros!$C$6),DATA_KPI!$A:$H,6,FALSE),0)</f>
        <v>805602.03000000038</v>
      </c>
      <c r="J47" s="73">
        <f>IFERROR(VLOOKUP(_xlfn.CONCAT($J$3,"_",B47,"_",$I$2,"_",Parámetros!$C$6),DATA_KPI!$A:$H,6,FALSE),0)</f>
        <v>1150664.6599999999</v>
      </c>
      <c r="K47" s="22">
        <f t="shared" si="86"/>
        <v>0.42832889832712984</v>
      </c>
      <c r="L47" s="75">
        <f>IFERROR(VLOOKUP(_xlfn.CONCAT($J$3,"_",B47,"_",$I$2,"_",Parámetros!$C$6),DATA_KPI_PRE!A:F,6,FALSE),0)</f>
        <v>0</v>
      </c>
      <c r="M47" s="38">
        <f t="shared" si="77"/>
        <v>0</v>
      </c>
      <c r="O47" s="73">
        <f>IFERROR(VLOOKUP(_xlfn.CONCAT($O$3,"_",B47,"_",$O$2,"_",Parámetros!$C$6),DATA_KPI!$A:$H,6,FALSE),0)</f>
        <v>3530.97</v>
      </c>
      <c r="P47" s="73">
        <f>IFERROR(VLOOKUP(_xlfn.CONCAT($P$3,"_",B47,"_",$O$2,"_",Parámetros!$C$6),DATA_KPI!$A:$H,6,FALSE),0)</f>
        <v>0</v>
      </c>
      <c r="Q47" s="22">
        <f t="shared" si="87"/>
        <v>-1</v>
      </c>
      <c r="R47" s="73">
        <f>IFERROR(VLOOKUP(_xlfn.CONCAT($P$3,"_",B47,"_",$O$2,"_",Parámetros!$C$6),DATA_KPI_PRE!A:F,6,FALSE),0)</f>
        <v>935429.34987972805</v>
      </c>
      <c r="S47" s="27">
        <f t="shared" si="78"/>
        <v>-1</v>
      </c>
      <c r="T47" s="4"/>
      <c r="U47" s="73">
        <f>IFERROR(VLOOKUP(_xlfn.CONCAT($U$3,"_",B47,"_",$U$2,"_",Parámetros!$C$6),DATA_KPI!$A:$H,6,FALSE),0)</f>
        <v>0</v>
      </c>
      <c r="V47" s="73">
        <f>IFERROR(VLOOKUP(_xlfn.CONCAT($V$3,"_",B47,"_",$U$2,"_",Parámetros!$C$6),DATA_KPI!$A:$H,6,FALSE),0)</f>
        <v>0</v>
      </c>
      <c r="W47" s="27">
        <f t="shared" si="88"/>
        <v>0</v>
      </c>
      <c r="X47" s="73">
        <f>IFERROR(VLOOKUP(_xlfn.CONCAT($V$3,"_",B47,"_",$U$2,"_",Parámetros!$C$6),DATA_KPI_PRE!A:F,6,FALSE),0)</f>
        <v>0</v>
      </c>
      <c r="Y47" s="4">
        <f t="shared" si="79"/>
        <v>0</v>
      </c>
      <c r="AA47" s="73">
        <f>IFERROR(VLOOKUP(_xlfn.CONCAT($AA$3,"_",B47,"_",$AA$2,"_",Parámetros!$C$6),DATA_KPI!$A:$H,6,FALSE),0)</f>
        <v>0</v>
      </c>
      <c r="AB47" s="73">
        <f>IFERROR(VLOOKUP(_xlfn.CONCAT($AB$3,"_",B47,"_",$AA$2,"_",Parámetros!$C$6),DATA_KPI!$A:$H,6,FALSE),0)</f>
        <v>0</v>
      </c>
      <c r="AC47" s="4">
        <f t="shared" si="89"/>
        <v>0</v>
      </c>
      <c r="AD47" s="73">
        <f>IFERROR(VLOOKUP(_xlfn.CONCAT($AB$3,"_",B47,"_",$AA$2,"_",Parámetros!$C$6),DATA_KPI_PRE!A:F,6,FALSE),0)</f>
        <v>0</v>
      </c>
      <c r="AE47" s="27">
        <f t="shared" si="80"/>
        <v>0</v>
      </c>
      <c r="AG47" s="73">
        <f>IFERROR(VLOOKUP(_xlfn.CONCAT($AG$3,"_",B47,"_",$AG$2,"_",Parámetros!$C$6),DATA_KPI!$A:$H,6,FALSE),0)</f>
        <v>1954318.3199999998</v>
      </c>
      <c r="AH47" s="73">
        <f>IFERROR(VLOOKUP(_xlfn.CONCAT($AH$3,"_",B47,"_",$AG$2,"_",Parámetros!$C$6),DATA_KPI!$A:$H,6,FALSE),0)</f>
        <v>1811770.1400000004</v>
      </c>
      <c r="AI47" s="27">
        <f t="shared" si="90"/>
        <v>-7.2940103227400299E-2</v>
      </c>
      <c r="AJ47" s="73">
        <f>IFERROR(VLOOKUP(_xlfn.CONCAT($AH$3,"_",B47,"_",$AG$2,"_",Parámetros!$C$6),DATA_KPI_PRE!A:F,6,FALSE),0)</f>
        <v>2160317.9316762676</v>
      </c>
      <c r="AK47" s="27">
        <f t="shared" si="81"/>
        <v>-0.16134097049586427</v>
      </c>
      <c r="AM47" s="73">
        <f>IFERROR(VLOOKUP(_xlfn.CONCAT($AM$3,"_",B47,"_",$AM$2,"_",Parámetros!$C$6),DATA_KPI!$A:$H,6,FALSE),0)</f>
        <v>0</v>
      </c>
      <c r="AN47" s="73">
        <f>IFERROR(VLOOKUP(_xlfn.CONCAT($AN$3,"_",B47,"_",$AM$2,"_",Parámetros!$C$6),DATA_KPI!$A:$H,6,FALSE),0)</f>
        <v>0</v>
      </c>
      <c r="AO47" s="73">
        <f t="shared" si="91"/>
        <v>0</v>
      </c>
      <c r="AP47" s="73">
        <f>IFERROR(VLOOKUP(_xlfn.CONCAT($AN$3,"_",B47,"_",$AM$2,"_",Parámetros!$C$6),DATA_KPI_PRE!A:F,6,FALSE),0)</f>
        <v>0</v>
      </c>
      <c r="AQ47" s="27">
        <f t="shared" si="82"/>
        <v>0</v>
      </c>
      <c r="AS47" s="38">
        <f t="shared" si="92"/>
        <v>0.38841856030046629</v>
      </c>
      <c r="AT47" s="38">
        <f t="shared" si="93"/>
        <v>0</v>
      </c>
      <c r="AU47" s="38">
        <f t="shared" si="94"/>
        <v>0</v>
      </c>
      <c r="AV47" s="38">
        <f t="shared" si="95"/>
        <v>0</v>
      </c>
      <c r="AW47" s="38">
        <f t="shared" si="96"/>
        <v>0.61158143969953371</v>
      </c>
      <c r="AX47" s="38">
        <f t="shared" si="97"/>
        <v>0</v>
      </c>
      <c r="AY47" s="4">
        <f t="shared" si="99"/>
        <v>1</v>
      </c>
    </row>
    <row r="48" spans="1:51" ht="14.4" x14ac:dyDescent="0.3">
      <c r="A48" s="1" t="s">
        <v>46</v>
      </c>
      <c r="B48" s="1" t="str">
        <f>IF(IFERROR(VLOOKUP(A48,DATA_KPI!$D:$H,5,FALSE),"")="",VLOOKUP(A48,DATA_KPI_PRE!$D:$H,5,FALSE),VLOOKUP(A48,DATA_KPI!$D:$H,5,FALSE))</f>
        <v>V01</v>
      </c>
      <c r="C48" s="68">
        <f>IFERROR(VLOOKUP(_xlfn.CONCAT($C$3,"_",B48,"_",$C$2,"_",Parámetros!$C$6),DATA_KPI!$A:$H,6,FALSE),0)</f>
        <v>2157038.6600000015</v>
      </c>
      <c r="D48" s="68">
        <f>IFERROR(VLOOKUP(_xlfn.CONCAT($D$3,"_",B48,"_",$C$2,"_",Parámetros!$C$6),DATA_KPI!A:H,6,FALSE),0)</f>
        <v>2803330.9100000011</v>
      </c>
      <c r="E48" s="38">
        <f t="shared" si="84"/>
        <v>0.29962015145338139</v>
      </c>
      <c r="F48" s="68">
        <f>IFERROR(VLOOKUP(_xlfn.CONCAT($D$3,"_",B48,"_",$C$2,"_",Parámetros!$C$6),DATA_KPI_PRE!$A:$F,6,FALSE),0)</f>
        <v>2476386.0523554301</v>
      </c>
      <c r="G48" s="38">
        <f t="shared" si="85"/>
        <v>0.13202499559129532</v>
      </c>
      <c r="H48" s="38"/>
      <c r="I48" s="73">
        <f>IFERROR(VLOOKUP(_xlfn.CONCAT($I$3,"_",B48,"_",$I$2,"_",Parámetros!$C$6),DATA_KPI!$A:$H,6,FALSE),0)</f>
        <v>1232194.870000001</v>
      </c>
      <c r="J48" s="73">
        <f>IFERROR(VLOOKUP(_xlfn.CONCAT($J$3,"_",B48,"_",$I$2,"_",Parámetros!$C$6),DATA_KPI!$A:$H,6,FALSE),0)</f>
        <v>1321558.1000000006</v>
      </c>
      <c r="K48" s="22">
        <f t="shared" si="86"/>
        <v>7.2523617956629982E-2</v>
      </c>
      <c r="L48" s="75">
        <f>IFERROR(VLOOKUP(_xlfn.CONCAT($J$3,"_",B48,"_",$I$2,"_",Parámetros!$C$6),DATA_KPI_PRE!A:F,6,FALSE),0)</f>
        <v>0</v>
      </c>
      <c r="M48" s="38">
        <f t="shared" si="77"/>
        <v>0</v>
      </c>
      <c r="O48" s="73">
        <f>IFERROR(VLOOKUP(_xlfn.CONCAT($O$3,"_",B48,"_",$O$2,"_",Parámetros!$C$6),DATA_KPI!$A:$H,6,FALSE),0)</f>
        <v>7070.8</v>
      </c>
      <c r="P48" s="73">
        <f>IFERROR(VLOOKUP(_xlfn.CONCAT($P$3,"_",B48,"_",$O$2,"_",Parámetros!$C$6),DATA_KPI!$A:$H,6,FALSE),0)</f>
        <v>10761.07</v>
      </c>
      <c r="Q48" s="22">
        <f t="shared" si="87"/>
        <v>0.52190275499236294</v>
      </c>
      <c r="R48" s="73">
        <f>IFERROR(VLOOKUP(_xlfn.CONCAT($P$3,"_",B48,"_",$O$2,"_",Parámetros!$C$6),DATA_KPI_PRE!A:F,6,FALSE),0)</f>
        <v>1247781.9418952703</v>
      </c>
      <c r="S48" s="27">
        <f t="shared" si="78"/>
        <v>-0.99137584089119379</v>
      </c>
      <c r="T48" s="5"/>
      <c r="U48" s="73">
        <f>IFERROR(VLOOKUP(_xlfn.CONCAT($U$3,"_",B48,"_",$U$2,"_",Parámetros!$C$6),DATA_KPI!$A:$H,6,FALSE),0)</f>
        <v>0</v>
      </c>
      <c r="V48" s="73">
        <f>IFERROR(VLOOKUP(_xlfn.CONCAT($V$3,"_",B48,"_",$U$2,"_",Parámetros!$C$6),DATA_KPI!$A:$H,6,FALSE),0)</f>
        <v>0</v>
      </c>
      <c r="W48" s="27">
        <f t="shared" si="88"/>
        <v>0</v>
      </c>
      <c r="X48" s="73">
        <f>IFERROR(VLOOKUP(_xlfn.CONCAT($V$3,"_",B48,"_",$U$2,"_",Parámetros!$C$6),DATA_KPI_PRE!A:F,6,FALSE),0)</f>
        <v>0</v>
      </c>
      <c r="Y48" s="4">
        <f t="shared" si="79"/>
        <v>0</v>
      </c>
      <c r="AA48" s="73">
        <f>IFERROR(VLOOKUP(_xlfn.CONCAT($AA$3,"_",B48,"_",$AA$2,"_",Parámetros!$C$6),DATA_KPI!$A:$H,6,FALSE),0)</f>
        <v>10610.62</v>
      </c>
      <c r="AB48" s="73">
        <f>IFERROR(VLOOKUP(_xlfn.CONCAT($AB$3,"_",B48,"_",$AA$2,"_",Parámetros!$C$6),DATA_KPI!$A:$H,6,FALSE),0)</f>
        <v>0</v>
      </c>
      <c r="AC48" s="4">
        <f t="shared" si="89"/>
        <v>-1</v>
      </c>
      <c r="AD48" s="73">
        <f>IFERROR(VLOOKUP(_xlfn.CONCAT($AB$3,"_",B48,"_",$AA$2,"_",Parámetros!$C$6),DATA_KPI_PRE!A:F,6,FALSE),0)</f>
        <v>0</v>
      </c>
      <c r="AE48" s="27">
        <f t="shared" si="80"/>
        <v>0</v>
      </c>
      <c r="AG48" s="73">
        <f>IFERROR(VLOOKUP(_xlfn.CONCAT($AG$3,"_",B48,"_",$AG$2,"_",Parámetros!$C$6),DATA_KPI!$A:$H,6,FALSE),0)</f>
        <v>907162.37000000034</v>
      </c>
      <c r="AH48" s="73">
        <f>IFERROR(VLOOKUP(_xlfn.CONCAT($AH$3,"_",B48,"_",$AG$2,"_",Parámetros!$C$6),DATA_KPI!$A:$H,6,FALSE),0)</f>
        <v>1471011.7400000007</v>
      </c>
      <c r="AI48" s="27">
        <f t="shared" si="90"/>
        <v>0.6215528648967219</v>
      </c>
      <c r="AJ48" s="73">
        <f>IFERROR(VLOOKUP(_xlfn.CONCAT($AH$3,"_",B48,"_",$AG$2,"_",Parámetros!$C$6),DATA_KPI_PRE!A:F,6,FALSE),0)</f>
        <v>1228604.1104601596</v>
      </c>
      <c r="AK48" s="27">
        <f t="shared" si="81"/>
        <v>0.19730328710120459</v>
      </c>
      <c r="AM48" s="73">
        <f>IFERROR(VLOOKUP(_xlfn.CONCAT($AM$3,"_",B48,"_",$AM$2,"_",Parámetros!$C$6),DATA_KPI!$A:$H,6,FALSE),0)</f>
        <v>0</v>
      </c>
      <c r="AN48" s="73">
        <f>IFERROR(VLOOKUP(_xlfn.CONCAT($AN$3,"_",B48,"_",$AM$2,"_",Parámetros!$C$6),DATA_KPI!$A:$H,6,FALSE),0)</f>
        <v>0</v>
      </c>
      <c r="AO48" s="73">
        <f t="shared" si="91"/>
        <v>0</v>
      </c>
      <c r="AP48" s="73">
        <f>IFERROR(VLOOKUP(_xlfn.CONCAT($AN$3,"_",B48,"_",$AM$2,"_",Parámetros!$C$6),DATA_KPI_PRE!A:F,6,FALSE),0)</f>
        <v>0</v>
      </c>
      <c r="AQ48" s="27">
        <f t="shared" si="82"/>
        <v>0</v>
      </c>
      <c r="AS48" s="38">
        <f t="shared" si="92"/>
        <v>0.47142422440595855</v>
      </c>
      <c r="AT48" s="38">
        <f t="shared" si="93"/>
        <v>3.8386727594709809E-3</v>
      </c>
      <c r="AU48" s="38">
        <f t="shared" si="94"/>
        <v>0</v>
      </c>
      <c r="AV48" s="38">
        <f t="shared" si="95"/>
        <v>0</v>
      </c>
      <c r="AW48" s="38">
        <f t="shared" si="96"/>
        <v>0.52473710283457053</v>
      </c>
      <c r="AX48" s="38">
        <f t="shared" si="97"/>
        <v>0</v>
      </c>
      <c r="AY48" s="4">
        <f t="shared" si="99"/>
        <v>1</v>
      </c>
    </row>
    <row r="49" spans="1:51" ht="14.4" x14ac:dyDescent="0.3">
      <c r="A49" s="1" t="s">
        <v>45</v>
      </c>
      <c r="B49" s="1" t="str">
        <f>IF(IFERROR(VLOOKUP(A49,DATA_KPI!$D:$H,5,FALSE),"")="",VLOOKUP(A49,DATA_KPI_PRE!$D:$H,5,FALSE),VLOOKUP(A49,DATA_KPI!$D:$H,5,FALSE))</f>
        <v>V07</v>
      </c>
      <c r="C49" s="68">
        <f>IFERROR(VLOOKUP(_xlfn.CONCAT($C$3,"_",B49,"_",$C$2,"_",Parámetros!$C$6),DATA_KPI!$A:$H,6,FALSE),0)</f>
        <v>3335247.6800000034</v>
      </c>
      <c r="D49" s="68">
        <f>IFERROR(VLOOKUP(_xlfn.CONCAT($D$3,"_",B49,"_",$C$2,"_",Parámetros!$C$6),DATA_KPI!A:H,6,FALSE),0)</f>
        <v>2624189.2400000007</v>
      </c>
      <c r="E49" s="38">
        <f t="shared" si="84"/>
        <v>-0.21319509320519248</v>
      </c>
      <c r="F49" s="68">
        <f>IFERROR(VLOOKUP(_xlfn.CONCAT($D$3,"_",B49,"_",$C$2,"_",Parámetros!$C$6),DATA_KPI_PRE!$A:$F,6,FALSE),0)</f>
        <v>6322670.4840397974</v>
      </c>
      <c r="G49" s="38">
        <f t="shared" si="85"/>
        <v>-0.58495555847419312</v>
      </c>
      <c r="H49" s="38"/>
      <c r="I49" s="73">
        <f>IFERROR(VLOOKUP(_xlfn.CONCAT($I$3,"_",B49,"_",$I$2,"_",Parámetros!$C$6),DATA_KPI!$A:$H,6,FALSE),0)</f>
        <v>1844726.2800000031</v>
      </c>
      <c r="J49" s="73">
        <f>IFERROR(VLOOKUP(_xlfn.CONCAT($J$3,"_",B49,"_",$I$2,"_",Parámetros!$C$6),DATA_KPI!$A:$H,6,FALSE),0)</f>
        <v>1442761.9099999997</v>
      </c>
      <c r="K49" s="22">
        <f t="shared" si="86"/>
        <v>-0.21789919423709991</v>
      </c>
      <c r="L49" s="75">
        <f>IFERROR(VLOOKUP(_xlfn.CONCAT($J$3,"_",B49,"_",$I$2,"_",Parámetros!$C$6),DATA_KPI_PRE!A:F,6,FALSE),0)</f>
        <v>0</v>
      </c>
      <c r="M49" s="38">
        <f t="shared" si="77"/>
        <v>0</v>
      </c>
      <c r="O49" s="73">
        <f>IFERROR(VLOOKUP(_xlfn.CONCAT($O$3,"_",B49,"_",$O$2,"_",Parámetros!$C$6),DATA_KPI!$A:$H,6,FALSE),0)</f>
        <v>36778.800000000003</v>
      </c>
      <c r="P49" s="73">
        <f>IFERROR(VLOOKUP(_xlfn.CONCAT($P$3,"_",B49,"_",$O$2,"_",Parámetros!$C$6),DATA_KPI!$A:$H,6,FALSE),0)</f>
        <v>8831.869999999999</v>
      </c>
      <c r="Q49" s="22">
        <f t="shared" si="87"/>
        <v>-0.75986519407919784</v>
      </c>
      <c r="R49" s="73">
        <f>IFERROR(VLOOKUP(_xlfn.CONCAT($P$3,"_",B49,"_",$O$2,"_",Parámetros!$C$6),DATA_KPI_PRE!A:F,6,FALSE),0)</f>
        <v>4907961.9479999999</v>
      </c>
      <c r="S49" s="27">
        <f t="shared" si="78"/>
        <v>-0.99820050153330975</v>
      </c>
      <c r="T49" s="4"/>
      <c r="U49" s="73">
        <f>IFERROR(VLOOKUP(_xlfn.CONCAT($U$3,"_",B49,"_",$U$2,"_",Parámetros!$C$6),DATA_KPI!$A:$H,6,FALSE),0)</f>
        <v>0</v>
      </c>
      <c r="V49" s="73">
        <f>IFERROR(VLOOKUP(_xlfn.CONCAT($V$3,"_",B49,"_",$U$2,"_",Parámetros!$C$6),DATA_KPI!$A:$H,6,FALSE),0)</f>
        <v>0</v>
      </c>
      <c r="W49" s="27">
        <f t="shared" si="88"/>
        <v>0</v>
      </c>
      <c r="X49" s="73">
        <f>IFERROR(VLOOKUP(_xlfn.CONCAT($V$3,"_",B49,"_",$U$2,"_",Parámetros!$C$6),DATA_KPI_PRE!A:F,6,FALSE),0)</f>
        <v>0</v>
      </c>
      <c r="Y49" s="4">
        <f t="shared" si="79"/>
        <v>0</v>
      </c>
      <c r="AA49" s="73">
        <f>IFERROR(VLOOKUP(_xlfn.CONCAT($AA$3,"_",B49,"_",$AA$2,"_",Parámetros!$C$6),DATA_KPI!$A:$H,6,FALSE),0)</f>
        <v>0</v>
      </c>
      <c r="AB49" s="73">
        <f>IFERROR(VLOOKUP(_xlfn.CONCAT($AB$3,"_",B49,"_",$AA$2,"_",Parámetros!$C$6),DATA_KPI!$A:$H,6,FALSE),0)</f>
        <v>0</v>
      </c>
      <c r="AC49" s="4">
        <f t="shared" si="89"/>
        <v>0</v>
      </c>
      <c r="AD49" s="73">
        <f>IFERROR(VLOOKUP(_xlfn.CONCAT($AB$3,"_",B49,"_",$AA$2,"_",Parámetros!$C$6),DATA_KPI_PRE!A:F,6,FALSE),0)</f>
        <v>0</v>
      </c>
      <c r="AE49" s="27">
        <f t="shared" si="80"/>
        <v>0</v>
      </c>
      <c r="AG49" s="73">
        <f>IFERROR(VLOOKUP(_xlfn.CONCAT($AG$3,"_",B49,"_",$AG$2,"_",Parámetros!$C$6),DATA_KPI!$A:$H,6,FALSE),0)</f>
        <v>1453742.6000000006</v>
      </c>
      <c r="AH49" s="73">
        <f>IFERROR(VLOOKUP(_xlfn.CONCAT($AH$3,"_",B49,"_",$AG$2,"_",Parámetros!$C$6),DATA_KPI!$A:$H,6,FALSE),0)</f>
        <v>1172595.4600000009</v>
      </c>
      <c r="AI49" s="27">
        <f t="shared" si="90"/>
        <v>-0.19339540576165237</v>
      </c>
      <c r="AJ49" s="73">
        <f>IFERROR(VLOOKUP(_xlfn.CONCAT($AH$3,"_",B49,"_",$AG$2,"_",Parámetros!$C$6),DATA_KPI_PRE!A:F,6,FALSE),0)</f>
        <v>1414708.5360397974</v>
      </c>
      <c r="AK49" s="27">
        <f t="shared" si="81"/>
        <v>-0.17113989904771842</v>
      </c>
      <c r="AM49" s="73">
        <f>IFERROR(VLOOKUP(_xlfn.CONCAT($AM$3,"_",B49,"_",$AM$2,"_",Parámetros!$C$6),DATA_KPI!$A:$H,6,FALSE),0)</f>
        <v>0</v>
      </c>
      <c r="AN49" s="73">
        <f>IFERROR(VLOOKUP(_xlfn.CONCAT($AN$3,"_",B49,"_",$AM$2,"_",Parámetros!$C$6),DATA_KPI!$A:$H,6,FALSE),0)</f>
        <v>0</v>
      </c>
      <c r="AO49" s="73">
        <f t="shared" si="91"/>
        <v>0</v>
      </c>
      <c r="AP49" s="73">
        <f>IFERROR(VLOOKUP(_xlfn.CONCAT($AN$3,"_",B49,"_",$AM$2,"_",Parámetros!$C$6),DATA_KPI_PRE!A:F,6,FALSE),0)</f>
        <v>0</v>
      </c>
      <c r="AQ49" s="27">
        <f t="shared" si="82"/>
        <v>0</v>
      </c>
      <c r="AS49" s="38">
        <f t="shared" si="92"/>
        <v>0.54979339447333431</v>
      </c>
      <c r="AT49" s="38">
        <f t="shared" si="93"/>
        <v>3.3655613952597399E-3</v>
      </c>
      <c r="AU49" s="38">
        <f t="shared" si="94"/>
        <v>0</v>
      </c>
      <c r="AV49" s="38">
        <f t="shared" si="95"/>
        <v>0</v>
      </c>
      <c r="AW49" s="38">
        <f t="shared" si="96"/>
        <v>0.44684104413140591</v>
      </c>
      <c r="AX49" s="38">
        <f t="shared" si="97"/>
        <v>0</v>
      </c>
      <c r="AY49" s="4">
        <f t="shared" si="99"/>
        <v>1</v>
      </c>
    </row>
    <row r="50" spans="1:51" ht="14.4" x14ac:dyDescent="0.3">
      <c r="A50" s="1" t="s">
        <v>47</v>
      </c>
      <c r="B50" s="1" t="str">
        <f>IF(IFERROR(VLOOKUP(A50,DATA_KPI!$D:$H,5,FALSE),"")="",VLOOKUP(A50,DATA_KPI_PRE!$D:$H,5,FALSE),VLOOKUP(A50,DATA_KPI!$D:$H,5,FALSE))</f>
        <v>V12</v>
      </c>
      <c r="C50" s="68">
        <f>IFERROR(VLOOKUP(_xlfn.CONCAT($C$3,"_",B50,"_",$C$2,"_",Parámetros!$C$6),DATA_KPI!$A:$H,6,FALSE),0)</f>
        <v>3454362.4200000037</v>
      </c>
      <c r="D50" s="68">
        <f>IFERROR(VLOOKUP(_xlfn.CONCAT($D$3,"_",B50,"_",$C$2,"_",Parámetros!$C$6),DATA_KPI!A:H,6,FALSE),0)</f>
        <v>3369350.0900000026</v>
      </c>
      <c r="E50" s="38">
        <f t="shared" si="84"/>
        <v>-2.4610136304111685E-2</v>
      </c>
      <c r="F50" s="68">
        <f>IFERROR(VLOOKUP(_xlfn.CONCAT($D$3,"_",B50,"_",$C$2,"_",Parámetros!$C$6),DATA_KPI_PRE!$A:$F,6,FALSE),0)</f>
        <v>3725843.3794962317</v>
      </c>
      <c r="G50" s="38">
        <f t="shared" si="85"/>
        <v>-9.5681233263334331E-2</v>
      </c>
      <c r="H50" s="38"/>
      <c r="I50" s="73">
        <f>IFERROR(VLOOKUP(_xlfn.CONCAT($I$3,"_",B50,"_",$I$2,"_",Parámetros!$C$6),DATA_KPI!$A:$H,6,FALSE),0)</f>
        <v>1471301.2600000019</v>
      </c>
      <c r="J50" s="73">
        <f>IFERROR(VLOOKUP(_xlfn.CONCAT($J$3,"_",B50,"_",$I$2,"_",Parámetros!$C$6),DATA_KPI!$A:$H,6,FALSE),0)</f>
        <v>1396416.6600000008</v>
      </c>
      <c r="K50" s="22">
        <f t="shared" si="86"/>
        <v>-5.089685031602631E-2</v>
      </c>
      <c r="L50" s="75">
        <f>IFERROR(VLOOKUP(_xlfn.CONCAT($J$3,"_",B50,"_",$I$2,"_",Parámetros!$C$6),DATA_KPI_PRE!A:F,6,FALSE),0)</f>
        <v>0</v>
      </c>
      <c r="M50" s="38">
        <f t="shared" si="77"/>
        <v>0</v>
      </c>
      <c r="O50" s="73">
        <f>IFERROR(VLOOKUP(_xlfn.CONCAT($O$3,"_",B50,"_",$O$2,"_",Parámetros!$C$6),DATA_KPI!$A:$H,6,FALSE),0)</f>
        <v>18247.79</v>
      </c>
      <c r="P50" s="73">
        <f>IFERROR(VLOOKUP(_xlfn.CONCAT($P$3,"_",B50,"_",$O$2,"_",Parámetros!$C$6),DATA_KPI!$A:$H,6,FALSE),0)</f>
        <v>31672.57</v>
      </c>
      <c r="Q50" s="22">
        <f t="shared" si="87"/>
        <v>0.73569347301782839</v>
      </c>
      <c r="R50" s="73">
        <f>IFERROR(VLOOKUP(_xlfn.CONCAT($P$3,"_",B50,"_",$O$2,"_",Parámetros!$C$6),DATA_KPI_PRE!A:F,6,FALSE),0)</f>
        <v>1504726.0045400935</v>
      </c>
      <c r="S50" s="27">
        <f t="shared" si="78"/>
        <v>-0.97895127092611089</v>
      </c>
      <c r="T50" s="4"/>
      <c r="U50" s="73">
        <f>IFERROR(VLOOKUP(_xlfn.CONCAT($U$3,"_",B50,"_",$U$2,"_",Parámetros!$C$6),DATA_KPI!$A:$H,6,FALSE),0)</f>
        <v>0</v>
      </c>
      <c r="V50" s="73">
        <f>IFERROR(VLOOKUP(_xlfn.CONCAT($V$3,"_",B50,"_",$U$2,"_",Parámetros!$C$6),DATA_KPI!$A:$H,6,FALSE),0)</f>
        <v>0</v>
      </c>
      <c r="W50" s="27">
        <f t="shared" si="88"/>
        <v>0</v>
      </c>
      <c r="X50" s="73">
        <f>IFERROR(VLOOKUP(_xlfn.CONCAT($V$3,"_",B50,"_",$U$2,"_",Parámetros!$C$6),DATA_KPI_PRE!A:F,6,FALSE),0)</f>
        <v>0</v>
      </c>
      <c r="Y50" s="4">
        <f t="shared" si="79"/>
        <v>0</v>
      </c>
      <c r="AA50" s="73">
        <f>IFERROR(VLOOKUP(_xlfn.CONCAT($AA$3,"_",B50,"_",$AA$2,"_",Parámetros!$C$6),DATA_KPI!$A:$H,6,FALSE),0)</f>
        <v>0</v>
      </c>
      <c r="AB50" s="73">
        <f>IFERROR(VLOOKUP(_xlfn.CONCAT($AB$3,"_",B50,"_",$AA$2,"_",Parámetros!$C$6),DATA_KPI!$A:$H,6,FALSE),0)</f>
        <v>0</v>
      </c>
      <c r="AC50" s="4">
        <f t="shared" si="89"/>
        <v>0</v>
      </c>
      <c r="AD50" s="73">
        <f>IFERROR(VLOOKUP(_xlfn.CONCAT($AB$3,"_",B50,"_",$AA$2,"_",Parámetros!$C$6),DATA_KPI_PRE!A:F,6,FALSE),0)</f>
        <v>0</v>
      </c>
      <c r="AE50" s="27">
        <f t="shared" si="80"/>
        <v>0</v>
      </c>
      <c r="AG50" s="73">
        <f>IFERROR(VLOOKUP(_xlfn.CONCAT($AG$3,"_",B50,"_",$AG$2,"_",Parámetros!$C$6),DATA_KPI!$A:$H,6,FALSE),0)</f>
        <v>1964813.3700000017</v>
      </c>
      <c r="AH50" s="73">
        <f>IFERROR(VLOOKUP(_xlfn.CONCAT($AH$3,"_",B50,"_",$AG$2,"_",Parámetros!$C$6),DATA_KPI!$A:$H,6,FALSE),0)</f>
        <v>1941260.860000002</v>
      </c>
      <c r="AI50" s="27">
        <f t="shared" si="90"/>
        <v>-1.1987148682726878E-2</v>
      </c>
      <c r="AJ50" s="73">
        <f>IFERROR(VLOOKUP(_xlfn.CONCAT($AH$3,"_",B50,"_",$AG$2,"_",Parámetros!$C$6),DATA_KPI_PRE!A:F,6,FALSE),0)</f>
        <v>2221117.374956138</v>
      </c>
      <c r="AK50" s="27">
        <f t="shared" si="81"/>
        <v>-0.1259980756134792</v>
      </c>
      <c r="AM50" s="73">
        <f>IFERROR(VLOOKUP(_xlfn.CONCAT($AM$3,"_",B50,"_",$AM$2,"_",Parámetros!$C$6),DATA_KPI!$A:$H,6,FALSE),0)</f>
        <v>0</v>
      </c>
      <c r="AN50" s="73">
        <f>IFERROR(VLOOKUP(_xlfn.CONCAT($AN$3,"_",B50,"_",$AM$2,"_",Parámetros!$C$6),DATA_KPI!$A:$H,6,FALSE),0)</f>
        <v>0</v>
      </c>
      <c r="AO50" s="73">
        <f t="shared" si="91"/>
        <v>0</v>
      </c>
      <c r="AP50" s="73">
        <f>IFERROR(VLOOKUP(_xlfn.CONCAT($AN$3,"_",B50,"_",$AM$2,"_",Parámetros!$C$6),DATA_KPI_PRE!A:F,6,FALSE),0)</f>
        <v>0</v>
      </c>
      <c r="AQ50" s="27">
        <f t="shared" si="82"/>
        <v>0</v>
      </c>
      <c r="AS50" s="38">
        <f t="shared" si="92"/>
        <v>0.41444688818311537</v>
      </c>
      <c r="AT50" s="38">
        <f t="shared" si="93"/>
        <v>9.4002015682496127E-3</v>
      </c>
      <c r="AU50" s="38">
        <f t="shared" si="94"/>
        <v>0</v>
      </c>
      <c r="AV50" s="38">
        <f t="shared" si="95"/>
        <v>0</v>
      </c>
      <c r="AW50" s="38">
        <f t="shared" si="96"/>
        <v>0.57615291024863502</v>
      </c>
      <c r="AX50" s="38">
        <f t="shared" si="97"/>
        <v>0</v>
      </c>
      <c r="AY50" s="4">
        <f t="shared" si="99"/>
        <v>1</v>
      </c>
    </row>
    <row r="51" spans="1:51" ht="14.4" x14ac:dyDescent="0.3">
      <c r="A51" s="1" t="s">
        <v>39</v>
      </c>
      <c r="B51" s="1" t="str">
        <f>IF(IFERROR(VLOOKUP(A51,DATA_KPI!$D:$H,5,FALSE),"")="",VLOOKUP(A51,DATA_KPI_PRE!$D:$H,5,FALSE),VLOOKUP(A51,DATA_KPI!$D:$H,5,FALSE))</f>
        <v>V10</v>
      </c>
      <c r="C51" s="68">
        <f>IFERROR(VLOOKUP(_xlfn.CONCAT($C$3,"_",B51,"_",$C$2,"_",Parámetros!$C$6),DATA_KPI!$A:$H,6,FALSE),0)</f>
        <v>2693589.950000002</v>
      </c>
      <c r="D51" s="68">
        <f>IFERROR(VLOOKUP(_xlfn.CONCAT($D$3,"_",B51,"_",$C$2,"_",Parámetros!$C$6),DATA_KPI!A:H,6,FALSE),0)</f>
        <v>2581543.5100000016</v>
      </c>
      <c r="E51" s="38">
        <f t="shared" si="84"/>
        <v>-4.1597437650077507E-2</v>
      </c>
      <c r="F51" s="68">
        <f>IFERROR(VLOOKUP(_xlfn.CONCAT($D$3,"_",B51,"_",$C$2,"_",Parámetros!$C$6),DATA_KPI_PRE!$A:$F,6,FALSE),0)</f>
        <v>2843663.9454835732</v>
      </c>
      <c r="G51" s="38">
        <f t="shared" si="85"/>
        <v>-9.217700843304022E-2</v>
      </c>
      <c r="H51" s="38"/>
      <c r="I51" s="73">
        <f>IFERROR(VLOOKUP(_xlfn.CONCAT($I$3,"_",B51,"_",$I$2,"_",Parámetros!$C$6),DATA_KPI!$A:$H,6,FALSE),0)</f>
        <v>1641115.5500000019</v>
      </c>
      <c r="J51" s="73">
        <f>IFERROR(VLOOKUP(_xlfn.CONCAT($J$3,"_",B51,"_",$I$2,"_",Parámetros!$C$6),DATA_KPI!$A:$H,6,FALSE),0)</f>
        <v>1587124.7900000014</v>
      </c>
      <c r="K51" s="22">
        <f t="shared" si="86"/>
        <v>-3.289881690536689E-2</v>
      </c>
      <c r="L51" s="75">
        <f>IFERROR(VLOOKUP(_xlfn.CONCAT($J$3,"_",B51,"_",$I$2,"_",Parámetros!$C$6),DATA_KPI_PRE!A:F,6,FALSE),0)</f>
        <v>0</v>
      </c>
      <c r="M51" s="38">
        <f t="shared" si="77"/>
        <v>0</v>
      </c>
      <c r="O51" s="73">
        <f>IFERROR(VLOOKUP(_xlfn.CONCAT($O$3,"_",B51,"_",$O$2,"_",Parámetros!$C$6),DATA_KPI!$A:$H,6,FALSE),0)</f>
        <v>0</v>
      </c>
      <c r="P51" s="73">
        <f>IFERROR(VLOOKUP(_xlfn.CONCAT($P$3,"_",B51,"_",$O$2,"_",Parámetros!$C$6),DATA_KPI!$A:$H,6,FALSE),0)</f>
        <v>0</v>
      </c>
      <c r="Q51" s="22">
        <f t="shared" si="87"/>
        <v>0</v>
      </c>
      <c r="R51" s="73">
        <f>IFERROR(VLOOKUP(_xlfn.CONCAT($P$3,"_",B51,"_",$O$2,"_",Parámetros!$C$6),DATA_KPI_PRE!A:F,6,FALSE),0)</f>
        <v>1759705.3857257385</v>
      </c>
      <c r="S51" s="27">
        <f t="shared" si="78"/>
        <v>-1</v>
      </c>
      <c r="T51" s="4"/>
      <c r="U51" s="73">
        <f>IFERROR(VLOOKUP(_xlfn.CONCAT($U$3,"_",B51,"_",$U$2,"_",Parámetros!$C$6),DATA_KPI!$A:$H,6,FALSE),0)</f>
        <v>0</v>
      </c>
      <c r="V51" s="73">
        <f>IFERROR(VLOOKUP(_xlfn.CONCAT($V$3,"_",B51,"_",$U$2,"_",Parámetros!$C$6),DATA_KPI!$A:$H,6,FALSE),0)</f>
        <v>0</v>
      </c>
      <c r="W51" s="27">
        <f t="shared" si="88"/>
        <v>0</v>
      </c>
      <c r="X51" s="73">
        <f>IFERROR(VLOOKUP(_xlfn.CONCAT($V$3,"_",B51,"_",$U$2,"_",Parámetros!$C$6),DATA_KPI_PRE!A:F,6,FALSE),0)</f>
        <v>0</v>
      </c>
      <c r="Y51" s="4">
        <f t="shared" si="79"/>
        <v>0</v>
      </c>
      <c r="AA51" s="73">
        <f>IFERROR(VLOOKUP(_xlfn.CONCAT($AA$3,"_",B51,"_",$AA$2,"_",Parámetros!$C$6),DATA_KPI!$A:$H,6,FALSE),0)</f>
        <v>0</v>
      </c>
      <c r="AB51" s="73">
        <f>IFERROR(VLOOKUP(_xlfn.CONCAT($AB$3,"_",B51,"_",$AA$2,"_",Parámetros!$C$6),DATA_KPI!$A:$H,6,FALSE),0)</f>
        <v>0</v>
      </c>
      <c r="AC51" s="4">
        <f t="shared" si="89"/>
        <v>0</v>
      </c>
      <c r="AD51" s="73">
        <f>IFERROR(VLOOKUP(_xlfn.CONCAT($AB$3,"_",B51,"_",$AA$2,"_",Parámetros!$C$6),DATA_KPI_PRE!A:F,6,FALSE),0)</f>
        <v>0</v>
      </c>
      <c r="AE51" s="27">
        <f t="shared" si="80"/>
        <v>0</v>
      </c>
      <c r="AG51" s="73">
        <f>IFERROR(VLOOKUP(_xlfn.CONCAT($AG$3,"_",B51,"_",$AG$2,"_",Parámetros!$C$6),DATA_KPI!$A:$H,6,FALSE),0)</f>
        <v>1052474.3999999999</v>
      </c>
      <c r="AH51" s="73">
        <f>IFERROR(VLOOKUP(_xlfn.CONCAT($AH$3,"_",B51,"_",$AG$2,"_",Parámetros!$C$6),DATA_KPI!$A:$H,6,FALSE),0)</f>
        <v>994418.72000000032</v>
      </c>
      <c r="AI51" s="27">
        <f t="shared" si="90"/>
        <v>-5.5161132660328405E-2</v>
      </c>
      <c r="AJ51" s="73">
        <f>IFERROR(VLOOKUP(_xlfn.CONCAT($AH$3,"_",B51,"_",$AG$2,"_",Parámetros!$C$6),DATA_KPI_PRE!A:F,6,FALSE),0)</f>
        <v>1083958.5597578348</v>
      </c>
      <c r="AK51" s="27">
        <f t="shared" si="81"/>
        <v>-8.2604486077252237E-2</v>
      </c>
      <c r="AM51" s="73">
        <f>IFERROR(VLOOKUP(_xlfn.CONCAT($AM$3,"_",B51,"_",$AM$2,"_",Parámetros!$C$6),DATA_KPI!$A:$H,6,FALSE),0)</f>
        <v>0</v>
      </c>
      <c r="AN51" s="73">
        <f>IFERROR(VLOOKUP(_xlfn.CONCAT($AN$3,"_",B51,"_",$AM$2,"_",Parámetros!$C$6),DATA_KPI!$A:$H,6,FALSE),0)</f>
        <v>0</v>
      </c>
      <c r="AO51" s="73">
        <f t="shared" si="91"/>
        <v>0</v>
      </c>
      <c r="AP51" s="73">
        <f>IFERROR(VLOOKUP(_xlfn.CONCAT($AN$3,"_",B51,"_",$AM$2,"_",Parámetros!$C$6),DATA_KPI_PRE!A:F,6,FALSE),0)</f>
        <v>0</v>
      </c>
      <c r="AQ51" s="27">
        <f t="shared" si="82"/>
        <v>0</v>
      </c>
      <c r="AS51" s="38">
        <f t="shared" si="92"/>
        <v>0.61479683912048433</v>
      </c>
      <c r="AT51" s="38">
        <f t="shared" si="93"/>
        <v>0</v>
      </c>
      <c r="AU51" s="38">
        <f t="shared" si="94"/>
        <v>0</v>
      </c>
      <c r="AV51" s="38">
        <f t="shared" si="95"/>
        <v>0</v>
      </c>
      <c r="AW51" s="38">
        <f t="shared" si="96"/>
        <v>0.38520316087951573</v>
      </c>
      <c r="AX51" s="38">
        <f t="shared" si="97"/>
        <v>0</v>
      </c>
      <c r="AY51" s="4">
        <f t="shared" ref="AY51:AY53" si="100">SUM(AS51:AX51)</f>
        <v>1</v>
      </c>
    </row>
    <row r="52" spans="1:51" thickBot="1" x14ac:dyDescent="0.35">
      <c r="A52" s="1" t="s">
        <v>24</v>
      </c>
      <c r="B52" s="1" t="str">
        <f>IF(IFERROR(VLOOKUP(A52,DATA_KPI!$D:$H,5,FALSE),"")="",VLOOKUP(A52,DATA_KPI_PRE!$D:$H,5,FALSE),VLOOKUP(A52,DATA_KPI!$D:$H,5,FALSE))</f>
        <v>S89</v>
      </c>
      <c r="C52" s="72">
        <f>IFERROR(VLOOKUP(_xlfn.CONCAT($C$3,"_",B52,"_",$C$2,"_",Parámetros!$C$6),DATA_KPI!$A:$H,6,FALSE),0)</f>
        <v>3450973.2700000005</v>
      </c>
      <c r="D52" s="72">
        <f>IFERROR(VLOOKUP(_xlfn.CONCAT($D$3,"_",B52,"_",$C$2,"_",Parámetros!$C$6),DATA_KPI!A:H,6,FALSE),0)</f>
        <v>2357612.8500000006</v>
      </c>
      <c r="E52" s="36">
        <f>IFERROR(+(D52/C52)-1,0)</f>
        <v>-0.31682668466452646</v>
      </c>
      <c r="F52" s="72">
        <f>IFERROR(VLOOKUP(_xlfn.CONCAT($D$3,"_",B52,"_",$C$2,"_",Parámetros!$C$6),DATA_KPI_PRE!$A:$F,6,FALSE),0)</f>
        <v>5087893.1876567416</v>
      </c>
      <c r="G52" s="36">
        <f t="shared" si="85"/>
        <v>-0.53662296690512634</v>
      </c>
      <c r="H52" s="38"/>
      <c r="I52" s="74">
        <f>IFERROR(VLOOKUP(_xlfn.CONCAT($I$3,"_",B52,"_",$I$2,"_",Parámetros!$C$6),DATA_KPI!$A:$H,6,FALSE),0)</f>
        <v>1265770.3400000001</v>
      </c>
      <c r="J52" s="74">
        <f>IFERROR(VLOOKUP(_xlfn.CONCAT($J$3,"_",B52,"_",$I$2,"_",Parámetros!$C$6),DATA_KPI!$A:$H,6,FALSE),0)</f>
        <v>1011257.2699999998</v>
      </c>
      <c r="K52" s="23">
        <f>IFERROR(+(J52/I52)-1,0)</f>
        <v>-0.20107365606307404</v>
      </c>
      <c r="L52" s="76">
        <f>IFERROR(VLOOKUP(_xlfn.CONCAT($J$3,"_",B52,"_",$I$2,"_",Parámetros!$C$6),DATA_KPI_PRE!A:F,6,FALSE),0)</f>
        <v>0</v>
      </c>
      <c r="M52" s="36">
        <f>IFERROR(+(J52/L52)-1,0)</f>
        <v>0</v>
      </c>
      <c r="N52" s="4"/>
      <c r="O52" s="74">
        <f>IFERROR(VLOOKUP(_xlfn.CONCAT($O$3,"_",B52,"_",$O$2,"_",Parámetros!$C$6),DATA_KPI!$A:$H,6,FALSE),0)</f>
        <v>3707.96</v>
      </c>
      <c r="P52" s="74">
        <f>IFERROR(VLOOKUP(_xlfn.CONCAT($P$3,"_",B52,"_",$O$2,"_",Parámetros!$C$6),DATA_KPI!$A:$H,6,FALSE),0)</f>
        <v>8026.56</v>
      </c>
      <c r="Q52" s="23">
        <f>IFERROR(+(P52/O52)-1,0)</f>
        <v>1.164683545669317</v>
      </c>
      <c r="R52" s="74">
        <f>IFERROR(VLOOKUP(_xlfn.CONCAT($P$3,"_",B52,"_",$O$2,"_",Parámetros!$C$6),DATA_KPI_PRE!A:F,6,FALSE),0)</f>
        <v>2826103.5405786876</v>
      </c>
      <c r="S52" s="26">
        <f>IFERROR(+(P52/R52)-1,0)</f>
        <v>-0.99715984928197055</v>
      </c>
      <c r="T52" s="4"/>
      <c r="U52" s="74">
        <f>IFERROR(VLOOKUP(_xlfn.CONCAT($U$3,"_",B52,"_",$U$2,"_",Parámetros!$C$6),DATA_KPI!$A:$H,6,FALSE),0)</f>
        <v>0</v>
      </c>
      <c r="V52" s="74">
        <f>IFERROR(VLOOKUP(_xlfn.CONCAT($V$3,"_",B52,"_",$U$2,"_",Parámetros!$C$6),DATA_KPI!$A:$H,6,FALSE),0)</f>
        <v>0</v>
      </c>
      <c r="W52" s="26">
        <f>IFERROR(+(V52/U52)-1,0)</f>
        <v>0</v>
      </c>
      <c r="X52" s="74">
        <f>IFERROR(VLOOKUP(_xlfn.CONCAT($V$3,"_",B52,"_",$U$2,"_",Parámetros!$C$6),DATA_KPI_PRE!A:F,6,FALSE),0)</f>
        <v>0</v>
      </c>
      <c r="Y52" s="13">
        <f>IFERROR(+(V52/X52)-1,0)</f>
        <v>0</v>
      </c>
      <c r="Z52" s="4"/>
      <c r="AA52" s="74">
        <f>IFERROR(VLOOKUP(_xlfn.CONCAT($AA$3,"_",B52,"_",$AA$2,"_",Parámetros!$C$6),DATA_KPI!$A:$H,6,FALSE),0)</f>
        <v>0</v>
      </c>
      <c r="AB52" s="74">
        <f>IFERROR(VLOOKUP(_xlfn.CONCAT($AB$3,"_",B52,"_",$AA$2,"_",Parámetros!$C$6),DATA_KPI!$A:$H,6,FALSE),0)</f>
        <v>0</v>
      </c>
      <c r="AC52" s="13">
        <f>IFERROR(+(AB52/AA52)-1,0)</f>
        <v>0</v>
      </c>
      <c r="AD52" s="74">
        <f>IFERROR(VLOOKUP(_xlfn.CONCAT($AB$3,"_",B52,"_",$AA$2,"_",Parámetros!$C$6),DATA_KPI_PRE!A:F,6,FALSE),0)</f>
        <v>0</v>
      </c>
      <c r="AE52" s="26">
        <f>IFERROR(+(AB52/AD52)-1,0)</f>
        <v>0</v>
      </c>
      <c r="AF52" s="4"/>
      <c r="AG52" s="74">
        <f>IFERROR(VLOOKUP(_xlfn.CONCAT($AG$3,"_",B52,"_",$AG$2,"_",Parámetros!$C$6),DATA_KPI!$A:$H,6,FALSE),0)</f>
        <v>2181494.9700000007</v>
      </c>
      <c r="AH52" s="74">
        <f>IFERROR(VLOOKUP(_xlfn.CONCAT($AH$3,"_",B52,"_",$AG$2,"_",Parámetros!$C$6),DATA_KPI!$A:$H,6,FALSE),0)</f>
        <v>1338329.0200000007</v>
      </c>
      <c r="AI52" s="26">
        <f>IFERROR(+(AH52/AG52)-1,0)</f>
        <v>-0.38650831727565238</v>
      </c>
      <c r="AJ52" s="74">
        <f>IFERROR(VLOOKUP(_xlfn.CONCAT($AH$3,"_",B52,"_",$AG$2,"_",Parámetros!$C$6),DATA_KPI_PRE!A:F,6,FALSE),0)</f>
        <v>2261789.6470780545</v>
      </c>
      <c r="AK52" s="26">
        <f>IFERROR(+(AH52/AJ52)-1,0)</f>
        <v>-0.40828758247746333</v>
      </c>
      <c r="AM52" s="74">
        <f>IFERROR(VLOOKUP(_xlfn.CONCAT($AM$3,"_",B52,"_",$AM$2,"_",Parámetros!$C$6),DATA_KPI!$A:$H,6,FALSE),0)</f>
        <v>0</v>
      </c>
      <c r="AN52" s="74">
        <f>IFERROR(VLOOKUP(_xlfn.CONCAT($AN$3,"_",B52,"_",$AM$2,"_",Parámetros!$C$6),DATA_KPI!$A:$H,6,FALSE),0)</f>
        <v>0</v>
      </c>
      <c r="AO52" s="74">
        <f t="shared" ref="AO52" si="101">IFERROR(+AN52/AM52,0)</f>
        <v>0</v>
      </c>
      <c r="AP52" s="74">
        <f>IFERROR(VLOOKUP(_xlfn.CONCAT($AN$3,"_",B52,"_",$AM$2,"_",Parámetros!$C$6),DATA_KPI_PRE!A:F,6,FALSE),0)</f>
        <v>0</v>
      </c>
      <c r="AQ52" s="26">
        <f>IFERROR(+(AN52/AP52)-1,0)</f>
        <v>0</v>
      </c>
      <c r="AS52" s="36">
        <f t="shared" si="92"/>
        <v>0.42893271047449522</v>
      </c>
      <c r="AT52" s="36">
        <f t="shared" si="93"/>
        <v>3.404528440706454E-3</v>
      </c>
      <c r="AU52" s="36">
        <f t="shared" si="94"/>
        <v>0</v>
      </c>
      <c r="AV52" s="36">
        <f t="shared" si="95"/>
        <v>0</v>
      </c>
      <c r="AW52" s="36">
        <f t="shared" si="96"/>
        <v>0.5676627610847983</v>
      </c>
      <c r="AX52" s="36">
        <f t="shared" si="97"/>
        <v>0</v>
      </c>
      <c r="AY52" s="4">
        <f t="shared" ref="AY52" si="102">SUM(AS52:AX52)</f>
        <v>1</v>
      </c>
    </row>
    <row r="53" spans="1:51" ht="14.4" x14ac:dyDescent="0.3">
      <c r="A53" s="2" t="s">
        <v>23</v>
      </c>
      <c r="B53" s="1"/>
      <c r="C53" s="68">
        <f>IFERROR(VLOOKUP(_xlfn.CONCAT($C$3,"_",A41,"_",C2,"_",Parámetros!$C$6),DATA_KPI!$A:$H,6,FALSE),0)</f>
        <v>36766929.060000025</v>
      </c>
      <c r="D53" s="68">
        <f>IFERROR(VLOOKUP(_xlfn.CONCAT(D3,"_",A41,"_",C2,"_",Parámetros!$C$6),DATA_KPI!$A:$H,6,FALSE),0)</f>
        <v>34233704.380000025</v>
      </c>
      <c r="E53" s="34">
        <f t="shared" si="84"/>
        <v>-6.8899544910754562E-2</v>
      </c>
      <c r="F53" s="68">
        <f>IFERROR(VLOOKUP(_xlfn.CONCAT($D$3,"_",A41,"_",$C$2,"_",Parámetros!$C$6),DATA_KPI_PRE!$A:$F,6,FALSE),0)</f>
        <v>44520178.684592679</v>
      </c>
      <c r="G53" s="34">
        <f t="shared" si="85"/>
        <v>-0.2310519546084514</v>
      </c>
      <c r="H53" s="34"/>
      <c r="I53" s="73">
        <f>IFERROR(VLOOKUP(_xlfn.CONCAT($I$3,"_",A41,"_",$I$2,"_",Parámetros!$C$6),DATA_KPI!$A:$H,6,FALSE),0)</f>
        <v>18455350.480000019</v>
      </c>
      <c r="J53" s="73">
        <f>IFERROR(VLOOKUP(_xlfn.CONCAT(J3,"_",A41,"_",$I$2,"_",Parámetros!$C$6),DATA_KPI!$A:$H,6,FALSE),0)</f>
        <v>16366858.780000012</v>
      </c>
      <c r="K53" s="22">
        <f t="shared" si="86"/>
        <v>-0.11316456451278434</v>
      </c>
      <c r="L53" s="73">
        <f>IFERROR(VLOOKUP(_xlfn.CONCAT(J3,"_",A41,"_",I2,"_",Parámetros!$C$6),DATA_KPI_PRE!$A:$F,6,FALSE),0)</f>
        <v>0</v>
      </c>
      <c r="M53" s="34">
        <f t="shared" si="77"/>
        <v>0</v>
      </c>
      <c r="O53" s="73">
        <f>IFERROR(VLOOKUP(_xlfn.CONCAT(O3,"_",A41,"_",O2,"_",Parámetros!$C$6),DATA_KPI!$A:$H,6,FALSE),0)</f>
        <v>87522.180000000008</v>
      </c>
      <c r="P53" s="73">
        <f>IFERROR(VLOOKUP(_xlfn.CONCAT(P3,"_",A41,"_",O2,"_",Parámetros!$C$6),DATA_KPI!$A:$H,6,FALSE),0)</f>
        <v>105955.82999999999</v>
      </c>
      <c r="Q53" s="22">
        <f t="shared" si="87"/>
        <v>0.21061689733962274</v>
      </c>
      <c r="R53" s="73">
        <f>IFERROR(VLOOKUP(_xlfn.CONCAT(P3,"_",A41,"_",O2,"_",Parámetros!$C$6),DATA_KPI_PRE!$A:$F,6,FALSE),0)</f>
        <v>25094758.240723833</v>
      </c>
      <c r="S53" s="25">
        <f t="shared" si="78"/>
        <v>-0.99577777044179472</v>
      </c>
      <c r="T53" s="7"/>
      <c r="U53" s="73">
        <f>IFERROR(VLOOKUP(_xlfn.CONCAT(U3,"_",A41,"_",U2,"_",Parámetros!$C$6),DATA_KPI!$A:$H,6,FALSE),0)</f>
        <v>0</v>
      </c>
      <c r="V53" s="73">
        <f>IFERROR(VLOOKUP(_xlfn.CONCAT(V3,"_",A41,"_",U2,"_",Parámetros!$C$6),DATA_KPI!$A:$H,6,FALSE),0)</f>
        <v>0</v>
      </c>
      <c r="W53" s="25">
        <f t="shared" si="88"/>
        <v>0</v>
      </c>
      <c r="X53" s="73">
        <f>IFERROR(VLOOKUP(_xlfn.CONCAT(V3,"_",A41,"_",U2,"_",Parámetros!$C$6),DATA_KPI_PRE!$A:$F,6,FALSE),0)</f>
        <v>0</v>
      </c>
      <c r="Y53" s="22">
        <f t="shared" si="79"/>
        <v>0</v>
      </c>
      <c r="AA53" s="73">
        <f>IFERROR(VLOOKUP(_xlfn.CONCAT(AA3,"_",A41,"_",AA2,"_",Parámetros!$C$6),DATA_KPI!$A:$H,6,FALSE),0)</f>
        <v>10610.62</v>
      </c>
      <c r="AB53" s="73">
        <f>IFERROR(VLOOKUP(_xlfn.CONCAT(AB3,"_",A41,"_",AA2,"_",Parámetros!$C$6),DATA_KPI!$A:$H,6,FALSE),0)</f>
        <v>0</v>
      </c>
      <c r="AC53" s="22">
        <f t="shared" si="89"/>
        <v>-1</v>
      </c>
      <c r="AD53" s="73">
        <f>IFERROR(VLOOKUP(_xlfn.CONCAT(AB3,"_",A41,"_",AA2,"_",Parámetros!$C$6),DATA_KPI_PRE!$A:$F,6,FALSE),0)</f>
        <v>0</v>
      </c>
      <c r="AE53" s="25">
        <f t="shared" si="80"/>
        <v>0</v>
      </c>
      <c r="AG53" s="73">
        <f>IFERROR(VLOOKUP(_xlfn.CONCAT(AG3,"_",A41,"_",AG2,"_",Parámetros!$C$6),DATA_KPI!$A:$H,6,FALSE),0)</f>
        <v>18213445.780000009</v>
      </c>
      <c r="AH53" s="73">
        <f>IFERROR(VLOOKUP(_xlfn.CONCAT(AH3,"_",A41,"_",AG2,"_",Parámetros!$C$6),DATA_KPI!$A:$H,6,FALSE),0)</f>
        <v>17760889.770000011</v>
      </c>
      <c r="AI53" s="25">
        <f t="shared" si="90"/>
        <v>-2.4847358125772434E-2</v>
      </c>
      <c r="AJ53" s="73">
        <f>IFERROR(VLOOKUP(_xlfn.CONCAT(AH3,"_",A41,"_",AG2,"_",Parámetros!$C$6),DATA_KPI_PRE!$A:$F,6,FALSE),0)</f>
        <v>19425420.443868838</v>
      </c>
      <c r="AK53" s="25">
        <f t="shared" si="81"/>
        <v>-8.5688270103527975E-2</v>
      </c>
      <c r="AM53" s="73">
        <f>IFERROR(VLOOKUP(_xlfn.CONCAT(AM3,"_",A41,"_",AM2,"_",Parámetros!$C$6),DATA_KPI!$A:$H,6,FALSE),0)</f>
        <v>0</v>
      </c>
      <c r="AN53" s="73">
        <f>IFERROR(VLOOKUP(_xlfn.CONCAT(AN3,"_",A41,"_",AM2,"_",Parámetros!$C$6),DATA_KPI!$A:$H,6,FALSE),0)</f>
        <v>0</v>
      </c>
      <c r="AO53" s="73">
        <f>IFERROR(AN53/AM53,0)</f>
        <v>0</v>
      </c>
      <c r="AP53" s="73">
        <f>IFERROR(VLOOKUP(_xlfn.CONCAT(AN3,"_",A41,"_",AM2,"_",Parámetros!$C$6),DATA_KPI_PRE!$A:$F,6,FALSE),0)</f>
        <v>0</v>
      </c>
      <c r="AQ53" s="25">
        <f t="shared" si="82"/>
        <v>0</v>
      </c>
      <c r="AS53" s="34">
        <f t="shared" si="92"/>
        <v>0.47809195868273724</v>
      </c>
      <c r="AT53" s="34">
        <f t="shared" si="93"/>
        <v>3.0950734639719965E-3</v>
      </c>
      <c r="AU53" s="34">
        <f t="shared" si="94"/>
        <v>0</v>
      </c>
      <c r="AV53" s="34">
        <f t="shared" si="95"/>
        <v>0</v>
      </c>
      <c r="AW53" s="34">
        <f t="shared" si="96"/>
        <v>0.51881296785329067</v>
      </c>
      <c r="AX53" s="34">
        <f t="shared" si="97"/>
        <v>0</v>
      </c>
      <c r="AY53" s="4">
        <f t="shared" si="100"/>
        <v>0.99999999999999989</v>
      </c>
    </row>
    <row r="54" spans="1:51" ht="14.4" hidden="1" x14ac:dyDescent="0.3">
      <c r="A54" s="2"/>
      <c r="B54" s="1"/>
      <c r="C54" s="68">
        <f>SUM(C42:C52)</f>
        <v>36766929.060000025</v>
      </c>
      <c r="D54" s="68">
        <f>SUM(D42:D52)</f>
        <v>34233704.380000018</v>
      </c>
      <c r="E54" s="34"/>
      <c r="F54" s="68">
        <f>SUM(F42:F52)</f>
        <v>44520178.684592679</v>
      </c>
      <c r="G54" s="34"/>
      <c r="H54" s="34"/>
      <c r="I54" s="68">
        <f>SUM(I42:I52)</f>
        <v>18455350.480000019</v>
      </c>
      <c r="J54" s="68">
        <f>SUM(J42:J52)</f>
        <v>16366858.780000011</v>
      </c>
      <c r="K54" s="22"/>
      <c r="L54" s="73"/>
      <c r="M54" s="34"/>
      <c r="O54" s="68">
        <f>SUM(O42:O52)</f>
        <v>87522.180000000008</v>
      </c>
      <c r="P54" s="68">
        <f>SUM(P42:P52)</f>
        <v>105955.82999999999</v>
      </c>
      <c r="Q54" s="22"/>
      <c r="R54" s="68">
        <f>SUM(R42:R52)</f>
        <v>25094758.240723841</v>
      </c>
      <c r="S54" s="25"/>
      <c r="T54" s="7"/>
      <c r="U54" s="68">
        <f>SUM(U42:U52)</f>
        <v>0</v>
      </c>
      <c r="V54" s="68">
        <f>SUM(V42:V52)</f>
        <v>0</v>
      </c>
      <c r="W54" s="25"/>
      <c r="X54" s="73"/>
      <c r="Y54" s="22"/>
      <c r="AA54" s="68">
        <f>SUM(AA42:AA52)</f>
        <v>10610.62</v>
      </c>
      <c r="AB54" s="68">
        <f>SUM(AB42:AB52)</f>
        <v>0</v>
      </c>
      <c r="AC54" s="22"/>
      <c r="AD54" s="73"/>
      <c r="AE54" s="25"/>
      <c r="AG54" s="68">
        <f>SUM(AG42:AG52)</f>
        <v>18213445.780000009</v>
      </c>
      <c r="AH54" s="68">
        <f>SUM(AH42:AH52)</f>
        <v>17760889.770000011</v>
      </c>
      <c r="AI54" s="25"/>
      <c r="AJ54" s="68">
        <f>SUM(AJ42:AJ52)</f>
        <v>19425420.443868842</v>
      </c>
      <c r="AK54" s="25"/>
      <c r="AM54" s="68">
        <f>SUM(AM42:AM52)</f>
        <v>0</v>
      </c>
      <c r="AN54" s="68">
        <f>SUM(AN42:AN52)</f>
        <v>0</v>
      </c>
      <c r="AO54" s="73"/>
      <c r="AP54" s="68">
        <f>SUM(AP42:AP52)</f>
        <v>0</v>
      </c>
      <c r="AQ54" s="25"/>
      <c r="AY54" s="4"/>
    </row>
    <row r="55" spans="1:51" ht="15" customHeight="1" x14ac:dyDescent="0.3">
      <c r="B55" s="1" t="str">
        <f>IFERROR(VLOOKUP(A55,DATA_KPI!M:Q,5,FALSE),"")</f>
        <v/>
      </c>
      <c r="C55" s="68"/>
      <c r="D55" s="68"/>
      <c r="E55" s="22"/>
      <c r="F55" s="68"/>
      <c r="G55" s="22"/>
      <c r="H55" s="22"/>
      <c r="K55" s="22"/>
      <c r="L55" s="75"/>
      <c r="M55" s="22"/>
      <c r="Q55" s="22"/>
      <c r="R55" s="73"/>
      <c r="S55" s="22"/>
      <c r="U55" s="73"/>
      <c r="V55" s="73"/>
      <c r="W55" s="4"/>
      <c r="X55" s="73"/>
      <c r="Y55" s="4"/>
      <c r="AA55" s="73"/>
      <c r="AB55" s="73"/>
      <c r="AC55" s="4"/>
      <c r="AD55" s="73"/>
      <c r="AE55" s="4"/>
      <c r="AG55" s="73"/>
      <c r="AH55" s="73"/>
      <c r="AI55" s="22"/>
      <c r="AJ55" s="73"/>
      <c r="AM55" s="73"/>
      <c r="AN55" s="73"/>
      <c r="AO55" s="73"/>
      <c r="AP55" s="73"/>
    </row>
    <row r="56" spans="1:51" ht="15" customHeight="1" x14ac:dyDescent="0.3">
      <c r="A56" s="18" t="s">
        <v>56</v>
      </c>
      <c r="B56" s="1" t="str">
        <f>IFERROR(VLOOKUP(A56,DATA_KPI!M:Q,5,FALSE),"")</f>
        <v/>
      </c>
      <c r="D56" s="68"/>
      <c r="E56" s="22"/>
      <c r="F56" s="22"/>
      <c r="G56" s="22"/>
      <c r="H56" s="22"/>
      <c r="K56" s="22"/>
      <c r="L56" s="75"/>
      <c r="M56" s="22"/>
      <c r="Q56" s="22"/>
      <c r="R56" s="73"/>
      <c r="S56" s="22"/>
      <c r="U56" s="73"/>
      <c r="V56" s="73"/>
      <c r="W56" s="4"/>
      <c r="X56" s="73"/>
      <c r="Y56" s="4"/>
      <c r="AA56" s="73"/>
      <c r="AB56" s="73"/>
      <c r="AC56" s="4"/>
      <c r="AD56" s="73"/>
      <c r="AE56" s="4"/>
      <c r="AG56" s="73"/>
      <c r="AH56" s="73"/>
      <c r="AI56" s="22"/>
      <c r="AJ56" s="73"/>
      <c r="AM56" s="73"/>
      <c r="AN56" s="73"/>
      <c r="AO56" s="73"/>
      <c r="AP56" s="73"/>
      <c r="AX56" s="25"/>
    </row>
    <row r="57" spans="1:51" ht="15" customHeight="1" x14ac:dyDescent="0.3">
      <c r="A57" t="s">
        <v>64</v>
      </c>
      <c r="B57" s="1" t="s">
        <v>666</v>
      </c>
      <c r="C57" s="68">
        <f>C30+C33+C39+C53</f>
        <v>516413951.11999995</v>
      </c>
      <c r="D57" s="68">
        <f>D30+D33+D39+D53</f>
        <v>492166247.74000013</v>
      </c>
      <c r="E57" s="34">
        <f t="shared" si="84"/>
        <v>-4.6954005265371523E-2</v>
      </c>
      <c r="F57" s="68">
        <f>F30+F33+F39+F53</f>
        <v>551681114.49662983</v>
      </c>
      <c r="G57" s="34">
        <f>IFERROR(+(D57/F57)-1,0)</f>
        <v>-0.10787910840655268</v>
      </c>
      <c r="H57" s="34"/>
      <c r="I57" s="68">
        <f>I30+I33+I39+I53</f>
        <v>337135254.13000011</v>
      </c>
      <c r="J57" s="68">
        <f>J30+J33+J39+J53</f>
        <v>329313786.6500001</v>
      </c>
      <c r="K57" s="22">
        <f t="shared" si="86"/>
        <v>-2.3199791134818626E-2</v>
      </c>
      <c r="L57" s="68">
        <f>L30+L33+L39+L53</f>
        <v>333021159.38448638</v>
      </c>
      <c r="M57" s="34">
        <f t="shared" si="77"/>
        <v>-1.1132544074191952E-2</v>
      </c>
      <c r="O57" s="68">
        <f>O30+O33+O39+O53</f>
        <v>49177466.260000005</v>
      </c>
      <c r="P57" s="68">
        <f>P30+P33+P39+P53</f>
        <v>37930489.480000071</v>
      </c>
      <c r="Q57" s="22">
        <f t="shared" si="87"/>
        <v>-0.22870183511564945</v>
      </c>
      <c r="R57" s="68">
        <f>R30+R33+R39+R53</f>
        <v>82702012.269183248</v>
      </c>
      <c r="S57" s="25">
        <f t="shared" si="78"/>
        <v>-0.541359533592221</v>
      </c>
      <c r="U57" s="68">
        <f>U30+U33+U39+U53</f>
        <v>1402823.57</v>
      </c>
      <c r="V57" s="68">
        <f>V30+V33+V39+V53</f>
        <v>1678471.5399999996</v>
      </c>
      <c r="W57" s="4">
        <f t="shared" si="88"/>
        <v>0.19649510878976706</v>
      </c>
      <c r="X57" s="68">
        <f>X30+X33+X39+X53</f>
        <v>1688666.9438675442</v>
      </c>
      <c r="Y57" s="25">
        <f t="shared" si="79"/>
        <v>-6.0375457129481225E-3</v>
      </c>
      <c r="AA57" s="68">
        <f>AA30+AA33+AA39+AA53</f>
        <v>6892289.6600000001</v>
      </c>
      <c r="AB57" s="68">
        <f>AB30+AB33+AB39+AB53</f>
        <v>4766224.8</v>
      </c>
      <c r="AC57" s="22">
        <f t="shared" si="89"/>
        <v>-0.30847003896815328</v>
      </c>
      <c r="AD57" s="68">
        <f>AD30+AD33+AD39+AD53</f>
        <v>11130302.018809425</v>
      </c>
      <c r="AE57" s="25">
        <f t="shared" si="80"/>
        <v>-0.57177938281050988</v>
      </c>
      <c r="AG57" s="68">
        <f>AG30+AG33+AG39+AG53</f>
        <v>121155602.67999998</v>
      </c>
      <c r="AH57" s="68">
        <f>AH30+AH33+AH39+AH53</f>
        <v>117543674.05</v>
      </c>
      <c r="AI57" s="25">
        <f t="shared" si="90"/>
        <v>-2.9812312019444343E-2</v>
      </c>
      <c r="AJ57" s="68">
        <f>AJ30+AJ33+AJ39+AJ53</f>
        <v>122213929.23318648</v>
      </c>
      <c r="AK57" s="25">
        <f t="shared" si="81"/>
        <v>-3.8213771641983252E-2</v>
      </c>
      <c r="AM57" s="68">
        <f>AM30+AM33+AM39+AM53</f>
        <v>650514.81999999995</v>
      </c>
      <c r="AN57" s="68">
        <f>AN30+AN33+AN39+AN53</f>
        <v>933601.22</v>
      </c>
      <c r="AO57" s="73">
        <f>IFERROR(AN57/AM57,0)</f>
        <v>1.4351728681600213</v>
      </c>
      <c r="AP57" s="68">
        <f>AP30+AP33+AP39+AP53</f>
        <v>925044.64709658525</v>
      </c>
      <c r="AQ57" s="25">
        <f t="shared" si="82"/>
        <v>9.2499026185071109E-3</v>
      </c>
      <c r="AS57" s="34">
        <f t="shared" ref="AS57:AS62" si="103">J57/D57</f>
        <v>0.6691108708941147</v>
      </c>
      <c r="AT57" s="34">
        <f t="shared" ref="AT57:AT62" si="104">P57/D57</f>
        <v>7.7068449236766548E-2</v>
      </c>
      <c r="AU57" s="34">
        <f t="shared" ref="AU57:AU62" si="105">V57/D57</f>
        <v>3.4103751480469191E-3</v>
      </c>
      <c r="AV57" s="34">
        <f t="shared" ref="AV57:AV62" si="106">AB57/D57</f>
        <v>9.6841764787533435E-3</v>
      </c>
      <c r="AW57" s="34">
        <f t="shared" ref="AW57:AW62" si="107">AH57/D57</f>
        <v>0.23882920576076472</v>
      </c>
      <c r="AX57" s="37">
        <f t="shared" ref="AX57:AX62" si="108">AN57/D57</f>
        <v>1.8969224815538338E-3</v>
      </c>
      <c r="AY57" s="4">
        <f t="shared" ref="AY57" si="109">SUM(AS57:AX57)</f>
        <v>1</v>
      </c>
    </row>
    <row r="58" spans="1:51" ht="15" customHeight="1" x14ac:dyDescent="0.3">
      <c r="A58" t="s">
        <v>689</v>
      </c>
      <c r="B58" s="1" t="s">
        <v>688</v>
      </c>
      <c r="C58" s="68">
        <f>C13+C4+C11+C9+C14+C27+C24+C29+C6+C20+C25</f>
        <v>219478391.79999995</v>
      </c>
      <c r="D58" s="68">
        <f>D13+D4+D11+D9+D14+D27+D24+D29+D6+D20+D25</f>
        <v>204171398.79000002</v>
      </c>
      <c r="E58" s="34">
        <f t="shared" ref="E58:E63" si="110">IFERROR(+(D58/C58)-1,0)</f>
        <v>-6.9742596911082089E-2</v>
      </c>
      <c r="F58" s="68">
        <f>F13+F4+F11+F9+F14+F27+F24+F29+F6+F20+F25</f>
        <v>216245371.50094962</v>
      </c>
      <c r="G58" s="34">
        <f t="shared" ref="G58:G63" si="111">IFERROR(+(D58/F58)-1,0)</f>
        <v>-5.5834594873151233E-2</v>
      </c>
      <c r="H58" s="34"/>
      <c r="I58" s="68">
        <f>I13+I4+I11+I9+I14+I27+I24+I29+I6+I20+I25</f>
        <v>132061089.17999999</v>
      </c>
      <c r="J58" s="68">
        <f>J13+J4+J11+J9+J14+J27+J24+J29+J6+J20+J25</f>
        <v>122403651.67000003</v>
      </c>
      <c r="K58" s="22">
        <f t="shared" ref="K58:K63" si="112">IFERROR(+(J58/I58)-1,0)</f>
        <v>-7.3128561713108553E-2</v>
      </c>
      <c r="L58" s="68">
        <f>L13+L4+L11+L9+L14+L27+L24+L29+L6+L20+L25</f>
        <v>124522999.79605994</v>
      </c>
      <c r="M58" s="34">
        <f t="shared" ref="M58:M63" si="113">IFERROR(+(J58/L58)-1,0)</f>
        <v>-1.7019732334837001E-2</v>
      </c>
      <c r="O58" s="68">
        <f>O13+O4+O11+O9+O14+O27+O24+O29+O6+O20+O25</f>
        <v>15433086.42</v>
      </c>
      <c r="P58" s="68">
        <f>P13+P4+P11+P9+P14+P27+P24+P29+P6+P20+P25</f>
        <v>13322424.100000001</v>
      </c>
      <c r="Q58" s="22">
        <f t="shared" ref="Q58:Q63" si="114">IFERROR(+(P58/O58)-1,0)</f>
        <v>-0.13676216555521614</v>
      </c>
      <c r="R58" s="68">
        <f>R13+R4+R11+R9+R14+R27+R24+R29+R6+R20+R25</f>
        <v>16097115.602394519</v>
      </c>
      <c r="S58" s="25">
        <f t="shared" ref="S58:S63" si="115">IFERROR(+(P58/R58)-1,0)</f>
        <v>-0.17237196842779523</v>
      </c>
      <c r="U58" s="68">
        <f>U13+U4+U11+U9+U14+U27+U24+U29+U6+U20+U25</f>
        <v>1402823.57</v>
      </c>
      <c r="V58" s="68">
        <f>V13+V4+V11+V9+V14+V27+V24+V29+V6+V20+V25</f>
        <v>1678471.5399999996</v>
      </c>
      <c r="W58" s="4">
        <f t="shared" ref="W58:W63" si="116">IFERROR(+(V58/U58)-1,0)</f>
        <v>0.19649510878976706</v>
      </c>
      <c r="X58" s="68">
        <f>X13+X4+X11+X9+X14+X27+X24+X29+X6+X20+X25</f>
        <v>1688666.9438675442</v>
      </c>
      <c r="Y58" s="25">
        <f t="shared" ref="Y58:Y63" si="117">IFERROR(+(V58/X58)-1,0)</f>
        <v>-6.0375457129481225E-3</v>
      </c>
      <c r="AA58" s="68">
        <f>AA13+AA4+AA11+AA9+AA14+AA27+AA24+AA29+AA6+AA20+AA25</f>
        <v>5559484.6299999999</v>
      </c>
      <c r="AB58" s="68">
        <f>AB13+AB4+AB11+AB9+AB14+AB27+AB24+AB29+AB6+AB20+AB25</f>
        <v>4155095.4599999995</v>
      </c>
      <c r="AC58" s="22">
        <f t="shared" ref="AC58:AC63" si="118">IFERROR(+(AB58/AA58)-1,0)</f>
        <v>-0.25261139538396393</v>
      </c>
      <c r="AD58" s="68">
        <f>AD13+AD4+AD11+AD9+AD14+AD27+AD24+AD29+AD6+AD20+AD25</f>
        <v>9027682.7183710542</v>
      </c>
      <c r="AE58" s="25">
        <f t="shared" ref="AE58:AE63" si="119">IFERROR(+(AB58/AD58)-1,0)</f>
        <v>-0.53973842572640385</v>
      </c>
      <c r="AG58" s="68">
        <f>AG13+AG4+AG11+AG9+AG14+AG27+AG24+AG29+AG6+AG20+AG25</f>
        <v>64478946.269999959</v>
      </c>
      <c r="AH58" s="68">
        <f>AH13+AH4+AH11+AH9+AH14+AH27+AH24+AH29+AH6+AH20+AH25</f>
        <v>62056428.349999994</v>
      </c>
      <c r="AI58" s="25">
        <f t="shared" ref="AI58:AI63" si="120">IFERROR(+(AH58/AG58)-1,0)</f>
        <v>-3.7570680976327986E-2</v>
      </c>
      <c r="AJ58" s="68">
        <f>AJ13+AJ4+AJ11+AJ9+AJ14+AJ27+AJ24+AJ29+AJ6+AJ20+AJ25</f>
        <v>64150522.853489228</v>
      </c>
      <c r="AK58" s="25">
        <f t="shared" ref="AK58:AK63" si="121">IFERROR(+(AH58/AJ58)-1,0)</f>
        <v>-3.264345184328199E-2</v>
      </c>
      <c r="AM58" s="68">
        <f>AM13+AM4+AM11+AM9+AM14+AM27+AM24+AM29+AM6+AM20+AM25</f>
        <v>542961.7300000001</v>
      </c>
      <c r="AN58" s="68">
        <f>AN13+AN4+AN11+AN9+AN14+AN27+AN24+AN29+AN6+AN20+AN25</f>
        <v>555327.67000000004</v>
      </c>
      <c r="AO58" s="73">
        <f t="shared" ref="AO58:AO63" si="122">IFERROR(AN58/AM58,0)</f>
        <v>1.0227749753191628</v>
      </c>
      <c r="AP58" s="68">
        <f>AP13+AP4+AP11+AP9+AP14+AP27+AP24+AP29+AP6+AP20+AP25</f>
        <v>758383.58676733845</v>
      </c>
      <c r="AQ58" s="25">
        <f t="shared" ref="AQ58:AQ63" si="123">IFERROR(+(AN58/AP58)-1,0)</f>
        <v>-0.26774830087354351</v>
      </c>
      <c r="AS58" s="34">
        <f t="shared" si="103"/>
        <v>0.59951419442396048</v>
      </c>
      <c r="AT58" s="34">
        <f t="shared" si="104"/>
        <v>6.525117709411761E-2</v>
      </c>
      <c r="AU58" s="34">
        <f t="shared" si="105"/>
        <v>8.2208945520640102E-3</v>
      </c>
      <c r="AV58" s="34">
        <f t="shared" si="106"/>
        <v>2.0351016276641726E-2</v>
      </c>
      <c r="AW58" s="34">
        <f t="shared" si="107"/>
        <v>0.30394280843335936</v>
      </c>
      <c r="AX58" s="37">
        <f t="shared" si="108"/>
        <v>2.7199092198568952E-3</v>
      </c>
      <c r="AY58" s="4">
        <f t="shared" ref="AY58:AY62" si="124">SUM(AS58:AX58)</f>
        <v>1</v>
      </c>
    </row>
    <row r="59" spans="1:51" ht="15" customHeight="1" x14ac:dyDescent="0.3">
      <c r="A59" t="s">
        <v>712</v>
      </c>
      <c r="B59" s="1" t="s">
        <v>711</v>
      </c>
      <c r="C59" s="68">
        <f>C17+C28+C16+C15+C7+C18+C36+C37</f>
        <v>125814426.45000005</v>
      </c>
      <c r="D59" s="68">
        <f>D17+D28+D16+D15+D7+D18+D36+D37</f>
        <v>129146918.16000001</v>
      </c>
      <c r="E59" s="34">
        <f t="shared" si="110"/>
        <v>2.6487357642760667E-2</v>
      </c>
      <c r="F59" s="68">
        <f>F17+F28+F16+F15+F7+F18+F36+F37</f>
        <v>145786772.98825762</v>
      </c>
      <c r="G59" s="34">
        <f t="shared" si="111"/>
        <v>-0.1141383027224141</v>
      </c>
      <c r="H59" s="34"/>
      <c r="I59" s="68">
        <f>I17+I28+I16+I15+I7+I18+I36+I37</f>
        <v>111554250.40000005</v>
      </c>
      <c r="J59" s="68">
        <f>J17+J28+J16+J15+J7+J18+J36+J37</f>
        <v>114257525.7</v>
      </c>
      <c r="K59" s="22">
        <f t="shared" si="112"/>
        <v>2.4232831024428192E-2</v>
      </c>
      <c r="L59" s="68">
        <f>L17+L28+L16+L15+L7+L18+L36+L37</f>
        <v>129152869.52200507</v>
      </c>
      <c r="M59" s="34">
        <f t="shared" si="113"/>
        <v>-0.11533111015754238</v>
      </c>
      <c r="O59" s="68">
        <f>O17+O28+O16+O15+O7+O18+O36+O37</f>
        <v>3510146.69</v>
      </c>
      <c r="P59" s="68">
        <f>P17+P28+P16+P15+P7+P18+P36+P37</f>
        <v>3656871.6</v>
      </c>
      <c r="Q59" s="22">
        <f t="shared" si="114"/>
        <v>4.1800221745148747E-2</v>
      </c>
      <c r="R59" s="68">
        <f>R17+R28+R16+R15+R7+R18+R36+R37</f>
        <v>6325796.6383938082</v>
      </c>
      <c r="S59" s="25">
        <f t="shared" si="115"/>
        <v>-0.42191129291052876</v>
      </c>
      <c r="U59" s="68">
        <f>U17+U28+U16+U15+U7+U18+U36+U37</f>
        <v>0</v>
      </c>
      <c r="V59" s="68">
        <f>V17+V28+V16+V15+V7+V18+V36+V37</f>
        <v>0</v>
      </c>
      <c r="W59" s="4">
        <f t="shared" si="116"/>
        <v>0</v>
      </c>
      <c r="X59" s="68">
        <f>X17+X28+X16+X15+X7+X18+X36+X37</f>
        <v>0</v>
      </c>
      <c r="Y59" s="25">
        <f t="shared" si="117"/>
        <v>0</v>
      </c>
      <c r="AA59" s="68">
        <f>AA17+AA28+AA16+AA15+AA7+AA18+AA36+AA37</f>
        <v>0</v>
      </c>
      <c r="AB59" s="68">
        <f>AB17+AB28+AB16+AB15+AB7+AB18+AB36+AB37</f>
        <v>0</v>
      </c>
      <c r="AC59" s="22">
        <f t="shared" si="118"/>
        <v>0</v>
      </c>
      <c r="AD59" s="68">
        <f>AD17+AD28+AD16+AD15+AD7+AD18+AD36+AD37</f>
        <v>0</v>
      </c>
      <c r="AE59" s="25">
        <f t="shared" si="119"/>
        <v>0</v>
      </c>
      <c r="AG59" s="68">
        <f>AG17+AG28+AG16+AG15+AG7+AG18+AG36+AG37</f>
        <v>10750029.359999999</v>
      </c>
      <c r="AH59" s="68">
        <f>AH17+AH28+AH16+AH15+AH7+AH18+AH36+AH37</f>
        <v>11232520.860000003</v>
      </c>
      <c r="AI59" s="25">
        <f t="shared" si="120"/>
        <v>4.4882807650304279E-2</v>
      </c>
      <c r="AJ59" s="68">
        <f>AJ17+AJ28+AJ16+AJ15+AJ7+AJ18+AJ36+AJ37</f>
        <v>10308106.827858754</v>
      </c>
      <c r="AK59" s="25">
        <f t="shared" si="121"/>
        <v>8.9678351959151525E-2</v>
      </c>
      <c r="AM59" s="68">
        <f>AM17+AM28+AM16+AM15+AM7+AM18+AM36+AM37</f>
        <v>0</v>
      </c>
      <c r="AN59" s="68">
        <f>AN17+AN28+AN16+AN15+AN7+AN18+AN36+AN37</f>
        <v>0</v>
      </c>
      <c r="AO59" s="73">
        <f t="shared" si="122"/>
        <v>0</v>
      </c>
      <c r="AP59" s="68">
        <f>AP17+AP28+AP16+AP15+AP7+AP18+AP36+AP37</f>
        <v>0</v>
      </c>
      <c r="AQ59" s="25">
        <f t="shared" si="123"/>
        <v>0</v>
      </c>
      <c r="AS59" s="34">
        <f t="shared" si="103"/>
        <v>0.88470965724823913</v>
      </c>
      <c r="AT59" s="34">
        <f t="shared" si="104"/>
        <v>2.8315593218178888E-2</v>
      </c>
      <c r="AU59" s="34">
        <f t="shared" si="105"/>
        <v>0</v>
      </c>
      <c r="AV59" s="34">
        <f t="shared" si="106"/>
        <v>0</v>
      </c>
      <c r="AW59" s="34">
        <f t="shared" si="107"/>
        <v>8.6974749533581919E-2</v>
      </c>
      <c r="AX59" s="37">
        <f t="shared" si="108"/>
        <v>0</v>
      </c>
      <c r="AY59" s="4">
        <f t="shared" si="124"/>
        <v>1</v>
      </c>
    </row>
    <row r="60" spans="1:51" ht="15" customHeight="1" x14ac:dyDescent="0.3">
      <c r="A60" t="s">
        <v>735</v>
      </c>
      <c r="B60" s="1" t="s">
        <v>734</v>
      </c>
      <c r="C60" s="68">
        <f>C10+C26+C5+C21+C23+C22+C8</f>
        <v>92597986.339999974</v>
      </c>
      <c r="D60" s="68">
        <f>D10+D26+D5+D21+D23+D22+D8</f>
        <v>89600290.949999973</v>
      </c>
      <c r="E60" s="34">
        <f t="shared" si="110"/>
        <v>-3.2373224391652577E-2</v>
      </c>
      <c r="F60" s="68">
        <f>F10+F26+F5+F21+F23+F22+F8</f>
        <v>97317486.296382934</v>
      </c>
      <c r="G60" s="34">
        <f t="shared" si="111"/>
        <v>-7.9299164416146595E-2</v>
      </c>
      <c r="H60" s="34"/>
      <c r="I60" s="68">
        <f>I10+I26+I5+I21+I23+I22+I8</f>
        <v>55700940.909999996</v>
      </c>
      <c r="J60" s="68">
        <f>J10+J26+J5+J21+J23+J22+J8</f>
        <v>57141731.939999998</v>
      </c>
      <c r="K60" s="22">
        <f t="shared" si="112"/>
        <v>2.5866547431002918E-2</v>
      </c>
      <c r="L60" s="68">
        <f>L10+L26+L5+L21+L23+L22+L8</f>
        <v>58504516.509472735</v>
      </c>
      <c r="M60" s="34">
        <f t="shared" si="113"/>
        <v>-2.3293664331916708E-2</v>
      </c>
      <c r="O60" s="68">
        <f>O10+O26+O5+O21+O23+O22+O8</f>
        <v>7754116.6600000001</v>
      </c>
      <c r="P60" s="68">
        <f>P10+P26+P5+P21+P23+P22+P8</f>
        <v>4975321.0499999989</v>
      </c>
      <c r="Q60" s="22">
        <f t="shared" si="114"/>
        <v>-0.35836391581965199</v>
      </c>
      <c r="R60" s="68">
        <f>R10+R26+R5+R21+R23+R22+R8</f>
        <v>8213810.3181729168</v>
      </c>
      <c r="S60" s="25">
        <f t="shared" si="115"/>
        <v>-0.39427368574701749</v>
      </c>
      <c r="U60" s="68">
        <f>U10+U26+U5+U21+U23+U22+U8</f>
        <v>0</v>
      </c>
      <c r="V60" s="68">
        <f>V10+V26+V5+V21+V23+V22+V8</f>
        <v>0</v>
      </c>
      <c r="W60" s="4">
        <f t="shared" si="116"/>
        <v>0</v>
      </c>
      <c r="X60" s="68">
        <f>X10+X26+X5+X21+X23+X22+X8</f>
        <v>0</v>
      </c>
      <c r="Y60" s="25">
        <f t="shared" si="117"/>
        <v>0</v>
      </c>
      <c r="AA60" s="68">
        <f>AA10+AA26+AA5+AA21+AA23+AA22+AA8</f>
        <v>1322194.4100000001</v>
      </c>
      <c r="AB60" s="68">
        <f>AB10+AB26+AB5+AB21+AB23+AB22+AB8</f>
        <v>611129.34000000008</v>
      </c>
      <c r="AC60" s="22">
        <f t="shared" si="118"/>
        <v>-0.53779161719493285</v>
      </c>
      <c r="AD60" s="68">
        <f>AD10+AD26+AD5+AD21+AD23+AD22+AD8</f>
        <v>2102619.3004383715</v>
      </c>
      <c r="AE60" s="25">
        <f t="shared" si="119"/>
        <v>-0.70934855402849828</v>
      </c>
      <c r="AG60" s="68">
        <f>AG10+AG26+AG5+AG21+AG23+AG22+AG8</f>
        <v>27713181.269999988</v>
      </c>
      <c r="AH60" s="68">
        <f>AH10+AH26+AH5+AH21+AH23+AH22+AH8</f>
        <v>26493835.069999989</v>
      </c>
      <c r="AI60" s="25">
        <f t="shared" si="120"/>
        <v>-4.3998781234111273E-2</v>
      </c>
      <c r="AJ60" s="68">
        <f>AJ10+AJ26+AJ5+AJ21+AJ23+AJ22+AJ8</f>
        <v>28329879.10796966</v>
      </c>
      <c r="AK60" s="25">
        <f t="shared" si="121"/>
        <v>-6.4809455450629216E-2</v>
      </c>
      <c r="AM60" s="68">
        <f>AM10+AM26+AM5+AM21+AM23+AM22+AM8</f>
        <v>107553.09</v>
      </c>
      <c r="AN60" s="68">
        <f>AN10+AN26+AN5+AN21+AN23+AN22+AN8</f>
        <v>378273.55</v>
      </c>
      <c r="AO60" s="73">
        <f t="shared" si="122"/>
        <v>3.5170867708217401</v>
      </c>
      <c r="AP60" s="68">
        <f>AP10+AP26+AP5+AP21+AP23+AP22+AP8</f>
        <v>166661.06032924689</v>
      </c>
      <c r="AQ60" s="25">
        <f t="shared" si="123"/>
        <v>1.2697176488179212</v>
      </c>
      <c r="AS60" s="34">
        <f t="shared" si="103"/>
        <v>0.63774047309608672</v>
      </c>
      <c r="AT60" s="34">
        <f t="shared" si="104"/>
        <v>5.552795640782459E-2</v>
      </c>
      <c r="AU60" s="34">
        <f t="shared" si="105"/>
        <v>0</v>
      </c>
      <c r="AV60" s="34">
        <f t="shared" si="106"/>
        <v>6.8206178073800137E-3</v>
      </c>
      <c r="AW60" s="34">
        <f t="shared" si="107"/>
        <v>0.29568916338435169</v>
      </c>
      <c r="AX60" s="37">
        <f t="shared" si="108"/>
        <v>4.2217893043571654E-3</v>
      </c>
      <c r="AY60" s="4">
        <f t="shared" si="124"/>
        <v>1.0000000000000002</v>
      </c>
    </row>
    <row r="61" spans="1:51" ht="15" customHeight="1" x14ac:dyDescent="0.3">
      <c r="A61" t="s">
        <v>802</v>
      </c>
      <c r="B61" s="1" t="s">
        <v>801</v>
      </c>
      <c r="C61" s="68">
        <f>C13+C4+C26+C14+C27+C29+C21+C23+C15+C7+C22+C8+C18+C19+C12+C25</f>
        <v>260875175.16999993</v>
      </c>
      <c r="D61" s="68">
        <f>D13+D4+D26+D14+D27+D29+D21+D23+D15+D7+D22+D8+D18+D19+D12+D25</f>
        <v>240542296.82000008</v>
      </c>
      <c r="E61" s="34">
        <f t="shared" si="110"/>
        <v>-7.794102423409921E-2</v>
      </c>
      <c r="F61" s="68">
        <f>F13+F4+F26+F14+F27+F29+F21+F23+F15+F7+F22+F8+F18+F19+F12+F25</f>
        <v>261111968.62177861</v>
      </c>
      <c r="G61" s="34">
        <f t="shared" si="111"/>
        <v>-7.8777207763975565E-2</v>
      </c>
      <c r="H61" s="34"/>
      <c r="I61" s="68">
        <f>I13+I4+I26+I14+I27+I29+I21+I23+I15+I7+I22+I8+I18+I19+I12+I25</f>
        <v>166995034.90000004</v>
      </c>
      <c r="J61" s="68">
        <f>J13+J4+J26+J14+J27+J29+J21+J23+J15+J7+J22+J8+J18+J19+J12+J25</f>
        <v>159612914.22999999</v>
      </c>
      <c r="K61" s="22">
        <f t="shared" si="112"/>
        <v>-4.4205629672885882E-2</v>
      </c>
      <c r="L61" s="68">
        <f>L13+L4+L26+L14+L27+L29+L21+L23+L15+L7+L22+L8+L18+L19+L12+L25</f>
        <v>163225499.64458707</v>
      </c>
      <c r="M61" s="34">
        <f t="shared" si="113"/>
        <v>-2.2132481888266553E-2</v>
      </c>
      <c r="O61" s="68">
        <f>O13+O4+O26+O14+O27+O29+O21+O23+O15+O7+O22+O8+O18+O19+O12+O25</f>
        <v>35158670.039999999</v>
      </c>
      <c r="P61" s="68">
        <f>P13+P4+P26+P14+P27+P29+P21+P23+P15+P7+P22+P8+P18+P19+P12+P25</f>
        <v>26047983.460000057</v>
      </c>
      <c r="Q61" s="22">
        <f t="shared" si="114"/>
        <v>-0.25913058058324501</v>
      </c>
      <c r="R61" s="68">
        <f>R13+R4+R26+R14+R27+R29+R21+R23+R15+R7+R22+R8+R18+R19+R12+R25</f>
        <v>36257213.948832475</v>
      </c>
      <c r="S61" s="25">
        <f t="shared" si="115"/>
        <v>-0.28157790897116541</v>
      </c>
      <c r="U61" s="68">
        <f>U13+U4+U26+U14+U27+U29+U21+U23+U15+U7+U22+U8+U18+U19+U12+U25</f>
        <v>1402823.57</v>
      </c>
      <c r="V61" s="68">
        <f>V13+V4+V26+V14+V27+V29+V21+V23+V15+V7+V22+V8+V18+V19+V12+V25</f>
        <v>1678471.5399999996</v>
      </c>
      <c r="W61" s="4">
        <f t="shared" si="116"/>
        <v>0.19649510878976706</v>
      </c>
      <c r="X61" s="68">
        <f>X13+X4+X26+X14+X27+X29+X21+X23+X15+X7+X22+X8+X18+X19+X12+X25</f>
        <v>1688666.9438675442</v>
      </c>
      <c r="Y61" s="25">
        <f t="shared" si="117"/>
        <v>-6.0375457129481225E-3</v>
      </c>
      <c r="AA61" s="68">
        <f>AA13+AA4+AA26+AA14+AA27+AA29+AA21+AA23+AA15+AA7+AA22+AA8+AA18+AA19+AA12+AA25</f>
        <v>3561907.8699999992</v>
      </c>
      <c r="AB61" s="68">
        <f>AB13+AB4+AB26+AB14+AB27+AB29+AB21+AB23+AB15+AB7+AB22+AB8+AB18+AB19+AB12+AB25</f>
        <v>2065453.9399999997</v>
      </c>
      <c r="AC61" s="22">
        <f t="shared" si="118"/>
        <v>-0.42012707364045321</v>
      </c>
      <c r="AD61" s="68">
        <f>AD13+AD4+AD26+AD14+AD27+AD29+AD21+AD23+AD15+AD7+AD22+AD8+AD18+AD19+AD12+AD25</f>
        <v>6481940.0019406797</v>
      </c>
      <c r="AE61" s="25">
        <f t="shared" si="119"/>
        <v>-0.68135250567243655</v>
      </c>
      <c r="AG61" s="68">
        <f>AG13+AG4+AG26+AG14+AG27+AG29+AG21+AG23+AG15+AG7+AG22+AG8+AG18+AG19+AG12+AG25</f>
        <v>53435369.499999985</v>
      </c>
      <c r="AH61" s="68">
        <f>AH13+AH4+AH26+AH14+AH27+AH29+AH21+AH23+AH15+AH7+AH22+AH8+AH18+AH19+AH12+AH25</f>
        <v>50619812.899999991</v>
      </c>
      <c r="AI61" s="25">
        <f t="shared" si="120"/>
        <v>-5.2690879212503483E-2</v>
      </c>
      <c r="AJ61" s="68">
        <f>AJ13+AJ4+AJ26+AJ14+AJ27+AJ29+AJ21+AJ23+AJ15+AJ7+AJ22+AJ8+AJ18+AJ19+AJ12+AJ25</f>
        <v>52972301.978499711</v>
      </c>
      <c r="AK61" s="25">
        <f t="shared" si="121"/>
        <v>-4.4409795131322483E-2</v>
      </c>
      <c r="AM61" s="68">
        <f>AM13+AM4+AM26+AM14+AM27+AM29+AM21+AM23+AM15+AM7+AM22+AM8+AM18+AM19+AM12+AM25</f>
        <v>321369.28999999998</v>
      </c>
      <c r="AN61" s="68">
        <f>AN13+AN4+AN26+AN14+AN27+AN29+AN21+AN23+AN15+AN7+AN22+AN8+AN18+AN19+AN12+AN25</f>
        <v>517660.75</v>
      </c>
      <c r="AO61" s="73">
        <f t="shared" si="122"/>
        <v>1.6107971922270483</v>
      </c>
      <c r="AP61" s="68">
        <f>AP13+AP4+AP26+AP14+AP27+AP29+AP21+AP23+AP15+AP7+AP22+AP8+AP18+AP19+AP12+AP25</f>
        <v>486346.10405114078</v>
      </c>
      <c r="AQ61" s="25">
        <f t="shared" si="123"/>
        <v>6.438757437967757E-2</v>
      </c>
      <c r="AS61" s="34">
        <f t="shared" si="103"/>
        <v>0.66355446148183972</v>
      </c>
      <c r="AT61" s="34">
        <f t="shared" si="104"/>
        <v>0.10828857878368058</v>
      </c>
      <c r="AU61" s="34">
        <f t="shared" si="105"/>
        <v>6.9778644429258716E-3</v>
      </c>
      <c r="AV61" s="34">
        <f t="shared" si="106"/>
        <v>8.5866559324724381E-3</v>
      </c>
      <c r="AW61" s="34">
        <f t="shared" si="107"/>
        <v>0.21044038229118284</v>
      </c>
      <c r="AX61" s="37">
        <f t="shared" si="108"/>
        <v>2.1520570678984167E-3</v>
      </c>
      <c r="AY61" s="4">
        <f t="shared" si="124"/>
        <v>0.99999999999999989</v>
      </c>
    </row>
    <row r="62" spans="1:51" ht="15" customHeight="1" x14ac:dyDescent="0.3">
      <c r="A62" t="s">
        <v>825</v>
      </c>
      <c r="B62" s="1" t="s">
        <v>824</v>
      </c>
      <c r="C62" s="68">
        <f>C10+C17+C11+C9+C28+C5+C16+C6+C24+C20</f>
        <v>218771846.88999999</v>
      </c>
      <c r="D62" s="68">
        <f>D25+D10+D17+D11+D9+D24+D28+D5+D16+D6</f>
        <v>191117968.87</v>
      </c>
      <c r="E62" s="34">
        <f t="shared" si="110"/>
        <v>-0.12640510382446302</v>
      </c>
      <c r="F62" s="68">
        <f>IFERROR(VLOOKUP(_xlfn.CONCAT($D$3,"_",A62,"_",$C$2,"_",Parámetros!$C$6),DATA_KPI_PRE!$A:$F,6,FALSE),0)</f>
        <v>0</v>
      </c>
      <c r="G62" s="34">
        <f t="shared" si="111"/>
        <v>0</v>
      </c>
      <c r="H62" s="34"/>
      <c r="I62" s="68">
        <f>IFERROR(VLOOKUP(_xlfn.CONCAT($I$3,"_",A62,"_",$I$2,"_",Parámetros!$C$6),DATA_KPI!$A:$H,6,FALSE),0)</f>
        <v>0</v>
      </c>
      <c r="J62" s="68">
        <f>IFERROR(VLOOKUP(_xlfn.CONCAT(J8,"_",A62,"_",$I$2,"_",Parámetros!$C$6),DATA_KPI!$A:$H,6,FALSE),0)</f>
        <v>0</v>
      </c>
      <c r="K62" s="22">
        <f t="shared" si="112"/>
        <v>0</v>
      </c>
      <c r="L62" s="75">
        <f>IFERROR(VLOOKUP(_xlfn.CONCAT(J8,"_",A62,"_",I7,"_",Parámetros!$C$6),DATA_KPI_PRE!$A:$F,6,FALSE),0)</f>
        <v>0</v>
      </c>
      <c r="M62" s="34">
        <f t="shared" si="113"/>
        <v>0</v>
      </c>
      <c r="O62" s="68">
        <f>IFERROR(VLOOKUP(_xlfn.CONCAT(O8,"_",A62,"_",O7,"_",Parámetros!$C$6),DATA_KPI!$A:$H,6,FALSE),0)</f>
        <v>0</v>
      </c>
      <c r="P62" s="68">
        <f>IFERROR(VLOOKUP(_xlfn.CONCAT(P8,"_",A62,"_",O7,"_",Parámetros!$C$6),DATA_KPI!$A:$H,6,FALSE),0)</f>
        <v>0</v>
      </c>
      <c r="Q62" s="22">
        <f t="shared" si="114"/>
        <v>0</v>
      </c>
      <c r="R62" s="73">
        <f>IFERROR(VLOOKUP(_xlfn.CONCAT(P8,"_",A62,"_",O7,"_",Parámetros!$C$6),DATA_KPI_PRE!$A:$F,6,FALSE),0)</f>
        <v>0</v>
      </c>
      <c r="S62" s="25">
        <f t="shared" si="115"/>
        <v>0</v>
      </c>
      <c r="U62" s="73">
        <f>IFERROR(VLOOKUP(_xlfn.CONCAT(U8,"_",A62,"_",U7,"_",Parámetros!$C$6),DATA_KPI!$A:$H,6,FALSE),0)</f>
        <v>0</v>
      </c>
      <c r="V62" s="73">
        <f>IFERROR(VLOOKUP(_xlfn.CONCAT(V8,"_",A62,"_",U7,"_",Parámetros!$C$6),DATA_KPI!$A:$H,6,FALSE),0)</f>
        <v>0</v>
      </c>
      <c r="W62" s="4">
        <f t="shared" si="116"/>
        <v>0</v>
      </c>
      <c r="X62" s="73">
        <f>IFERROR(VLOOKUP(_xlfn.CONCAT(V8,"_",A62,"_",U7,"_",Parámetros!$C$6),DATA_KPI_PRE!$A:$F,6,FALSE),0)</f>
        <v>0</v>
      </c>
      <c r="Y62" s="25">
        <f t="shared" si="117"/>
        <v>0</v>
      </c>
      <c r="AA62" s="73">
        <f>IFERROR(VLOOKUP(_xlfn.CONCAT(AA8,"_",A62,"_",AA7,"_",Parámetros!$C$6),DATA_KPI!$A:$H,6,FALSE),0)</f>
        <v>0</v>
      </c>
      <c r="AB62" s="73">
        <f>IFERROR(VLOOKUP(_xlfn.CONCAT(AB8,"_",A62,"_",AA7,"_",Parámetros!$C$6),DATA_KPI!$A:$H,6,FALSE),0)</f>
        <v>0</v>
      </c>
      <c r="AC62" s="22">
        <f t="shared" si="118"/>
        <v>0</v>
      </c>
      <c r="AD62" s="73">
        <f>IFERROR(VLOOKUP(_xlfn.CONCAT(AB8,"_",A62,"_",AA7,"_",Parámetros!$C$6),DATA_KPI_PRE!$A:$F,6,FALSE),0)</f>
        <v>0</v>
      </c>
      <c r="AE62" s="25">
        <f t="shared" si="119"/>
        <v>0</v>
      </c>
      <c r="AG62" s="73">
        <f>IFERROR(VLOOKUP(_xlfn.CONCAT(AG8,"_",A62,"_",AG7,"_",Parámetros!$C$6),DATA_KPI!$A:$H,6,FALSE),0)</f>
        <v>0</v>
      </c>
      <c r="AH62" s="73">
        <f>IFERROR(VLOOKUP(_xlfn.CONCAT(AH8,"_",A62,"_",AG7,"_",Parámetros!$C$6),DATA_KPI!$A:$H,6,FALSE),0)</f>
        <v>0</v>
      </c>
      <c r="AI62" s="25">
        <f t="shared" si="120"/>
        <v>0</v>
      </c>
      <c r="AJ62" s="73">
        <f>IFERROR(VLOOKUP(_xlfn.CONCAT(AH8,"_",A62,"_",AG7,"_",Parámetros!$C$6),DATA_KPI_PRE!$A:$F,6,FALSE),0)</f>
        <v>0</v>
      </c>
      <c r="AK62" s="25">
        <f t="shared" si="121"/>
        <v>0</v>
      </c>
      <c r="AM62" s="73">
        <f>IFERROR(VLOOKUP(_xlfn.CONCAT(AM8,"_",A62,"_",AM7,"_",Parámetros!$C$6),DATA_KPI!$A:$H,6,FALSE),0)</f>
        <v>0</v>
      </c>
      <c r="AN62" s="73">
        <f>IFERROR(VLOOKUP(_xlfn.CONCAT(AN8,"_",A62,"_",AM7,"_",Parámetros!$C$6),DATA_KPI!$A:$H,6,FALSE),0)</f>
        <v>0</v>
      </c>
      <c r="AO62" s="73">
        <f t="shared" si="122"/>
        <v>0</v>
      </c>
      <c r="AP62" s="73">
        <f>IFERROR(VLOOKUP(_xlfn.CONCAT(AN8,"_",A62,"_",AM7,"_",Parámetros!$C$6),DATA_KPI_PRE!$A:$F,6,FALSE),0)</f>
        <v>0</v>
      </c>
      <c r="AQ62" s="25">
        <f t="shared" si="123"/>
        <v>0</v>
      </c>
      <c r="AS62" s="34">
        <f t="shared" si="103"/>
        <v>0</v>
      </c>
      <c r="AT62" s="34">
        <f t="shared" si="104"/>
        <v>0</v>
      </c>
      <c r="AU62" s="34">
        <f t="shared" si="105"/>
        <v>0</v>
      </c>
      <c r="AV62" s="34">
        <f t="shared" si="106"/>
        <v>0</v>
      </c>
      <c r="AW62" s="34">
        <f t="shared" si="107"/>
        <v>0</v>
      </c>
      <c r="AX62" s="37">
        <f t="shared" si="108"/>
        <v>0</v>
      </c>
      <c r="AY62" s="4">
        <f t="shared" si="124"/>
        <v>0</v>
      </c>
    </row>
    <row r="63" spans="1:51" ht="15" customHeight="1" x14ac:dyDescent="0.3">
      <c r="A63" t="s">
        <v>848</v>
      </c>
      <c r="B63" s="1" t="s">
        <v>847</v>
      </c>
      <c r="C63" s="68">
        <f>C36+C37</f>
        <v>0</v>
      </c>
      <c r="D63" s="68">
        <f>D36+D37</f>
        <v>15557177.609999996</v>
      </c>
      <c r="E63" s="34">
        <f t="shared" si="110"/>
        <v>0</v>
      </c>
      <c r="F63" s="68">
        <f>F36+F37</f>
        <v>25174968.069483642</v>
      </c>
      <c r="G63" s="34">
        <f t="shared" si="111"/>
        <v>-0.38203784143591624</v>
      </c>
      <c r="H63" s="4"/>
      <c r="I63" s="68">
        <f>I36+I37</f>
        <v>0</v>
      </c>
      <c r="J63" s="68">
        <f>J36+J37</f>
        <v>14594804.159999996</v>
      </c>
      <c r="K63" s="22">
        <f t="shared" si="112"/>
        <v>0</v>
      </c>
      <c r="L63" s="68">
        <f>L36+L37</f>
        <v>23774027.151130617</v>
      </c>
      <c r="M63" s="34">
        <f t="shared" si="113"/>
        <v>-0.38610299099848067</v>
      </c>
      <c r="O63" s="68">
        <f>O36+O37</f>
        <v>0</v>
      </c>
      <c r="P63" s="68">
        <f>P36+P37</f>
        <v>962373.44999999984</v>
      </c>
      <c r="Q63" s="22">
        <f t="shared" si="114"/>
        <v>0</v>
      </c>
      <c r="R63" s="68">
        <f>R36+R37</f>
        <v>1400940.9183530239</v>
      </c>
      <c r="S63" s="25">
        <f t="shared" si="115"/>
        <v>-0.31305207993254514</v>
      </c>
      <c r="U63" s="68">
        <f>U36+U37</f>
        <v>0</v>
      </c>
      <c r="V63" s="68">
        <f>V36+V37</f>
        <v>0</v>
      </c>
      <c r="W63" s="4">
        <f t="shared" si="116"/>
        <v>0</v>
      </c>
      <c r="X63" s="68">
        <f>X36+X37</f>
        <v>0</v>
      </c>
      <c r="Y63" s="25">
        <f t="shared" si="117"/>
        <v>0</v>
      </c>
      <c r="AA63" s="68">
        <f>AA36+AA37</f>
        <v>0</v>
      </c>
      <c r="AB63" s="68">
        <f>AB36+AB37</f>
        <v>0</v>
      </c>
      <c r="AC63" s="22">
        <f t="shared" si="118"/>
        <v>0</v>
      </c>
      <c r="AD63" s="68">
        <f>AD36+AD37</f>
        <v>0</v>
      </c>
      <c r="AE63" s="25">
        <f t="shared" si="119"/>
        <v>0</v>
      </c>
      <c r="AG63" s="68">
        <f>AG36+AG37</f>
        <v>0</v>
      </c>
      <c r="AH63" s="68">
        <f>AH36+AH37</f>
        <v>0</v>
      </c>
      <c r="AI63" s="25">
        <f t="shared" si="120"/>
        <v>0</v>
      </c>
      <c r="AJ63" s="68">
        <f>AJ36+AJ37</f>
        <v>0</v>
      </c>
      <c r="AK63" s="25">
        <f t="shared" si="121"/>
        <v>0</v>
      </c>
      <c r="AM63" s="68">
        <f>AM36+AM37</f>
        <v>0</v>
      </c>
      <c r="AN63" s="68">
        <f>AN36+AN37</f>
        <v>0</v>
      </c>
      <c r="AO63" s="73">
        <f t="shared" si="122"/>
        <v>0</v>
      </c>
      <c r="AP63" s="68">
        <f>AP36+AP37</f>
        <v>0</v>
      </c>
      <c r="AQ63" s="25">
        <f t="shared" si="123"/>
        <v>0</v>
      </c>
    </row>
    <row r="64" spans="1:51" ht="15" customHeight="1" x14ac:dyDescent="0.3">
      <c r="C64" s="68"/>
      <c r="D64" s="68"/>
      <c r="E64" s="68"/>
      <c r="F64" s="68"/>
      <c r="G64" s="4"/>
      <c r="H64" s="4"/>
      <c r="K64" s="22"/>
      <c r="L64" s="30"/>
      <c r="M64" s="22"/>
      <c r="Q64" s="22"/>
      <c r="R64" s="22"/>
      <c r="S64" s="22"/>
      <c r="AI64" s="22"/>
      <c r="AO64" s="22"/>
    </row>
    <row r="65" spans="3:41" ht="15" customHeight="1" x14ac:dyDescent="0.3">
      <c r="C65" s="68"/>
      <c r="D65" s="68"/>
      <c r="E65" s="68"/>
      <c r="F65" s="68"/>
      <c r="G65" s="4"/>
      <c r="H65" s="4"/>
      <c r="K65" s="22"/>
      <c r="L65" s="30"/>
      <c r="M65" s="22"/>
      <c r="Q65" s="22"/>
      <c r="R65" s="22"/>
      <c r="S65" s="22"/>
      <c r="AI65" s="22"/>
      <c r="AO65" s="22"/>
    </row>
    <row r="66" spans="3:41" ht="15" customHeight="1" x14ac:dyDescent="0.3">
      <c r="C66" s="68"/>
      <c r="D66" s="68"/>
      <c r="E66" s="4"/>
      <c r="F66" s="4"/>
      <c r="G66" s="4"/>
      <c r="H66" s="4"/>
      <c r="K66" s="22"/>
      <c r="L66" s="30"/>
      <c r="M66" s="22"/>
      <c r="Q66" s="22"/>
      <c r="R66" s="22"/>
      <c r="S66" s="22"/>
      <c r="AI66" s="22"/>
      <c r="AO66" s="22"/>
    </row>
    <row r="67" spans="3:41" ht="15" customHeight="1" x14ac:dyDescent="0.3">
      <c r="C67" s="68"/>
      <c r="D67" s="68"/>
      <c r="E67" s="22"/>
      <c r="F67" s="16"/>
      <c r="G67" s="34"/>
      <c r="H67" s="34"/>
      <c r="K67" s="22"/>
      <c r="L67" s="30"/>
      <c r="M67" s="22"/>
      <c r="Q67" s="22"/>
      <c r="R67" s="22"/>
      <c r="S67" s="22"/>
      <c r="AI67" s="22"/>
      <c r="AO67" s="22"/>
    </row>
    <row r="68" spans="3:41" ht="15" customHeight="1" x14ac:dyDescent="0.3">
      <c r="E68" s="4"/>
      <c r="F68" s="4"/>
      <c r="G68" s="4"/>
      <c r="H68" s="4"/>
      <c r="K68" s="22"/>
      <c r="L68" s="30"/>
      <c r="M68" s="22"/>
      <c r="Q68" s="22"/>
      <c r="R68" s="22"/>
      <c r="S68" s="22"/>
      <c r="AI68" s="22"/>
      <c r="AO68" s="22"/>
    </row>
    <row r="69" spans="3:41" ht="15" customHeight="1" x14ac:dyDescent="0.3">
      <c r="E69" s="4"/>
      <c r="F69" s="4"/>
      <c r="G69" s="4"/>
      <c r="H69" s="4"/>
      <c r="K69" s="22"/>
      <c r="L69" s="30"/>
      <c r="M69" s="22"/>
      <c r="Q69" s="22"/>
      <c r="R69" s="22"/>
      <c r="S69" s="22"/>
      <c r="AI69" s="22"/>
      <c r="AO69" s="22"/>
    </row>
    <row r="70" spans="3:41" ht="15" customHeight="1" x14ac:dyDescent="0.3">
      <c r="E70" s="4"/>
      <c r="F70" s="4"/>
      <c r="G70" s="4"/>
      <c r="H70" s="4"/>
      <c r="K70" s="22"/>
      <c r="L70" s="30"/>
      <c r="M70" s="22"/>
      <c r="Q70" s="22"/>
      <c r="R70" s="22"/>
      <c r="S70" s="22"/>
      <c r="AI70" s="22"/>
      <c r="AO70" s="22"/>
    </row>
    <row r="71" spans="3:41" ht="15" customHeight="1" x14ac:dyDescent="0.3">
      <c r="C71" s="68"/>
      <c r="D71" s="68"/>
      <c r="E71" s="68"/>
      <c r="F71" s="68"/>
      <c r="G71" s="4"/>
      <c r="H71" s="4"/>
      <c r="K71" s="22"/>
      <c r="L71" s="30"/>
      <c r="M71" s="22"/>
      <c r="Q71" s="22"/>
      <c r="R71" s="22"/>
      <c r="S71" s="22"/>
      <c r="AI71" s="22"/>
      <c r="AO71" s="22"/>
    </row>
    <row r="72" spans="3:41" ht="15" customHeight="1" x14ac:dyDescent="0.3">
      <c r="E72" s="4"/>
      <c r="F72" s="4"/>
      <c r="G72" s="4"/>
      <c r="H72" s="4"/>
      <c r="K72" s="22"/>
      <c r="L72" s="30"/>
      <c r="M72" s="22"/>
      <c r="Q72" s="22"/>
      <c r="R72" s="22"/>
      <c r="S72" s="22"/>
      <c r="AI72" s="22"/>
      <c r="AO72" s="22"/>
    </row>
    <row r="73" spans="3:41" ht="15" customHeight="1" x14ac:dyDescent="0.3">
      <c r="C73" s="68"/>
      <c r="D73" s="68"/>
      <c r="E73" s="68"/>
      <c r="F73" s="68"/>
      <c r="G73" s="4"/>
      <c r="H73" s="4"/>
      <c r="K73" s="22"/>
      <c r="L73" s="30"/>
      <c r="M73" s="22"/>
      <c r="Q73" s="22"/>
      <c r="R73" s="22"/>
      <c r="S73" s="22"/>
      <c r="AI73" s="22"/>
      <c r="AO73" s="22"/>
    </row>
    <row r="74" spans="3:41" ht="15" customHeight="1" x14ac:dyDescent="0.3">
      <c r="E74" s="4"/>
      <c r="F74" s="4"/>
      <c r="G74" s="4"/>
      <c r="H74" s="4"/>
      <c r="K74" s="22"/>
      <c r="L74" s="30"/>
      <c r="M74" s="22"/>
      <c r="Q74" s="22"/>
      <c r="R74" s="22"/>
      <c r="S74" s="22"/>
      <c r="AI74" s="22"/>
      <c r="AO74" s="22"/>
    </row>
    <row r="75" spans="3:41" ht="15" customHeight="1" x14ac:dyDescent="0.3">
      <c r="E75" s="4"/>
      <c r="F75" s="4"/>
      <c r="G75" s="4"/>
      <c r="H75" s="4"/>
      <c r="K75" s="22"/>
      <c r="L75" s="30"/>
      <c r="M75" s="22"/>
      <c r="Q75" s="22"/>
      <c r="R75" s="22"/>
      <c r="S75" s="22"/>
      <c r="AI75" s="22"/>
      <c r="AO75" s="22"/>
    </row>
    <row r="76" spans="3:41" ht="15" customHeight="1" x14ac:dyDescent="0.3">
      <c r="E76" s="4"/>
      <c r="F76" s="4"/>
      <c r="G76" s="4"/>
      <c r="H76" s="4"/>
      <c r="K76" s="22"/>
      <c r="L76" s="30"/>
      <c r="M76" s="22"/>
      <c r="Q76" s="22"/>
      <c r="R76" s="22"/>
      <c r="S76" s="22"/>
      <c r="AI76" s="22"/>
      <c r="AO76" s="22"/>
    </row>
    <row r="77" spans="3:41" ht="15" customHeight="1" x14ac:dyDescent="0.3">
      <c r="E77" s="4"/>
      <c r="F77" s="4"/>
      <c r="G77" s="4"/>
      <c r="H77" s="4"/>
      <c r="K77" s="22"/>
      <c r="L77" s="30"/>
      <c r="M77" s="22"/>
      <c r="Q77" s="22"/>
      <c r="R77" s="22"/>
      <c r="S77" s="22"/>
      <c r="AI77" s="22"/>
      <c r="AO77" s="22"/>
    </row>
    <row r="78" spans="3:41" ht="15" customHeight="1" x14ac:dyDescent="0.3">
      <c r="E78" s="4"/>
      <c r="F78" s="4"/>
      <c r="G78" s="4"/>
      <c r="H78" s="4"/>
      <c r="K78" s="4"/>
      <c r="L78" s="31"/>
      <c r="M78" s="4"/>
      <c r="Q78" s="22"/>
      <c r="R78" s="22"/>
      <c r="S78" s="22"/>
      <c r="AI78" s="22"/>
      <c r="AO78" s="22"/>
    </row>
    <row r="79" spans="3:41" ht="15" customHeight="1" x14ac:dyDescent="0.3">
      <c r="E79" s="4"/>
      <c r="F79" s="4"/>
      <c r="G79" s="4"/>
      <c r="H79" s="4"/>
      <c r="Q79" s="22"/>
      <c r="R79" s="22"/>
      <c r="S79" s="22"/>
      <c r="AI79" s="22"/>
      <c r="AO79" s="22"/>
    </row>
    <row r="80" spans="3:41" ht="15" customHeight="1" x14ac:dyDescent="0.3">
      <c r="E80" s="4"/>
      <c r="F80" s="4"/>
      <c r="G80" s="4"/>
      <c r="H80" s="4"/>
      <c r="Q80" s="22"/>
      <c r="R80" s="22"/>
      <c r="S80" s="22"/>
      <c r="AI80" s="22"/>
      <c r="AO80" s="22"/>
    </row>
    <row r="81" spans="5:41" ht="15" customHeight="1" x14ac:dyDescent="0.3">
      <c r="E81" s="4"/>
      <c r="F81" s="4"/>
      <c r="G81" s="4"/>
      <c r="H81" s="4"/>
      <c r="Q81" s="22"/>
      <c r="R81" s="22"/>
      <c r="S81" s="22"/>
      <c r="AI81" s="22"/>
      <c r="AO81" s="22"/>
    </row>
    <row r="82" spans="5:41" ht="15" customHeight="1" x14ac:dyDescent="0.3">
      <c r="E82" s="4"/>
      <c r="F82" s="4"/>
      <c r="G82" s="4"/>
      <c r="H82" s="4"/>
      <c r="Q82" s="22"/>
      <c r="R82" s="22"/>
      <c r="S82" s="22"/>
      <c r="AI82" s="22"/>
      <c r="AO82" s="22"/>
    </row>
    <row r="83" spans="5:41" ht="15" customHeight="1" x14ac:dyDescent="0.3">
      <c r="E83" s="4"/>
      <c r="F83" s="4"/>
      <c r="G83" s="4"/>
      <c r="H83" s="4"/>
      <c r="Q83" s="22"/>
      <c r="R83" s="22"/>
      <c r="S83" s="22"/>
      <c r="AI83" s="22"/>
      <c r="AO83" s="22"/>
    </row>
    <row r="84" spans="5:41" ht="15" customHeight="1" x14ac:dyDescent="0.3">
      <c r="E84" s="4"/>
      <c r="F84" s="4"/>
      <c r="G84" s="4"/>
      <c r="H84" s="4"/>
      <c r="Q84" s="22"/>
      <c r="R84" s="22"/>
      <c r="S84" s="22"/>
      <c r="AI84" s="22"/>
      <c r="AO84" s="22"/>
    </row>
    <row r="85" spans="5:41" ht="15" customHeight="1" x14ac:dyDescent="0.3">
      <c r="E85" s="4"/>
      <c r="F85" s="4"/>
      <c r="G85" s="4"/>
      <c r="H85" s="4"/>
      <c r="Q85" s="22"/>
      <c r="R85" s="22"/>
      <c r="S85" s="22"/>
      <c r="AI85" s="22"/>
      <c r="AO85" s="22"/>
    </row>
    <row r="86" spans="5:41" ht="15" customHeight="1" x14ac:dyDescent="0.3">
      <c r="E86" s="4"/>
      <c r="F86" s="4"/>
      <c r="G86" s="4"/>
      <c r="H86" s="4"/>
      <c r="Q86" s="22"/>
      <c r="R86" s="22"/>
      <c r="S86" s="22"/>
      <c r="AI86" s="22"/>
      <c r="AO86" s="22"/>
    </row>
    <row r="87" spans="5:41" ht="15" customHeight="1" x14ac:dyDescent="0.3">
      <c r="E87" s="4"/>
      <c r="F87" s="4"/>
      <c r="G87" s="4"/>
      <c r="H87" s="4"/>
      <c r="Q87" s="22"/>
      <c r="R87" s="22"/>
      <c r="S87" s="22"/>
      <c r="AI87" s="22"/>
      <c r="AO87" s="22"/>
    </row>
    <row r="88" spans="5:41" ht="15" customHeight="1" x14ac:dyDescent="0.3">
      <c r="E88" s="4"/>
      <c r="F88" s="4"/>
      <c r="G88" s="4"/>
      <c r="H88" s="4"/>
      <c r="Q88" s="22"/>
      <c r="R88" s="22"/>
      <c r="S88" s="22"/>
      <c r="AI88" s="22"/>
      <c r="AO88" s="22"/>
    </row>
    <row r="89" spans="5:41" ht="15" customHeight="1" x14ac:dyDescent="0.3">
      <c r="E89" s="4"/>
      <c r="F89" s="4"/>
      <c r="G89" s="4"/>
      <c r="H89" s="4"/>
      <c r="Q89" s="22"/>
      <c r="R89" s="22"/>
      <c r="S89" s="22"/>
      <c r="AI89" s="22"/>
      <c r="AO89" s="22"/>
    </row>
    <row r="90" spans="5:41" ht="15" customHeight="1" x14ac:dyDescent="0.3">
      <c r="E90" s="4"/>
      <c r="F90" s="4"/>
      <c r="G90" s="4"/>
      <c r="H90" s="4"/>
      <c r="Q90" s="22"/>
      <c r="R90" s="22"/>
      <c r="S90" s="22"/>
      <c r="AI90" s="22"/>
      <c r="AO90" s="22"/>
    </row>
    <row r="91" spans="5:41" ht="15" customHeight="1" x14ac:dyDescent="0.3">
      <c r="E91" s="4"/>
      <c r="F91" s="4"/>
      <c r="G91" s="4"/>
      <c r="H91" s="4"/>
      <c r="Q91" s="22"/>
      <c r="R91" s="22"/>
      <c r="S91" s="22"/>
      <c r="AI91" s="22"/>
      <c r="AO91" s="22"/>
    </row>
    <row r="92" spans="5:41" ht="15" customHeight="1" x14ac:dyDescent="0.3">
      <c r="E92" s="4"/>
      <c r="F92" s="4"/>
      <c r="G92" s="4"/>
      <c r="H92" s="4"/>
      <c r="Q92" s="22"/>
      <c r="R92" s="22"/>
      <c r="S92" s="22"/>
      <c r="AI92" s="22"/>
      <c r="AO92" s="22"/>
    </row>
    <row r="93" spans="5:41" ht="15" customHeight="1" x14ac:dyDescent="0.3">
      <c r="E93" s="4"/>
      <c r="F93" s="4"/>
      <c r="G93" s="4"/>
      <c r="H93" s="4"/>
      <c r="AI93" s="22"/>
      <c r="AO93" s="22"/>
    </row>
    <row r="94" spans="5:41" ht="15" customHeight="1" x14ac:dyDescent="0.3">
      <c r="E94" s="4"/>
      <c r="F94" s="4"/>
      <c r="G94" s="4"/>
      <c r="H94" s="4"/>
      <c r="AI94" s="22"/>
      <c r="AO94" s="22"/>
    </row>
    <row r="95" spans="5:41" ht="15" customHeight="1" x14ac:dyDescent="0.3">
      <c r="E95" s="4"/>
      <c r="F95" s="4"/>
      <c r="G95" s="4"/>
      <c r="H95" s="4"/>
      <c r="AI95" s="22"/>
      <c r="AO95" s="22"/>
    </row>
    <row r="96" spans="5:41" ht="15" customHeight="1" x14ac:dyDescent="0.3">
      <c r="E96" s="4"/>
      <c r="F96" s="4"/>
      <c r="G96" s="4"/>
      <c r="H96" s="4"/>
      <c r="AI96" s="22"/>
      <c r="AO96" s="22"/>
    </row>
    <row r="97" spans="5:41" ht="15" customHeight="1" x14ac:dyDescent="0.3">
      <c r="E97" s="4"/>
      <c r="F97" s="4"/>
      <c r="G97" s="4"/>
      <c r="H97" s="4"/>
      <c r="AI97" s="22"/>
      <c r="AO97" s="22"/>
    </row>
    <row r="98" spans="5:41" ht="15" customHeight="1" x14ac:dyDescent="0.3">
      <c r="E98" s="4"/>
      <c r="F98" s="4"/>
      <c r="G98" s="4"/>
      <c r="H98" s="4"/>
      <c r="AI98" s="22"/>
      <c r="AO98" s="22"/>
    </row>
    <row r="99" spans="5:41" ht="15" customHeight="1" x14ac:dyDescent="0.3">
      <c r="E99" s="4"/>
      <c r="F99" s="4"/>
      <c r="G99" s="4"/>
      <c r="H99" s="4"/>
      <c r="AI99" s="22"/>
      <c r="AO99" s="22"/>
    </row>
    <row r="100" spans="5:41" ht="15" customHeight="1" x14ac:dyDescent="0.3">
      <c r="E100" s="4"/>
      <c r="F100" s="4"/>
      <c r="G100" s="4"/>
      <c r="H100" s="4"/>
      <c r="AI100" s="22"/>
      <c r="AO100" s="22"/>
    </row>
    <row r="101" spans="5:41" ht="15" customHeight="1" x14ac:dyDescent="0.3">
      <c r="E101" s="4"/>
      <c r="F101" s="4"/>
      <c r="G101" s="4"/>
      <c r="H101" s="4"/>
      <c r="AI101" s="22"/>
      <c r="AO101" s="22"/>
    </row>
    <row r="102" spans="5:41" ht="15" customHeight="1" x14ac:dyDescent="0.3">
      <c r="E102" s="4"/>
      <c r="F102" s="4"/>
      <c r="G102" s="4"/>
      <c r="H102" s="4"/>
      <c r="AI102" s="22"/>
      <c r="AO102" s="22"/>
    </row>
    <row r="103" spans="5:41" ht="15" customHeight="1" x14ac:dyDescent="0.3">
      <c r="E103" s="4"/>
      <c r="F103" s="4"/>
      <c r="G103" s="4"/>
      <c r="H103" s="4"/>
      <c r="AI103" s="22"/>
      <c r="AO103" s="22"/>
    </row>
    <row r="104" spans="5:41" ht="15" customHeight="1" x14ac:dyDescent="0.3">
      <c r="E104" s="4"/>
      <c r="F104" s="4"/>
      <c r="G104" s="4"/>
      <c r="H104" s="4"/>
      <c r="AI104" s="22"/>
      <c r="AO104" s="22"/>
    </row>
    <row r="105" spans="5:41" ht="15" customHeight="1" x14ac:dyDescent="0.3">
      <c r="E105" s="4"/>
      <c r="F105" s="4"/>
      <c r="G105" s="4"/>
      <c r="H105" s="4"/>
      <c r="AI105" s="22"/>
      <c r="AO105" s="22"/>
    </row>
    <row r="106" spans="5:41" ht="15" customHeight="1" x14ac:dyDescent="0.3">
      <c r="E106" s="4"/>
      <c r="F106" s="4"/>
      <c r="G106" s="4"/>
      <c r="H106" s="4"/>
      <c r="AI106" s="22"/>
      <c r="AO106" s="22"/>
    </row>
    <row r="107" spans="5:41" ht="15" customHeight="1" x14ac:dyDescent="0.3">
      <c r="E107" s="4"/>
      <c r="F107" s="4"/>
      <c r="G107" s="4"/>
      <c r="H107" s="4"/>
      <c r="AI107" s="22"/>
      <c r="AO107" s="22"/>
    </row>
    <row r="108" spans="5:41" ht="15" customHeight="1" x14ac:dyDescent="0.3">
      <c r="E108" s="4"/>
      <c r="F108" s="4"/>
      <c r="G108" s="4"/>
      <c r="H108" s="4"/>
      <c r="AI108" s="22"/>
      <c r="AO108" s="22"/>
    </row>
    <row r="109" spans="5:41" ht="15" customHeight="1" x14ac:dyDescent="0.3">
      <c r="E109" s="4"/>
      <c r="F109" s="4"/>
      <c r="G109" s="4"/>
      <c r="H109" s="4"/>
      <c r="AI109" s="22"/>
      <c r="AO109" s="22"/>
    </row>
    <row r="110" spans="5:41" ht="15" customHeight="1" x14ac:dyDescent="0.3">
      <c r="E110" s="4"/>
      <c r="F110" s="4"/>
      <c r="G110" s="4"/>
      <c r="H110" s="4"/>
      <c r="AI110" s="22"/>
      <c r="AO110" s="22"/>
    </row>
    <row r="111" spans="5:41" ht="15" customHeight="1" x14ac:dyDescent="0.3">
      <c r="E111" s="4"/>
      <c r="F111" s="4"/>
      <c r="G111" s="4"/>
      <c r="H111" s="4"/>
      <c r="AI111" s="22"/>
      <c r="AO111" s="22"/>
    </row>
    <row r="112" spans="5:41" ht="15" customHeight="1" x14ac:dyDescent="0.3">
      <c r="E112" s="4"/>
      <c r="F112" s="4"/>
      <c r="G112" s="4"/>
      <c r="H112" s="4"/>
      <c r="AI112" s="22"/>
      <c r="AO112" s="22"/>
    </row>
    <row r="113" spans="5:41" ht="15" customHeight="1" x14ac:dyDescent="0.3">
      <c r="E113" s="4"/>
      <c r="F113" s="4"/>
      <c r="G113" s="4"/>
      <c r="H113" s="4"/>
      <c r="AI113" s="22"/>
      <c r="AO113" s="22"/>
    </row>
    <row r="114" spans="5:41" ht="15" customHeight="1" x14ac:dyDescent="0.3">
      <c r="E114" s="4"/>
      <c r="F114" s="4"/>
      <c r="G114" s="4"/>
      <c r="H114" s="4"/>
      <c r="AI114" s="22"/>
      <c r="AO114" s="22"/>
    </row>
    <row r="115" spans="5:41" ht="15" customHeight="1" x14ac:dyDescent="0.3">
      <c r="E115" s="4"/>
      <c r="F115" s="4"/>
      <c r="G115" s="4"/>
      <c r="H115" s="4"/>
      <c r="AI115" s="22"/>
      <c r="AO115" s="22"/>
    </row>
    <row r="116" spans="5:41" ht="15" customHeight="1" x14ac:dyDescent="0.3">
      <c r="E116" s="4"/>
      <c r="F116" s="4"/>
      <c r="G116" s="4"/>
      <c r="H116" s="4"/>
      <c r="AI116" s="22"/>
      <c r="AO116" s="22"/>
    </row>
    <row r="117" spans="5:41" ht="15" customHeight="1" x14ac:dyDescent="0.3">
      <c r="E117" s="4"/>
      <c r="F117" s="4"/>
      <c r="G117" s="4"/>
      <c r="H117" s="4"/>
      <c r="AI117" s="22"/>
      <c r="AO117" s="22"/>
    </row>
    <row r="118" spans="5:41" ht="15" customHeight="1" x14ac:dyDescent="0.3">
      <c r="E118" s="4"/>
      <c r="F118" s="4"/>
      <c r="G118" s="4"/>
      <c r="H118" s="4"/>
    </row>
    <row r="119" spans="5:41" ht="15" customHeight="1" x14ac:dyDescent="0.3">
      <c r="E119" s="4"/>
      <c r="F119" s="4"/>
      <c r="G119" s="4"/>
      <c r="H119" s="4"/>
    </row>
    <row r="120" spans="5:41" ht="15" customHeight="1" x14ac:dyDescent="0.3">
      <c r="E120" s="4"/>
      <c r="F120" s="4"/>
      <c r="G120" s="4"/>
      <c r="H120" s="4"/>
    </row>
    <row r="121" spans="5:41" ht="15" customHeight="1" x14ac:dyDescent="0.3">
      <c r="E121" s="4"/>
      <c r="F121" s="4"/>
      <c r="G121" s="4"/>
      <c r="H121" s="4"/>
    </row>
    <row r="122" spans="5:41" ht="15" customHeight="1" x14ac:dyDescent="0.3">
      <c r="E122" s="4"/>
      <c r="F122" s="4"/>
      <c r="G122" s="4"/>
      <c r="H122" s="4"/>
    </row>
    <row r="123" spans="5:41" ht="15" customHeight="1" x14ac:dyDescent="0.3">
      <c r="E123" s="4"/>
      <c r="F123" s="4"/>
      <c r="G123" s="4"/>
      <c r="H123" s="4"/>
    </row>
    <row r="124" spans="5:41" ht="15" customHeight="1" x14ac:dyDescent="0.3">
      <c r="E124" s="4"/>
      <c r="F124" s="4"/>
      <c r="G124" s="4"/>
      <c r="H124" s="4"/>
    </row>
    <row r="125" spans="5:41" ht="15" customHeight="1" x14ac:dyDescent="0.3">
      <c r="E125" s="4"/>
      <c r="F125" s="4"/>
      <c r="G125" s="4"/>
      <c r="H125" s="4"/>
    </row>
    <row r="126" spans="5:41" ht="15" customHeight="1" x14ac:dyDescent="0.3">
      <c r="E126" s="4"/>
      <c r="F126" s="4"/>
      <c r="G126" s="4"/>
      <c r="H126" s="4"/>
    </row>
    <row r="127" spans="5:41" ht="15" customHeight="1" x14ac:dyDescent="0.3">
      <c r="E127" s="4"/>
      <c r="F127" s="4"/>
      <c r="G127" s="4"/>
      <c r="H127" s="4"/>
    </row>
    <row r="128" spans="5:41" ht="15" customHeight="1" x14ac:dyDescent="0.3">
      <c r="E128" s="4"/>
      <c r="F128" s="4"/>
      <c r="G128" s="4"/>
      <c r="H128" s="4"/>
    </row>
    <row r="129" spans="5:8" ht="15" customHeight="1" x14ac:dyDescent="0.3">
      <c r="E129" s="4"/>
      <c r="F129" s="4"/>
      <c r="G129" s="4"/>
      <c r="H129" s="4"/>
    </row>
    <row r="130" spans="5:8" ht="15" customHeight="1" x14ac:dyDescent="0.3">
      <c r="E130" s="4"/>
      <c r="F130" s="4"/>
      <c r="G130" s="4"/>
      <c r="H130" s="4"/>
    </row>
    <row r="131" spans="5:8" ht="15" customHeight="1" x14ac:dyDescent="0.3">
      <c r="E131" s="4"/>
      <c r="F131" s="4"/>
      <c r="G131" s="4"/>
      <c r="H131" s="4"/>
    </row>
    <row r="132" spans="5:8" ht="15" customHeight="1" x14ac:dyDescent="0.3">
      <c r="E132" s="4"/>
      <c r="F132" s="4"/>
      <c r="G132" s="4"/>
      <c r="H132" s="4"/>
    </row>
    <row r="133" spans="5:8" ht="15" customHeight="1" x14ac:dyDescent="0.3">
      <c r="E133" s="4"/>
      <c r="F133" s="4"/>
      <c r="G133" s="4"/>
      <c r="H133" s="4"/>
    </row>
    <row r="134" spans="5:8" ht="15" customHeight="1" x14ac:dyDescent="0.3">
      <c r="E134" s="4"/>
      <c r="F134" s="4"/>
      <c r="G134" s="4"/>
      <c r="H134" s="4"/>
    </row>
    <row r="135" spans="5:8" ht="15" customHeight="1" x14ac:dyDescent="0.3">
      <c r="E135" s="4"/>
      <c r="F135" s="4"/>
      <c r="G135" s="4"/>
      <c r="H135" s="4"/>
    </row>
    <row r="136" spans="5:8" ht="15" customHeight="1" x14ac:dyDescent="0.3">
      <c r="E136" s="4"/>
      <c r="F136" s="4"/>
      <c r="G136" s="4"/>
      <c r="H136" s="4"/>
    </row>
    <row r="137" spans="5:8" ht="15" customHeight="1" x14ac:dyDescent="0.3">
      <c r="E137" s="4"/>
      <c r="F137" s="4"/>
      <c r="G137" s="4"/>
      <c r="H137" s="4"/>
    </row>
    <row r="138" spans="5:8" ht="15" customHeight="1" x14ac:dyDescent="0.3">
      <c r="E138" s="4"/>
      <c r="F138" s="4"/>
      <c r="G138" s="4"/>
      <c r="H138" s="4"/>
    </row>
    <row r="139" spans="5:8" ht="15" customHeight="1" x14ac:dyDescent="0.3">
      <c r="E139" s="4"/>
      <c r="F139" s="4"/>
      <c r="G139" s="4"/>
      <c r="H139" s="4"/>
    </row>
    <row r="140" spans="5:8" ht="15" customHeight="1" x14ac:dyDescent="0.3">
      <c r="E140" s="4"/>
      <c r="F140" s="4"/>
      <c r="G140" s="4"/>
      <c r="H140" s="4"/>
    </row>
    <row r="141" spans="5:8" ht="15" customHeight="1" x14ac:dyDescent="0.3">
      <c r="E141" s="4"/>
      <c r="F141" s="4"/>
      <c r="G141" s="4"/>
      <c r="H141" s="4"/>
    </row>
    <row r="142" spans="5:8" ht="15" customHeight="1" x14ac:dyDescent="0.3">
      <c r="E142" s="4"/>
      <c r="F142" s="4"/>
      <c r="G142" s="4"/>
      <c r="H142" s="4"/>
    </row>
    <row r="143" spans="5:8" ht="15" customHeight="1" x14ac:dyDescent="0.3">
      <c r="E143" s="4"/>
      <c r="F143" s="4"/>
      <c r="G143" s="4"/>
      <c r="H143" s="4"/>
    </row>
    <row r="144" spans="5:8" ht="15" customHeight="1" x14ac:dyDescent="0.3">
      <c r="E144" s="4"/>
      <c r="F144" s="4"/>
      <c r="G144" s="4"/>
      <c r="H144" s="4"/>
    </row>
    <row r="145" spans="5:8" ht="15" customHeight="1" x14ac:dyDescent="0.3">
      <c r="E145" s="4"/>
      <c r="F145" s="4"/>
      <c r="G145" s="4"/>
      <c r="H145" s="4"/>
    </row>
    <row r="146" spans="5:8" ht="15" customHeight="1" x14ac:dyDescent="0.3">
      <c r="E146" s="4"/>
      <c r="F146" s="4"/>
      <c r="G146" s="4"/>
      <c r="H146" s="4"/>
    </row>
    <row r="147" spans="5:8" ht="15" customHeight="1" x14ac:dyDescent="0.3">
      <c r="E147" s="4"/>
      <c r="F147" s="4"/>
      <c r="G147" s="4"/>
      <c r="H147" s="4"/>
    </row>
    <row r="148" spans="5:8" ht="15" customHeight="1" x14ac:dyDescent="0.3">
      <c r="E148" s="4"/>
      <c r="F148" s="4"/>
      <c r="G148" s="4"/>
      <c r="H148" s="4"/>
    </row>
    <row r="149" spans="5:8" ht="15" customHeight="1" x14ac:dyDescent="0.3">
      <c r="E149" s="4"/>
      <c r="F149" s="4"/>
      <c r="G149" s="4"/>
      <c r="H149" s="4"/>
    </row>
    <row r="150" spans="5:8" ht="15" customHeight="1" x14ac:dyDescent="0.3">
      <c r="E150" s="4"/>
      <c r="F150" s="4"/>
      <c r="G150" s="4"/>
      <c r="H150" s="4"/>
    </row>
    <row r="151" spans="5:8" ht="15" customHeight="1" x14ac:dyDescent="0.3">
      <c r="E151" s="4"/>
      <c r="F151" s="4"/>
      <c r="G151" s="4"/>
      <c r="H151" s="4"/>
    </row>
    <row r="152" spans="5:8" ht="15" customHeight="1" x14ac:dyDescent="0.3">
      <c r="E152" s="4"/>
      <c r="F152" s="4"/>
      <c r="G152" s="4"/>
      <c r="H152" s="4"/>
    </row>
    <row r="153" spans="5:8" ht="15" customHeight="1" x14ac:dyDescent="0.3">
      <c r="E153" s="4"/>
      <c r="F153" s="4"/>
      <c r="G153" s="4"/>
      <c r="H153" s="4"/>
    </row>
    <row r="154" spans="5:8" ht="15" customHeight="1" x14ac:dyDescent="0.3">
      <c r="E154" s="4"/>
      <c r="F154" s="4"/>
      <c r="G154" s="4"/>
      <c r="H154" s="4"/>
    </row>
    <row r="155" spans="5:8" ht="15" customHeight="1" x14ac:dyDescent="0.3">
      <c r="E155" s="4"/>
      <c r="F155" s="4"/>
      <c r="G155" s="4"/>
      <c r="H155" s="4"/>
    </row>
    <row r="156" spans="5:8" ht="15" customHeight="1" x14ac:dyDescent="0.3">
      <c r="E156" s="4"/>
      <c r="F156" s="4"/>
      <c r="G156" s="4"/>
      <c r="H156" s="4"/>
    </row>
    <row r="157" spans="5:8" ht="15" customHeight="1" x14ac:dyDescent="0.3">
      <c r="E157" s="4"/>
      <c r="F157" s="4"/>
      <c r="G157" s="4"/>
      <c r="H157" s="4"/>
    </row>
    <row r="158" spans="5:8" ht="15" customHeight="1" x14ac:dyDescent="0.3">
      <c r="E158" s="4"/>
      <c r="F158" s="4"/>
      <c r="G158" s="4"/>
      <c r="H158" s="4"/>
    </row>
    <row r="159" spans="5:8" ht="15" customHeight="1" x14ac:dyDescent="0.3">
      <c r="E159" s="4"/>
      <c r="F159" s="4"/>
      <c r="G159" s="4"/>
      <c r="H159" s="4"/>
    </row>
    <row r="160" spans="5:8" ht="15" customHeight="1" x14ac:dyDescent="0.3">
      <c r="E160" s="4"/>
      <c r="F160" s="4"/>
      <c r="G160" s="4"/>
      <c r="H160" s="4"/>
    </row>
    <row r="161" spans="5:8" ht="15" customHeight="1" x14ac:dyDescent="0.3">
      <c r="E161" s="4"/>
      <c r="F161" s="4"/>
      <c r="G161" s="4"/>
      <c r="H161" s="4"/>
    </row>
    <row r="162" spans="5:8" ht="15" customHeight="1" x14ac:dyDescent="0.3">
      <c r="E162" s="4"/>
      <c r="F162" s="4"/>
      <c r="G162" s="4"/>
      <c r="H162" s="4"/>
    </row>
    <row r="163" spans="5:8" ht="15" customHeight="1" x14ac:dyDescent="0.3">
      <c r="E163" s="4"/>
      <c r="F163" s="4"/>
      <c r="G163" s="4"/>
      <c r="H163" s="4"/>
    </row>
  </sheetData>
  <sortState xmlns:xlrd2="http://schemas.microsoft.com/office/spreadsheetml/2017/richdata2" ref="A4:AY29">
    <sortCondition ref="A4:A29"/>
  </sortState>
  <mergeCells count="9">
    <mergeCell ref="BA2:BB2"/>
    <mergeCell ref="AS2:AX2"/>
    <mergeCell ref="AM2:AQ2"/>
    <mergeCell ref="AG2:AK2"/>
    <mergeCell ref="C2:G2"/>
    <mergeCell ref="I2:M2"/>
    <mergeCell ref="O2:S2"/>
    <mergeCell ref="U2:Y2"/>
    <mergeCell ref="AA2:AE2"/>
  </mergeCells>
  <conditionalFormatting sqref="E4:E33 AI4:AI33 AO4:AO33">
    <cfRule type="cellIs" priority="91" stopIfTrue="1" operator="equal">
      <formula>0</formula>
    </cfRule>
  </conditionalFormatting>
  <conditionalFormatting sqref="E36:E38">
    <cfRule type="cellIs" priority="83" stopIfTrue="1" operator="equal">
      <formula>0</formula>
    </cfRule>
  </conditionalFormatting>
  <conditionalFormatting sqref="E38">
    <cfRule type="cellIs" priority="79" stopIfTrue="1" operator="equal">
      <formula>0</formula>
    </cfRule>
  </conditionalFormatting>
  <conditionalFormatting sqref="E42:E54">
    <cfRule type="cellIs" priority="71" stopIfTrue="1" operator="equal">
      <formula>0</formula>
    </cfRule>
  </conditionalFormatting>
  <conditionalFormatting sqref="E52">
    <cfRule type="cellIs" priority="75" stopIfTrue="1" operator="equal">
      <formula>0</formula>
    </cfRule>
  </conditionalFormatting>
  <conditionalFormatting sqref="E57:E63">
    <cfRule type="cellIs" priority="67" stopIfTrue="1" operator="equal">
      <formula>0</formula>
    </cfRule>
  </conditionalFormatting>
  <conditionalFormatting sqref="G63">
    <cfRule type="cellIs" priority="1" stopIfTrue="1" operator="equal">
      <formula>0</formula>
    </cfRule>
  </conditionalFormatting>
  <conditionalFormatting sqref="G36:H38">
    <cfRule type="cellIs" priority="103" stopIfTrue="1" operator="equal">
      <formula>0</formula>
    </cfRule>
  </conditionalFormatting>
  <conditionalFormatting sqref="G38:H38">
    <cfRule type="cellIs" priority="99" stopIfTrue="1" operator="equal">
      <formula>0</formula>
    </cfRule>
  </conditionalFormatting>
  <conditionalFormatting sqref="G42:H55">
    <cfRule type="cellIs" priority="426" stopIfTrue="1" operator="equal">
      <formula>0</formula>
    </cfRule>
  </conditionalFormatting>
  <conditionalFormatting sqref="G52:H52 K52 M52 AC52 AK52 AQ52 K4:K33 M4:M33 S4:S33 Y4:Y33 AE4:AE33 AK4:AK33 AQ4:AQ33 G4:H34 Q5:Q33 W5:W33 AC5:AC33">
    <cfRule type="cellIs" priority="442" stopIfTrue="1" operator="equal">
      <formula>0</formula>
    </cfRule>
  </conditionalFormatting>
  <conditionalFormatting sqref="G57:H62">
    <cfRule type="cellIs" priority="234" stopIfTrue="1" operator="equal">
      <formula>0</formula>
    </cfRule>
  </conditionalFormatting>
  <conditionalFormatting sqref="G67:H67">
    <cfRule type="cellIs" priority="143" stopIfTrue="1" operator="equal">
      <formula>0</formula>
    </cfRule>
  </conditionalFormatting>
  <conditionalFormatting sqref="K36:K39">
    <cfRule type="cellIs" priority="95" stopIfTrue="1" operator="equal">
      <formula>0</formula>
    </cfRule>
  </conditionalFormatting>
  <conditionalFormatting sqref="K42:K54">
    <cfRule type="cellIs" priority="274" stopIfTrue="1" operator="equal">
      <formula>0</formula>
    </cfRule>
  </conditionalFormatting>
  <conditionalFormatting sqref="K57:K63">
    <cfRule type="cellIs" priority="238" stopIfTrue="1" operator="equal">
      <formula>0</formula>
    </cfRule>
  </conditionalFormatting>
  <conditionalFormatting sqref="K34:M35 K41:M41 K55:M56">
    <cfRule type="cellIs" priority="462" stopIfTrue="1" operator="equal">
      <formula>0</formula>
    </cfRule>
  </conditionalFormatting>
  <conditionalFormatting sqref="M36:M38">
    <cfRule type="cellIs" priority="131" stopIfTrue="1" operator="equal">
      <formula>0</formula>
    </cfRule>
  </conditionalFormatting>
  <conditionalFormatting sqref="M42:M54">
    <cfRule type="cellIs" priority="270" stopIfTrue="1" operator="equal">
      <formula>0</formula>
    </cfRule>
  </conditionalFormatting>
  <conditionalFormatting sqref="M57:M63">
    <cfRule type="cellIs" priority="242" stopIfTrue="1" operator="equal">
      <formula>0</formula>
    </cfRule>
  </conditionalFormatting>
  <conditionalFormatting sqref="Q36:Q38">
    <cfRule type="cellIs" priority="127" stopIfTrue="1" operator="equal">
      <formula>0</formula>
    </cfRule>
  </conditionalFormatting>
  <conditionalFormatting sqref="Q42:Q54">
    <cfRule type="cellIs" priority="266" stopIfTrue="1" operator="equal">
      <formula>0</formula>
    </cfRule>
  </conditionalFormatting>
  <conditionalFormatting sqref="Q52">
    <cfRule type="cellIs" priority="330" stopIfTrue="1" operator="equal">
      <formula>0</formula>
    </cfRule>
  </conditionalFormatting>
  <conditionalFormatting sqref="Q57:Q63">
    <cfRule type="cellIs" priority="230" stopIfTrue="1" operator="equal">
      <formula>0</formula>
    </cfRule>
  </conditionalFormatting>
  <conditionalFormatting sqref="Q34:S35 Q41:S41 Q55:S56">
    <cfRule type="cellIs" priority="458" stopIfTrue="1" operator="equal">
      <formula>0</formula>
    </cfRule>
  </conditionalFormatting>
  <conditionalFormatting sqref="S36:S38">
    <cfRule type="cellIs" priority="123" stopIfTrue="1" operator="equal">
      <formula>0</formula>
    </cfRule>
  </conditionalFormatting>
  <conditionalFormatting sqref="S42:S54">
    <cfRule type="cellIs" priority="11" stopIfTrue="1" operator="equal">
      <formula>0</formula>
    </cfRule>
  </conditionalFormatting>
  <conditionalFormatting sqref="S52">
    <cfRule type="cellIs" priority="15" stopIfTrue="1" operator="equal">
      <formula>0</formula>
    </cfRule>
  </conditionalFormatting>
  <conditionalFormatting sqref="S57:S63">
    <cfRule type="cellIs" priority="226" stopIfTrue="1" operator="equal">
      <formula>0</formula>
    </cfRule>
  </conditionalFormatting>
  <conditionalFormatting sqref="W42:W54">
    <cfRule type="cellIs" priority="19" stopIfTrue="1" operator="equal">
      <formula>0</formula>
    </cfRule>
  </conditionalFormatting>
  <conditionalFormatting sqref="W52">
    <cfRule type="cellIs" priority="23" stopIfTrue="1" operator="equal">
      <formula>0</formula>
    </cfRule>
  </conditionalFormatting>
  <conditionalFormatting sqref="W34:Y37 W41:Y41 W55:Y56 W57:W63">
    <cfRule type="cellIs" priority="454" stopIfTrue="1" operator="equal">
      <formula>0</formula>
    </cfRule>
  </conditionalFormatting>
  <conditionalFormatting sqref="Y42:Y54">
    <cfRule type="cellIs" priority="27" stopIfTrue="1" operator="equal">
      <formula>0</formula>
    </cfRule>
  </conditionalFormatting>
  <conditionalFormatting sqref="Y52">
    <cfRule type="cellIs" priority="31" stopIfTrue="1" operator="equal">
      <formula>0</formula>
    </cfRule>
  </conditionalFormatting>
  <conditionalFormatting sqref="Y57:Y63">
    <cfRule type="cellIs" priority="222" stopIfTrue="1" operator="equal">
      <formula>0</formula>
    </cfRule>
  </conditionalFormatting>
  <conditionalFormatting sqref="AC42:AC54">
    <cfRule type="cellIs" priority="258" stopIfTrue="1" operator="equal">
      <formula>0</formula>
    </cfRule>
  </conditionalFormatting>
  <conditionalFormatting sqref="AC57:AC63">
    <cfRule type="cellIs" priority="218" stopIfTrue="1" operator="equal">
      <formula>0</formula>
    </cfRule>
  </conditionalFormatting>
  <conditionalFormatting sqref="AC34:AE37 AC41:AE41 AC55:AE56">
    <cfRule type="cellIs" priority="450" stopIfTrue="1" operator="equal">
      <formula>0</formula>
    </cfRule>
  </conditionalFormatting>
  <conditionalFormatting sqref="AE42:AE54">
    <cfRule type="cellIs" priority="35" stopIfTrue="1" operator="equal">
      <formula>0</formula>
    </cfRule>
  </conditionalFormatting>
  <conditionalFormatting sqref="AE52">
    <cfRule type="cellIs" priority="39" stopIfTrue="1" operator="equal">
      <formula>0</formula>
    </cfRule>
  </conditionalFormatting>
  <conditionalFormatting sqref="AE57:AE63">
    <cfRule type="cellIs" priority="214" stopIfTrue="1" operator="equal">
      <formula>0</formula>
    </cfRule>
  </conditionalFormatting>
  <conditionalFormatting sqref="AI36:AI39">
    <cfRule type="cellIs" priority="55" stopIfTrue="1" operator="equal">
      <formula>0</formula>
    </cfRule>
  </conditionalFormatting>
  <conditionalFormatting sqref="AI42:AI54">
    <cfRule type="cellIs" priority="47" stopIfTrue="1" operator="equal">
      <formula>0</formula>
    </cfRule>
  </conditionalFormatting>
  <conditionalFormatting sqref="AI52">
    <cfRule type="cellIs" priority="51" stopIfTrue="1" operator="equal">
      <formula>0</formula>
    </cfRule>
  </conditionalFormatting>
  <conditionalFormatting sqref="AI57:AI63">
    <cfRule type="cellIs" priority="43" stopIfTrue="1" operator="equal">
      <formula>0</formula>
    </cfRule>
  </conditionalFormatting>
  <conditionalFormatting sqref="AK36:AK38">
    <cfRule type="cellIs" priority="119" stopIfTrue="1" operator="equal">
      <formula>0</formula>
    </cfRule>
  </conditionalFormatting>
  <conditionalFormatting sqref="AK42:AK54">
    <cfRule type="cellIs" priority="246" stopIfTrue="1" operator="equal">
      <formula>0</formula>
    </cfRule>
  </conditionalFormatting>
  <conditionalFormatting sqref="AK57:AK63">
    <cfRule type="cellIs" priority="206" stopIfTrue="1" operator="equal">
      <formula>0</formula>
    </cfRule>
  </conditionalFormatting>
  <conditionalFormatting sqref="AQ36:AQ38">
    <cfRule type="cellIs" priority="107" stopIfTrue="1" operator="equal">
      <formula>0</formula>
    </cfRule>
  </conditionalFormatting>
  <conditionalFormatting sqref="AQ42:AQ54">
    <cfRule type="cellIs" priority="194" stopIfTrue="1" operator="equal">
      <formula>0</formula>
    </cfRule>
  </conditionalFormatting>
  <conditionalFormatting sqref="AQ57:AQ63">
    <cfRule type="cellIs" priority="186" stopIfTrue="1" operator="equal">
      <formula>0</formula>
    </cfRule>
  </conditionalFormatting>
  <conditionalFormatting sqref="AS4:AS29 AS52 AS38">
    <cfRule type="colorScale" priority="6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3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42:AS51"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4:AT29 AT52 AT38">
    <cfRule type="colorScale" priority="6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3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42:AT51">
    <cfRule type="colorScale" priority="1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4:AU29 AU52 AU38">
    <cfRule type="colorScale" priority="6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3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4:AV29 AV52 AV38">
    <cfRule type="colorScale" priority="6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3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42:AV51">
    <cfRule type="colorScale" priority="1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4:AW29 AW52 AW38">
    <cfRule type="colorScale" priority="6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3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42:AW51">
    <cfRule type="colorScale" priority="1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4:AX29 AX52 AX38">
    <cfRule type="colorScale" priority="6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3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42:AX51">
    <cfRule type="colorScale" priority="1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94" operator="lessThan" id="{4B686AC6-6C5E-4955-A59A-D3C3E15225E6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92" operator="greaterThanOrEqual" id="{781028ED-398C-44C1-AA8A-EAF49207C62A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93" operator="between" id="{39F8999B-B474-4C79-916A-481648C8F387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E4:E33 AI4:AI33 AO4:AO33</xm:sqref>
        </x14:conditionalFormatting>
        <x14:conditionalFormatting xmlns:xm="http://schemas.microsoft.com/office/excel/2006/main">
          <x14:cfRule type="cellIs" priority="85" operator="between" id="{409EBFF7-6FB8-4FB1-AE9B-FA6D25E19C94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86" operator="lessThan" id="{0264706B-940A-4F31-B496-AED0768EBA55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84" operator="greaterThanOrEqual" id="{C0BAA261-EA9D-4934-8B34-E57DF3A834B9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E36:E38</xm:sqref>
        </x14:conditionalFormatting>
        <x14:conditionalFormatting xmlns:xm="http://schemas.microsoft.com/office/excel/2006/main">
          <x14:cfRule type="cellIs" priority="80" operator="greaterThanOrEqual" id="{4963EB4C-863C-4622-A324-AFE5654B4A63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82" operator="lessThan" id="{D3CA1712-D5D8-409B-AEB8-D2FE46E21004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81" operator="between" id="{AD525342-FCFF-4509-B23B-8E52763808F6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E38</xm:sqref>
        </x14:conditionalFormatting>
        <x14:conditionalFormatting xmlns:xm="http://schemas.microsoft.com/office/excel/2006/main">
          <x14:cfRule type="cellIs" priority="74" operator="lessThan" id="{3C86E30E-63F7-436A-8B3D-F80C7A3C88CB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73" operator="between" id="{136A191A-1B4A-4E10-A8D0-B96EF83AF02B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72" operator="greaterThanOrEqual" id="{2CB45F66-A2D5-44DF-BD5A-5AF7A9EAEF2E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E42:E54</xm:sqref>
        </x14:conditionalFormatting>
        <x14:conditionalFormatting xmlns:xm="http://schemas.microsoft.com/office/excel/2006/main">
          <x14:cfRule type="cellIs" priority="78" operator="lessThan" id="{0F4B93B3-0BBE-43F6-BE0F-DE214EC31A61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77" operator="between" id="{EC0C1E00-12DC-4238-A1C8-3AAC4C5BEC26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76" operator="greaterThanOrEqual" id="{FFE2FAF2-466F-442A-A305-FE9662F865F0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E52</xm:sqref>
        </x14:conditionalFormatting>
        <x14:conditionalFormatting xmlns:xm="http://schemas.microsoft.com/office/excel/2006/main">
          <x14:cfRule type="cellIs" priority="70" operator="lessThan" id="{884545EF-20D3-4F27-BBD5-FA82E4B984DA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69" operator="between" id="{0B6C879E-C0FC-4D91-9FCB-C1BC85377B50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68" operator="greaterThanOrEqual" id="{6F5D2223-C89E-4E09-B9DF-0D4ED47639DE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E57:E63</xm:sqref>
        </x14:conditionalFormatting>
        <x14:conditionalFormatting xmlns:xm="http://schemas.microsoft.com/office/excel/2006/main">
          <x14:cfRule type="cellIs" priority="2" operator="greaterThanOrEqual" id="{E9113310-0567-4979-ADB4-303161CE9914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3" operator="between" id="{105D4BC8-4A86-489E-8CA7-9092B09ED167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4" operator="lessThan" id="{F828C21A-4C4F-4BFB-BBB0-F56B2B023B13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G63</xm:sqref>
        </x14:conditionalFormatting>
        <x14:conditionalFormatting xmlns:xm="http://schemas.microsoft.com/office/excel/2006/main">
          <x14:cfRule type="cellIs" priority="104" operator="greaterThanOrEqual" id="{66536E25-6598-4645-8573-E1D0555902A0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105" operator="between" id="{B2D24CFC-5FDC-4694-ABC2-91F24E74F175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106" operator="lessThan" id="{B4D30CB1-3473-4142-BE69-48D377C84C72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G36:H38</xm:sqref>
        </x14:conditionalFormatting>
        <x14:conditionalFormatting xmlns:xm="http://schemas.microsoft.com/office/excel/2006/main">
          <x14:cfRule type="cellIs" priority="101" operator="between" id="{46D23E4F-9C29-454E-B1CE-AD27E81075CF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100" operator="greaterThanOrEqual" id="{A0F04C85-E19A-4EB7-B7B3-E09A5FFFFDFA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102" operator="lessThan" id="{CE692A72-DAAE-4F69-A8A2-FDD77A5F20F1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G38:H38</xm:sqref>
        </x14:conditionalFormatting>
        <x14:conditionalFormatting xmlns:xm="http://schemas.microsoft.com/office/excel/2006/main">
          <x14:cfRule type="cellIs" priority="427" operator="greaterThanOrEqual" id="{E657B25D-C9E2-4581-B410-3C15A8AD7464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429" operator="lessThan" id="{BA21F46A-94CB-43E0-A01E-D3D1A3BB9520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428" operator="between" id="{EAFDFFC8-3C4C-4CE9-B0DF-EC6D30D6B2EF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G42:H55</xm:sqref>
        </x14:conditionalFormatting>
        <x14:conditionalFormatting xmlns:xm="http://schemas.microsoft.com/office/excel/2006/main">
          <x14:cfRule type="cellIs" priority="235" operator="greaterThanOrEqual" id="{2EDC6128-BA28-46A4-90A7-68EFB8F20DD5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236" operator="between" id="{D588D866-9642-4DA5-A2F8-CE4ED02170A2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237" operator="lessThan" id="{358C5405-B258-469B-8652-309A99D59C58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G57:H62</xm:sqref>
        </x14:conditionalFormatting>
        <x14:conditionalFormatting xmlns:xm="http://schemas.microsoft.com/office/excel/2006/main">
          <x14:cfRule type="cellIs" priority="146" operator="lessThan" id="{7707D4A8-8278-40A8-B10E-9BBDA67D54BF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145" operator="between" id="{BAFC6045-A730-4483-95D2-BB655B63DB51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144" operator="greaterThanOrEqual" id="{F60E7D2F-4191-48F8-8859-6F703F5463BF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G67:H67</xm:sqref>
        </x14:conditionalFormatting>
        <x14:conditionalFormatting xmlns:xm="http://schemas.microsoft.com/office/excel/2006/main">
          <x14:cfRule type="cellIs" priority="445" operator="lessThan" id="{43F89077-3DB5-4FBD-B212-7C5E5339FB6D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444" operator="between" id="{F4388BFC-C813-4453-B975-2BE718159445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443" operator="greaterThanOrEqual" id="{7B0DF691-D521-4A1E-AFA7-58521436FD8B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K4:K33 M4:M33 Q4:Q33 S4:S33 W4:W33 Y4:Y33 AE4:AE33 AK4:AK33 AQ4:AQ33 G4:H34 AC5:AC33 G52:H52 K52 M52 AC52 AK52 AQ52</xm:sqref>
        </x14:conditionalFormatting>
        <x14:conditionalFormatting xmlns:xm="http://schemas.microsoft.com/office/excel/2006/main">
          <x14:cfRule type="cellIs" priority="96" operator="greaterThanOrEqual" id="{FC4DF572-7BDF-490E-9BCF-D2C68ACEA2C3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97" operator="between" id="{E9871643-AAE2-41C2-9597-47A31A327B53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98" operator="lessThan" id="{DFDE351A-A4E9-4155-92C0-9157C7FA80D0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K36:K39</xm:sqref>
        </x14:conditionalFormatting>
        <x14:conditionalFormatting xmlns:xm="http://schemas.microsoft.com/office/excel/2006/main">
          <x14:cfRule type="cellIs" priority="275" operator="greaterThanOrEqual" id="{9C33AD8D-AA24-4444-A1BF-CCEF39B8B004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277" operator="lessThan" id="{D49EB75F-E91A-49D9-89F0-4A2DD1F8FEC5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276" operator="between" id="{72620A89-976A-4AF0-A798-188FBF5EDD0C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K42:K54</xm:sqref>
        </x14:conditionalFormatting>
        <x14:conditionalFormatting xmlns:xm="http://schemas.microsoft.com/office/excel/2006/main">
          <x14:cfRule type="cellIs" priority="239" operator="greaterThanOrEqual" id="{9F0F6DDE-1567-4D3A-8A67-188486060409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240" operator="between" id="{8F03FFA9-DA81-4AA6-AC27-4DEC05FA9E85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241" operator="lessThan" id="{64C1BE2C-25B8-4256-AFC6-7B7A97974E2D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K57:K63</xm:sqref>
        </x14:conditionalFormatting>
        <x14:conditionalFormatting xmlns:xm="http://schemas.microsoft.com/office/excel/2006/main">
          <x14:cfRule type="cellIs" priority="463" operator="greaterThanOrEqual" id="{09906187-E911-4EAE-9F10-42A7C75BBFA1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464" operator="between" id="{C2C06691-4F18-4E66-8010-7EC1AB1667C4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465" operator="lessThan" id="{EB30F1A0-C083-46A7-9FB6-A3CE41AE7199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K34:M35 K41:M41 K55:M56</xm:sqref>
        </x14:conditionalFormatting>
        <x14:conditionalFormatting xmlns:xm="http://schemas.microsoft.com/office/excel/2006/main">
          <x14:cfRule type="cellIs" priority="133" operator="between" id="{A0AF4600-6CFA-4A68-8506-1AEC4F572E36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134" operator="lessThan" id="{1A77B286-5161-4A09-A069-EBCDB70FFA6B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132" operator="greaterThanOrEqual" id="{21603786-831C-47A0-B8A9-38A298E936C3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M36:M38</xm:sqref>
        </x14:conditionalFormatting>
        <x14:conditionalFormatting xmlns:xm="http://schemas.microsoft.com/office/excel/2006/main">
          <x14:cfRule type="cellIs" priority="273" operator="lessThan" id="{1B20C26E-E647-4B8F-9402-13D999C046DF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272" operator="between" id="{913E7F86-0DEE-426C-8050-C995504FFDE2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271" operator="greaterThanOrEqual" id="{275E38B4-CFA9-46DD-8B37-03E50E9A6312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M42:M54</xm:sqref>
        </x14:conditionalFormatting>
        <x14:conditionalFormatting xmlns:xm="http://schemas.microsoft.com/office/excel/2006/main">
          <x14:cfRule type="cellIs" priority="243" operator="greaterThanOrEqual" id="{59628E40-B016-4B66-925E-EAE04283382A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244" operator="between" id="{F5D841BA-928C-45E5-81E1-52427777A466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245" operator="lessThan" id="{7B496752-6182-4D0E-9ED2-395AFDD8B647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M57:M63</xm:sqref>
        </x14:conditionalFormatting>
        <x14:conditionalFormatting xmlns:xm="http://schemas.microsoft.com/office/excel/2006/main">
          <x14:cfRule type="cellIs" priority="128" operator="greaterThanOrEqual" id="{87B56D49-7BB9-4F1B-9621-41C0A4532F06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130" operator="lessThan" id="{ABEFC80F-5E82-4CF9-AB2E-044461DCD6EE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129" operator="between" id="{2A87C618-521F-40E8-BC47-645E3E406C56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Q36:Q38</xm:sqref>
        </x14:conditionalFormatting>
        <x14:conditionalFormatting xmlns:xm="http://schemas.microsoft.com/office/excel/2006/main">
          <x14:cfRule type="cellIs" priority="269" operator="lessThan" id="{ECFE3316-CDDC-45FD-B994-08DA5FA9BE0C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268" operator="between" id="{B7819328-5452-4261-845B-496EC8D0F168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267" operator="greaterThanOrEqual" id="{41830B76-D239-480F-92C7-2385B50D10F9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Q42:Q54</xm:sqref>
        </x14:conditionalFormatting>
        <x14:conditionalFormatting xmlns:xm="http://schemas.microsoft.com/office/excel/2006/main">
          <x14:cfRule type="cellIs" priority="333" operator="lessThan" id="{53E123E2-0281-48EC-B2DC-BB78D9831031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332" operator="between" id="{4C66CE84-42A5-408A-A72B-F53B395E688A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331" operator="greaterThanOrEqual" id="{E0C3EA0F-84AE-4CD9-A519-791FEB288F44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Q52</xm:sqref>
        </x14:conditionalFormatting>
        <x14:conditionalFormatting xmlns:xm="http://schemas.microsoft.com/office/excel/2006/main">
          <x14:cfRule type="cellIs" priority="231" operator="greaterThanOrEqual" id="{AECCB515-82BF-4894-91BF-7E572A363A9F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232" operator="between" id="{1C1FEEED-9E23-41AA-9BDB-11BFD99C79A4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233" operator="lessThan" id="{121FF849-C623-4561-8104-AF77FD7BEC18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Q57:Q63</xm:sqref>
        </x14:conditionalFormatting>
        <x14:conditionalFormatting xmlns:xm="http://schemas.microsoft.com/office/excel/2006/main">
          <x14:cfRule type="cellIs" priority="461" operator="lessThan" id="{A088A123-FF42-4582-9B80-2137D7BCC11D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460" operator="between" id="{366E5EEC-48DA-423B-B34A-D568AA3762B9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459" operator="greaterThanOrEqual" id="{36E8F902-AA8E-4CE8-8ED3-8A7BC461B34B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Q34:S35 Q41:S41 Q55:S56</xm:sqref>
        </x14:conditionalFormatting>
        <x14:conditionalFormatting xmlns:xm="http://schemas.microsoft.com/office/excel/2006/main">
          <x14:cfRule type="cellIs" priority="126" operator="lessThan" id="{C2BE5261-1639-47BC-89D3-5FDFE1FE32D9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125" operator="between" id="{3A1AA74E-F02C-4918-9AB8-4FB212F7D7D5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124" operator="greaterThanOrEqual" id="{89B9E0EB-7E4D-4BED-A64D-A62B80D5D51A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S36:S38</xm:sqref>
        </x14:conditionalFormatting>
        <x14:conditionalFormatting xmlns:xm="http://schemas.microsoft.com/office/excel/2006/main">
          <x14:cfRule type="cellIs" priority="12" operator="greaterThanOrEqual" id="{7B775CD3-77B4-4FFC-97FD-7268ABF0726B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13" operator="between" id="{6AB767BE-397C-4F86-A04D-8ED95931DA3F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14" operator="lessThan" id="{0B0EC81D-CFB2-4F67-B8BD-E58D7FEA7CE2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S42:S54</xm:sqref>
        </x14:conditionalFormatting>
        <x14:conditionalFormatting xmlns:xm="http://schemas.microsoft.com/office/excel/2006/main">
          <x14:cfRule type="cellIs" priority="17" operator="between" id="{AC00CDB2-AC21-4DB7-8C23-3A044C4748D0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18" operator="lessThan" id="{ADE7FF6C-099D-45F1-AB1B-D1F0517E7754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16" operator="greaterThanOrEqual" id="{F926DA2C-C987-4EF4-85DB-1A5B1492DC56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S52</xm:sqref>
        </x14:conditionalFormatting>
        <x14:conditionalFormatting xmlns:xm="http://schemas.microsoft.com/office/excel/2006/main">
          <x14:cfRule type="cellIs" priority="227" operator="greaterThanOrEqual" id="{14961355-6301-4029-A8F9-58D29DC3F862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229" operator="lessThan" id="{6DFFECD0-6CE7-4AC2-AB24-4D2A5426DE7F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228" operator="between" id="{B5B9FB09-F71B-46D5-8128-EBC474E6D601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S57:S63</xm:sqref>
        </x14:conditionalFormatting>
        <x14:conditionalFormatting xmlns:xm="http://schemas.microsoft.com/office/excel/2006/main">
          <x14:cfRule type="cellIs" priority="22" operator="lessThan" id="{D2A97750-8588-4A7D-A9A4-CC2EF9A35A1C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20" operator="greaterThanOrEqual" id="{473A8AE4-2FE2-4979-B6E6-168BFB952679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21" operator="between" id="{C749D7D1-3026-4489-9059-3FAE40C65FA4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W42:W54</xm:sqref>
        </x14:conditionalFormatting>
        <x14:conditionalFormatting xmlns:xm="http://schemas.microsoft.com/office/excel/2006/main">
          <x14:cfRule type="cellIs" priority="24" operator="greaterThanOrEqual" id="{3F6D293D-CF2D-4F5E-998A-C08683327282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25" operator="between" id="{8FF6F870-FE8A-44D1-A656-B25C19794518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26" operator="lessThan" id="{06125B89-5099-4A2B-9BE7-657415AFC300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W52</xm:sqref>
        </x14:conditionalFormatting>
        <x14:conditionalFormatting xmlns:xm="http://schemas.microsoft.com/office/excel/2006/main">
          <x14:cfRule type="cellIs" priority="455" operator="greaterThanOrEqual" id="{487E74B5-3171-477F-85AA-9B1CA7102D65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457" operator="lessThan" id="{E45EE901-8474-4DF3-8168-09E11757F21E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456" operator="between" id="{52833131-2485-43BB-8370-0BEB051A8CCD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W34:Y37 W41:Y41 W55:Y56 W57:W63</xm:sqref>
        </x14:conditionalFormatting>
        <x14:conditionalFormatting xmlns:xm="http://schemas.microsoft.com/office/excel/2006/main">
          <x14:cfRule type="cellIs" priority="28" operator="greaterThanOrEqual" id="{15345A0A-09B3-40B0-9047-F7C75A48F3EB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29" operator="between" id="{F906D001-C4A5-411A-96DB-E670C2AA35F0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30" operator="lessThan" id="{70A1B74F-D472-467B-9D81-9A75A686B51D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Y42:Y54</xm:sqref>
        </x14:conditionalFormatting>
        <x14:conditionalFormatting xmlns:xm="http://schemas.microsoft.com/office/excel/2006/main">
          <x14:cfRule type="cellIs" priority="34" operator="lessThan" id="{3019B2DB-6610-437C-A313-586B086BA0D6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33" operator="between" id="{E54CBD16-1E0E-4A85-86FF-33A259D276A4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32" operator="greaterThanOrEqual" id="{7DEEE73E-3223-46E3-AC94-F8BB32B06E26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Y52</xm:sqref>
        </x14:conditionalFormatting>
        <x14:conditionalFormatting xmlns:xm="http://schemas.microsoft.com/office/excel/2006/main">
          <x14:cfRule type="cellIs" priority="225" operator="lessThan" id="{D55ED98B-7CF5-4B84-A89D-5D3625A91803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224" operator="between" id="{11C11CAE-7518-46CC-A086-1A8D1DEA4489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223" operator="greaterThanOrEqual" id="{2A886BF9-CE48-4A53-AD77-20B78A0ED942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Y57:Y63</xm:sqref>
        </x14:conditionalFormatting>
        <x14:conditionalFormatting xmlns:xm="http://schemas.microsoft.com/office/excel/2006/main">
          <x14:cfRule type="cellIs" priority="259" operator="greaterThanOrEqual" id="{8ABDF3D1-98DF-45CC-8B5A-3B7A5E129DBA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260" operator="between" id="{23B5BFC1-89B0-4994-90B7-1DC207249408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261" operator="lessThan" id="{041E2610-0C3B-483F-9E70-3A3F93AA6F47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AC42:AC54</xm:sqref>
        </x14:conditionalFormatting>
        <x14:conditionalFormatting xmlns:xm="http://schemas.microsoft.com/office/excel/2006/main">
          <x14:cfRule type="cellIs" priority="219" operator="greaterThanOrEqual" id="{90AD6766-FEDE-4A1F-B794-640AD39AD3BD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220" operator="between" id="{A3515194-0557-4BFE-8802-C6CF297A0BEE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221" operator="lessThan" id="{4BB5C40E-8163-4F3E-9FB8-05544A00C6A0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AC57:AC63</xm:sqref>
        </x14:conditionalFormatting>
        <x14:conditionalFormatting xmlns:xm="http://schemas.microsoft.com/office/excel/2006/main">
          <x14:cfRule type="cellIs" priority="451" operator="greaterThanOrEqual" id="{8C6F4CC9-E0F1-4B78-A352-0CC9D3549094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452" operator="between" id="{8B3A7340-0F86-4A4B-9D75-78F4AAF84D09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453" operator="lessThan" id="{B861019F-0E61-4EF5-AAD1-565EC9BE1C7D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AC34:AE37 AC41:AE41 AC55:AE56</xm:sqref>
        </x14:conditionalFormatting>
        <x14:conditionalFormatting xmlns:xm="http://schemas.microsoft.com/office/excel/2006/main">
          <x14:cfRule type="cellIs" priority="37" operator="between" id="{26FB5B00-E3A2-4D2B-9674-C94A85ACEC19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36" operator="greaterThanOrEqual" id="{8ACFB0E1-2D74-44B1-9AFD-8D6E89E948BB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38" operator="lessThan" id="{D834704B-AB2D-4079-8463-5D7D13BF3F33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AE42:AE54</xm:sqref>
        </x14:conditionalFormatting>
        <x14:conditionalFormatting xmlns:xm="http://schemas.microsoft.com/office/excel/2006/main">
          <x14:cfRule type="cellIs" priority="40" operator="greaterThanOrEqual" id="{AE28DE54-0710-43E5-86F3-F24F84632B2A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42" operator="lessThan" id="{A1A58EAC-FC4E-491D-B1EA-43FCCD845EF4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41" operator="between" id="{0ECFACED-1400-42B1-AD7C-4BC5CE0DF90F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AE52</xm:sqref>
        </x14:conditionalFormatting>
        <x14:conditionalFormatting xmlns:xm="http://schemas.microsoft.com/office/excel/2006/main">
          <x14:cfRule type="cellIs" priority="217" operator="lessThan" id="{65953902-946D-415C-BAB5-913B7E50C637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216" operator="between" id="{2370483F-C49D-4DC4-B29D-2415C651EDAD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215" operator="greaterThanOrEqual" id="{9737CFD2-4B8F-4203-B4CF-2509D9819444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AE57:AE63</xm:sqref>
        </x14:conditionalFormatting>
        <x14:conditionalFormatting xmlns:xm="http://schemas.microsoft.com/office/excel/2006/main">
          <x14:cfRule type="cellIs" priority="58" operator="lessThan" id="{DA44B52F-1AE2-487F-B1B3-75CD68656225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57" operator="between" id="{CE41BFBB-8047-4020-BDCB-55176D694542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56" operator="greaterThanOrEqual" id="{5FFAF27B-A995-4207-9683-2F9D7373FD4B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AI36:AI39</xm:sqref>
        </x14:conditionalFormatting>
        <x14:conditionalFormatting xmlns:xm="http://schemas.microsoft.com/office/excel/2006/main">
          <x14:cfRule type="cellIs" priority="50" operator="lessThan" id="{22E5A06E-35B3-4787-995D-0485570E9D86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49" operator="between" id="{49A02E04-BDEB-4A47-BEBD-13D9B60D3549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48" operator="greaterThanOrEqual" id="{AB9F261B-040F-4AEA-A260-7F663474CC1A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AI42:AI54</xm:sqref>
        </x14:conditionalFormatting>
        <x14:conditionalFormatting xmlns:xm="http://schemas.microsoft.com/office/excel/2006/main">
          <x14:cfRule type="cellIs" priority="53" operator="between" id="{BEDEDA67-EACA-42E4-9DEE-83FF74DF70F2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52" operator="greaterThanOrEqual" id="{9C6685E9-A33D-47A2-BA7A-6A6357DB1491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54" operator="lessThan" id="{DC6C0754-3FAB-43C4-9255-064C7E270064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AI52</xm:sqref>
        </x14:conditionalFormatting>
        <x14:conditionalFormatting xmlns:xm="http://schemas.microsoft.com/office/excel/2006/main">
          <x14:cfRule type="cellIs" priority="44" operator="greaterThanOrEqual" id="{FD1F5BB4-BB54-4476-9687-13CB3719F06E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46" operator="lessThan" id="{F4FE7F25-ADBB-4A5D-B8C5-39016F090386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45" operator="between" id="{76C4563D-2C4A-4813-8CEB-27AF979F5B8E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AI57:AI63</xm:sqref>
        </x14:conditionalFormatting>
        <x14:conditionalFormatting xmlns:xm="http://schemas.microsoft.com/office/excel/2006/main">
          <x14:cfRule type="cellIs" priority="122" operator="lessThan" id="{A9688718-A2F3-4DA1-A509-C87FDB0D332F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121" operator="between" id="{797277D8-0453-4797-BAE0-32A21D2D16AF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120" operator="greaterThanOrEqual" id="{D4BB40CB-8230-44B8-A10F-0C6C306C8A03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AK36:AK38</xm:sqref>
        </x14:conditionalFormatting>
        <x14:conditionalFormatting xmlns:xm="http://schemas.microsoft.com/office/excel/2006/main">
          <x14:cfRule type="cellIs" priority="247" operator="greaterThanOrEqual" id="{644A92AC-EE44-4A08-AB46-EE085C7F0B88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248" operator="between" id="{CD87AC29-4EDB-4E3F-BEEA-BB42C604523C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249" operator="lessThan" id="{8E805E43-95CA-45AE-AEEB-ACFFF1FC8878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AK42:AK54</xm:sqref>
        </x14:conditionalFormatting>
        <x14:conditionalFormatting xmlns:xm="http://schemas.microsoft.com/office/excel/2006/main">
          <x14:cfRule type="cellIs" priority="208" operator="between" id="{6065CCE8-8ACB-49AD-959F-A730019C5178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209" operator="lessThan" id="{CBBB670E-C946-4A63-BD3A-023648AF18B3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207" operator="greaterThanOrEqual" id="{AAE3A678-1EC1-4451-8370-F06CA09DDCF1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AK57:AK63</xm:sqref>
        </x14:conditionalFormatting>
        <x14:conditionalFormatting xmlns:xm="http://schemas.microsoft.com/office/excel/2006/main">
          <x14:cfRule type="cellIs" priority="108" operator="greaterThanOrEqual" id="{A8429F6C-53F3-4A0E-AA0D-82FBACF68717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110" operator="lessThan" id="{EA61639E-7644-4639-91C9-97A27C0A785A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109" operator="between" id="{EF3E539D-D874-4066-B1A7-62019168F184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AQ36:AQ38</xm:sqref>
        </x14:conditionalFormatting>
        <x14:conditionalFormatting xmlns:xm="http://schemas.microsoft.com/office/excel/2006/main">
          <x14:cfRule type="cellIs" priority="195" operator="greaterThanOrEqual" id="{050825EE-8A05-4145-A1C2-275AA7B0ECFC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197" operator="lessThan" id="{4D66684A-30D8-4CE5-9B83-F4AE5AD0D56A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196" operator="between" id="{F0600CE8-A270-4633-8530-5178C2AD44AA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AQ42:AQ54</xm:sqref>
        </x14:conditionalFormatting>
        <x14:conditionalFormatting xmlns:xm="http://schemas.microsoft.com/office/excel/2006/main">
          <x14:cfRule type="cellIs" priority="189" operator="lessThan" id="{015BF476-533F-46DD-B2F4-90EDE2A04668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188" operator="between" id="{6F0CD563-977D-4BA8-B7B0-C98ED6A29492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187" operator="greaterThanOrEqual" id="{912D45A3-A795-44A8-9462-F793378DC6F0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AQ57:AQ63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20359-254E-4913-B5BD-CDA0CC2C4F16}">
  <dimension ref="A1:AX193"/>
  <sheetViews>
    <sheetView showGridLines="0" zoomScale="85" zoomScaleNormal="85" workbookViewId="0">
      <pane xSplit="1" ySplit="3" topLeftCell="C4" activePane="bottomRight" state="frozen"/>
      <selection pane="topRight" activeCell="B1" sqref="B1"/>
      <selection pane="bottomLeft" activeCell="A4" sqref="A4"/>
      <selection pane="bottomRight" activeCell="AY71" sqref="AY71"/>
    </sheetView>
  </sheetViews>
  <sheetFormatPr baseColWidth="10" defaultColWidth="11.44140625" defaultRowHeight="15" customHeight="1" outlineLevelRow="1" x14ac:dyDescent="0.3"/>
  <cols>
    <col min="1" max="1" width="37.44140625" customWidth="1"/>
    <col min="2" max="2" width="6" hidden="1" customWidth="1"/>
    <col min="3" max="3" width="18" customWidth="1"/>
    <col min="4" max="4" width="17" bestFit="1" customWidth="1"/>
    <col min="5" max="5" width="9" bestFit="1" customWidth="1"/>
    <col min="6" max="6" width="12.109375" hidden="1" customWidth="1"/>
    <col min="7" max="7" width="12" hidden="1" customWidth="1"/>
    <col min="8" max="8" width="3.21875" customWidth="1"/>
    <col min="9" max="9" width="16.77734375" hidden="1" customWidth="1"/>
    <col min="10" max="10" width="17.44140625" hidden="1" customWidth="1"/>
    <col min="11" max="11" width="9.21875" customWidth="1"/>
    <col min="12" max="12" width="16.77734375" style="28" hidden="1" customWidth="1"/>
    <col min="13" max="13" width="8.44140625" hidden="1" customWidth="1"/>
    <col min="14" max="14" width="3" customWidth="1"/>
    <col min="15" max="15" width="16" hidden="1" customWidth="1"/>
    <col min="16" max="16" width="11.33203125" hidden="1" customWidth="1"/>
    <col min="17" max="17" width="8.44140625" customWidth="1"/>
    <col min="18" max="18" width="17.44140625" hidden="1" customWidth="1"/>
    <col min="19" max="19" width="7.44140625" hidden="1" customWidth="1"/>
    <col min="20" max="20" width="2.5546875" customWidth="1"/>
    <col min="21" max="22" width="14.77734375" hidden="1" customWidth="1"/>
    <col min="23" max="23" width="9.77734375" customWidth="1"/>
    <col min="24" max="24" width="15.5546875" hidden="1" customWidth="1"/>
    <col min="25" max="25" width="8.109375" hidden="1" customWidth="1"/>
    <col min="26" max="26" width="2.44140625" customWidth="1"/>
    <col min="27" max="28" width="13.77734375" hidden="1" customWidth="1"/>
    <col min="29" max="29" width="9.33203125" customWidth="1"/>
    <col min="30" max="30" width="14.21875" hidden="1" customWidth="1"/>
    <col min="31" max="31" width="7.77734375" hidden="1" customWidth="1"/>
    <col min="32" max="32" width="2.21875" customWidth="1"/>
    <col min="33" max="34" width="15" hidden="1" customWidth="1"/>
    <col min="35" max="35" width="8.21875" hidden="1" customWidth="1"/>
    <col min="36" max="36" width="15.21875" hidden="1" customWidth="1"/>
    <col min="37" max="37" width="6.77734375" hidden="1" customWidth="1"/>
    <col min="38" max="38" width="2.5546875" hidden="1" customWidth="1"/>
    <col min="39" max="40" width="15.21875" hidden="1" customWidth="1"/>
    <col min="41" max="41" width="9.44140625" hidden="1" customWidth="1"/>
    <col min="42" max="42" width="14.77734375" hidden="1" customWidth="1"/>
    <col min="43" max="43" width="7.44140625" hidden="1" customWidth="1"/>
    <col min="44" max="44" width="6.109375" hidden="1" customWidth="1"/>
    <col min="45" max="45" width="13.5546875" hidden="1" customWidth="1"/>
    <col min="46" max="46" width="13.88671875" hidden="1" customWidth="1"/>
    <col min="47" max="47" width="9.77734375" customWidth="1"/>
    <col min="48" max="48" width="11.44140625" hidden="1" customWidth="1"/>
    <col min="49" max="49" width="10.5546875" hidden="1" customWidth="1"/>
    <col min="50" max="50" width="2" customWidth="1"/>
  </cols>
  <sheetData>
    <row r="1" spans="1:50" ht="15" customHeight="1" thickBot="1" x14ac:dyDescent="0.35">
      <c r="A1" s="131">
        <f ca="1">+Parámetros!C4</f>
        <v>46065</v>
      </c>
      <c r="H1" s="132"/>
      <c r="AS1" s="144" t="s">
        <v>2198</v>
      </c>
      <c r="AT1" s="144"/>
      <c r="AU1" s="144"/>
      <c r="AV1" s="144"/>
      <c r="AW1" s="144"/>
      <c r="AX1" s="132"/>
    </row>
    <row r="2" spans="1:50" s="11" customFormat="1" ht="15" customHeight="1" thickBot="1" x14ac:dyDescent="0.35">
      <c r="C2" s="146" t="s">
        <v>4</v>
      </c>
      <c r="D2" s="147"/>
      <c r="E2" s="147"/>
      <c r="F2" s="147"/>
      <c r="G2" s="148"/>
      <c r="H2" s="133"/>
      <c r="I2" s="141" t="s">
        <v>1</v>
      </c>
      <c r="J2" s="142"/>
      <c r="K2" s="142"/>
      <c r="L2" s="142"/>
      <c r="M2" s="143"/>
      <c r="N2" s="12"/>
      <c r="O2" s="141" t="s">
        <v>38</v>
      </c>
      <c r="P2" s="142"/>
      <c r="Q2" s="142"/>
      <c r="R2" s="142"/>
      <c r="S2" s="143"/>
      <c r="U2" s="141" t="s">
        <v>2</v>
      </c>
      <c r="V2" s="142"/>
      <c r="W2" s="142"/>
      <c r="X2" s="142"/>
      <c r="Y2" s="143"/>
      <c r="Z2" s="12"/>
      <c r="AA2" s="141" t="s">
        <v>53</v>
      </c>
      <c r="AB2" s="142"/>
      <c r="AC2" s="142"/>
      <c r="AD2" s="142"/>
      <c r="AE2" s="143"/>
      <c r="AF2" s="12"/>
      <c r="AG2" s="141" t="s">
        <v>3</v>
      </c>
      <c r="AH2" s="142"/>
      <c r="AI2" s="142"/>
      <c r="AJ2" s="142"/>
      <c r="AK2" s="143"/>
      <c r="AL2" s="12"/>
      <c r="AM2" s="141" t="s">
        <v>63</v>
      </c>
      <c r="AN2" s="142"/>
      <c r="AO2" s="142"/>
      <c r="AP2" s="142"/>
      <c r="AQ2" s="143"/>
      <c r="AS2" s="145"/>
      <c r="AT2" s="145"/>
      <c r="AU2" s="145"/>
      <c r="AV2" s="145"/>
      <c r="AW2" s="145"/>
      <c r="AX2" s="132"/>
    </row>
    <row r="3" spans="1:50" thickBot="1" x14ac:dyDescent="0.35">
      <c r="B3" s="97" t="s">
        <v>66</v>
      </c>
      <c r="C3" s="98">
        <v>2025</v>
      </c>
      <c r="D3" s="98">
        <v>2026</v>
      </c>
      <c r="E3" s="98" t="s">
        <v>5</v>
      </c>
      <c r="F3" s="98" t="s">
        <v>61</v>
      </c>
      <c r="G3" s="99" t="s">
        <v>62</v>
      </c>
      <c r="H3" s="133"/>
      <c r="I3" s="3">
        <f>C3</f>
        <v>2025</v>
      </c>
      <c r="J3" s="3">
        <f>D3</f>
        <v>2026</v>
      </c>
      <c r="K3" s="3" t="s">
        <v>2197</v>
      </c>
      <c r="L3" s="3" t="s">
        <v>61</v>
      </c>
      <c r="M3" s="3" t="s">
        <v>62</v>
      </c>
      <c r="N3" s="3"/>
      <c r="O3" s="3">
        <f>AG3</f>
        <v>2025</v>
      </c>
      <c r="P3" s="3">
        <f>AH3</f>
        <v>2026</v>
      </c>
      <c r="Q3" s="3" t="s">
        <v>2197</v>
      </c>
      <c r="R3" s="3" t="s">
        <v>61</v>
      </c>
      <c r="S3" s="3" t="s">
        <v>62</v>
      </c>
      <c r="U3" s="3">
        <f>I3</f>
        <v>2025</v>
      </c>
      <c r="V3" s="3">
        <f>J3</f>
        <v>2026</v>
      </c>
      <c r="W3" s="3" t="s">
        <v>2197</v>
      </c>
      <c r="X3" s="3" t="s">
        <v>61</v>
      </c>
      <c r="Y3" s="3" t="s">
        <v>62</v>
      </c>
      <c r="Z3" s="3"/>
      <c r="AA3" s="3">
        <f>U3</f>
        <v>2025</v>
      </c>
      <c r="AB3" s="3">
        <f>V3</f>
        <v>2026</v>
      </c>
      <c r="AC3" s="3" t="s">
        <v>2197</v>
      </c>
      <c r="AD3" s="3" t="s">
        <v>61</v>
      </c>
      <c r="AE3" s="3" t="s">
        <v>62</v>
      </c>
      <c r="AF3" s="3"/>
      <c r="AG3" s="3">
        <f>AA3</f>
        <v>2025</v>
      </c>
      <c r="AH3" s="3">
        <f>AB3</f>
        <v>2026</v>
      </c>
      <c r="AI3" s="3" t="s">
        <v>2197</v>
      </c>
      <c r="AJ3" s="3" t="s">
        <v>61</v>
      </c>
      <c r="AK3" s="3" t="s">
        <v>62</v>
      </c>
      <c r="AL3" s="3"/>
      <c r="AM3" s="3">
        <f>O3</f>
        <v>2025</v>
      </c>
      <c r="AN3" s="3">
        <f>P3</f>
        <v>2026</v>
      </c>
      <c r="AO3" s="3" t="s">
        <v>2197</v>
      </c>
      <c r="AP3" s="3" t="s">
        <v>61</v>
      </c>
      <c r="AQ3" s="3" t="s">
        <v>62</v>
      </c>
      <c r="AS3" s="3">
        <f>U3</f>
        <v>2025</v>
      </c>
      <c r="AT3" s="3">
        <f>V3</f>
        <v>2026</v>
      </c>
      <c r="AU3" s="3" t="s">
        <v>2197</v>
      </c>
      <c r="AV3" s="3" t="s">
        <v>61</v>
      </c>
      <c r="AW3" s="3" t="s">
        <v>62</v>
      </c>
      <c r="AX3" s="132"/>
    </row>
    <row r="4" spans="1:50" ht="18.600000000000001" thickBot="1" x14ac:dyDescent="0.4">
      <c r="A4" s="103" t="s">
        <v>0</v>
      </c>
      <c r="B4" s="12"/>
      <c r="C4" s="3"/>
      <c r="D4" s="3"/>
      <c r="E4" s="3"/>
      <c r="F4" s="3"/>
      <c r="G4" s="3"/>
      <c r="H4" s="13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S4" s="3"/>
      <c r="AT4" s="3"/>
      <c r="AU4" s="3"/>
      <c r="AV4" s="3"/>
      <c r="AW4" s="3"/>
      <c r="AX4" s="132"/>
    </row>
    <row r="5" spans="1:50" ht="14.4" x14ac:dyDescent="0.3">
      <c r="A5" s="93" t="s">
        <v>2188</v>
      </c>
      <c r="B5" s="12"/>
      <c r="C5" s="3"/>
      <c r="D5" s="3"/>
      <c r="E5" s="3"/>
      <c r="F5" s="3"/>
      <c r="G5" s="3"/>
      <c r="H5" s="13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S5" s="3"/>
      <c r="AT5" s="3"/>
      <c r="AU5" s="3"/>
      <c r="AV5" s="3"/>
      <c r="AW5" s="3"/>
      <c r="AX5" s="132"/>
    </row>
    <row r="6" spans="1:50" ht="14.4" hidden="1" outlineLevel="1" x14ac:dyDescent="0.3">
      <c r="A6" s="100" t="s">
        <v>49</v>
      </c>
      <c r="B6" s="100" t="str">
        <f>IF(IFERROR(VLOOKUP(A6,DATA_KPI!$D:$H,5,FALSE),"")="",VLOOKUP(A6,DATA_KPI_PRE!$D:$H,5,FALSE),VLOOKUP(A6,DATA_KPI!$D:$H,5,FALSE))</f>
        <v>S20</v>
      </c>
      <c r="C6" s="101">
        <f>IFERROR(VLOOKUP(_xlfn.CONCAT($C$3,"_",B6,"_",$C$2,"_",Parámetros!$C$6),DATA_KPI!$A:$H,6,FALSE),0)</f>
        <v>23200859.559999991</v>
      </c>
      <c r="D6" s="101">
        <f>IFERROR(VLOOKUP(_xlfn.CONCAT($D$3,"_",B6,"_",$C$2,"_",Parámetros!$C$6),DATA_KPI!A:H,6,FALSE),0)</f>
        <v>22505365.859999999</v>
      </c>
      <c r="E6" s="102">
        <f>IFERROR(+(D6/C6)-1,0)</f>
        <v>-2.9977066073839542E-2</v>
      </c>
      <c r="F6" s="101">
        <f>IFERROR(VLOOKUP(_xlfn.CONCAT($D$3,"_",B6,"_",$C$2,"_",Parámetros!$C$6),DATA_KPI_PRE!$A:$F,6,FALSE),0)</f>
        <v>22881447.232152693</v>
      </c>
      <c r="G6" s="102">
        <f>IFERROR(+(D6/F6)-1,0)</f>
        <v>-1.643608327467283E-2</v>
      </c>
      <c r="H6" s="113"/>
      <c r="I6" s="121">
        <f>IFERROR(VLOOKUP(_xlfn.CONCAT($I$3,"_",B6,"_",$I$2,"_",Parámetros!$C$6),DATA_KPI!$A:$H,6,FALSE),0)</f>
        <v>15590030.059999993</v>
      </c>
      <c r="J6" s="121">
        <f>IFERROR(VLOOKUP(_xlfn.CONCAT($J$3,"_",B6,"_",$I$2,"_",Parámetros!$C$6),DATA_KPI!$A:$H,6,FALSE),0)</f>
        <v>15093779.969999995</v>
      </c>
      <c r="K6" s="122">
        <f>IFERROR(+(J6/I6)-1,0)</f>
        <v>-3.183124651396585E-2</v>
      </c>
      <c r="L6" s="123">
        <f>IFERROR(VLOOKUP(_xlfn.CONCAT($J$3,"_",B6,"_",$I$2,"_",Parámetros!$C$6),DATA_KPI_PRE!A:F,6,FALSE),0)</f>
        <v>15316810.301619556</v>
      </c>
      <c r="M6" s="102">
        <f>IFERROR(+(J6/L6)-1,0)</f>
        <v>-1.4561147342536329E-2</v>
      </c>
      <c r="N6" s="4"/>
      <c r="O6" s="121">
        <f>IFERROR(VLOOKUP(_xlfn.CONCAT($O$3,"_",B6,"_",$O$2,"_",Parámetros!$C$6),DATA_KPI!$A:$H,6,FALSE),0)</f>
        <v>4129415.4700000011</v>
      </c>
      <c r="P6" s="121">
        <f>IFERROR(VLOOKUP(_xlfn.CONCAT($P$3,"_",B6,"_",$O$2,"_",Parámetros!$C$6),DATA_KPI!$A:$H,6,FALSE),0)</f>
        <v>4666839.6500000013</v>
      </c>
      <c r="Q6" s="122">
        <f>IFERROR(+(P6/O6)-1,0)</f>
        <v>0.13014533991659594</v>
      </c>
      <c r="R6" s="123">
        <f>IFERROR(VLOOKUP(_xlfn.CONCAT($P$3,"_",B6,"_",$O$2,"_",Parámetros!$C$6),DATA_KPI_PRE!A:F,6,FALSE),0)</f>
        <v>3989699.3353011622</v>
      </c>
      <c r="S6" s="102">
        <f>IFERROR(+(P6/R6)-1,0)</f>
        <v>0.16972214139232245</v>
      </c>
      <c r="U6" s="121">
        <f>IFERROR(VLOOKUP(_xlfn.CONCAT($U$3,"_",B6,"_",$U$2,"_",Parámetros!$C$6),DATA_KPI!$A:$H,6,FALSE),0)</f>
        <v>2614941.9899999998</v>
      </c>
      <c r="V6" s="121">
        <f>IFERROR(VLOOKUP(_xlfn.CONCAT($V$3,"_",B6,"_",$U$2,"_",Parámetros!$C$6),DATA_KPI!$A:$H,6,FALSE),0)</f>
        <v>2170722.1100000008</v>
      </c>
      <c r="W6" s="122">
        <f>IFERROR(+(V6/U6)-1,0)</f>
        <v>-0.16987752756993246</v>
      </c>
      <c r="X6" s="123">
        <f>IFERROR(VLOOKUP(_xlfn.CONCAT($V$3,"_",B6,"_",$U$2,"_",Parámetros!$C$6),DATA_KPI_PRE!A:F,6,FALSE),0)</f>
        <v>2096643.1817197402</v>
      </c>
      <c r="Y6" s="102">
        <f>IFERROR(+(V6/X6)-1,0)</f>
        <v>3.5332158054427909E-2</v>
      </c>
      <c r="Z6" s="4"/>
      <c r="AA6" s="121">
        <f>IFERROR(VLOOKUP(_xlfn.CONCAT($AA$3,"_",B6,"_",$AA$2,"_",Parámetros!$C$6),DATA_KPI!$A:$H,6,FALSE),0)</f>
        <v>0</v>
      </c>
      <c r="AB6" s="121">
        <f>IFERROR(VLOOKUP(_xlfn.CONCAT($AB$3,"_",B6,"_",$AA$2,"_",Parámetros!$C$6),DATA_KPI!$A:$H,6,FALSE),0)</f>
        <v>0</v>
      </c>
      <c r="AC6" s="122">
        <f>IFERROR(+(AB6/AA6)-1,0)</f>
        <v>0</v>
      </c>
      <c r="AD6" s="123">
        <f>IFERROR(VLOOKUP(_xlfn.CONCAT($AB$3,"_",B6,"_",$AA$2,"_",Parámetros!$C$6),DATA_KPI_PRE!A:F,6,FALSE),0)</f>
        <v>0</v>
      </c>
      <c r="AE6" s="102">
        <f>IFERROR(+(AB6/AD6)-1,0)</f>
        <v>0</v>
      </c>
      <c r="AF6" s="4"/>
      <c r="AG6" s="121">
        <f>IFERROR(VLOOKUP(_xlfn.CONCAT($AG$3,"_",B6,"_",$AG$2,"_",Parámetros!$C$6),DATA_KPI!$A:$H,6,FALSE),0)</f>
        <v>861525.13</v>
      </c>
      <c r="AH6" s="121">
        <f>IFERROR(VLOOKUP(_xlfn.CONCAT($AH$3,"_",B6,"_",$AG$2,"_",Parámetros!$C$6),DATA_KPI!$A:$H,6,FALSE),0)</f>
        <v>552794.04</v>
      </c>
      <c r="AI6" s="122">
        <f>IFERROR(+(AH6/AG6)-1,0)</f>
        <v>-0.35835413181737363</v>
      </c>
      <c r="AJ6" s="123">
        <f>IFERROR(VLOOKUP(_xlfn.CONCAT($AH$3,"_",B6,"_",$AG$2,"_",Parámetros!$C$6),DATA_KPI_PRE!A:F,6,FALSE),0)</f>
        <v>1469062.7137225545</v>
      </c>
      <c r="AK6" s="102">
        <f>IFERROR(+(AH6/AJ6)-1,0)</f>
        <v>-0.62370970630706513</v>
      </c>
      <c r="AL6" s="4"/>
      <c r="AM6" s="121">
        <f>IFERROR(VLOOKUP(_xlfn.CONCAT($AM$3,"_",B6,"_",$AM$2,"_",Parámetros!$C$6),DATA_KPI!$A:$H,6,FALSE),0)</f>
        <v>4946.91</v>
      </c>
      <c r="AN6" s="121">
        <f>IFERROR(VLOOKUP(_xlfn.CONCAT($AN$3,"_",B6,"_",$AM$2,"_",Parámetros!$C$6),DATA_KPI!$A:$H,6,FALSE),0)</f>
        <v>21230.09</v>
      </c>
      <c r="AO6" s="122">
        <f>IFERROR(+AN6/AM6,0)</f>
        <v>4.2915860607935059</v>
      </c>
      <c r="AP6" s="123">
        <f>IFERROR(VLOOKUP(_xlfn.CONCAT($AN$3,"_",B6,"_",$AM$2,"_",Parámetros!$C$6),DATA_KPI_PRE!A:F,6,FALSE),0)</f>
        <v>9231.6997896823323</v>
      </c>
      <c r="AQ6" s="102">
        <f>IFERROR(+(AN6/AP6)-1,0)</f>
        <v>1.2996945831933879</v>
      </c>
      <c r="AS6" s="121">
        <f>+AM6+AG6</f>
        <v>866472.04</v>
      </c>
      <c r="AT6" s="121">
        <f>+AN6+AH6</f>
        <v>574024.13</v>
      </c>
      <c r="AU6" s="122">
        <f>IFERROR(+AT6/AS6,0)</f>
        <v>0.66248430820687532</v>
      </c>
      <c r="AV6" s="121">
        <f>+AP6+AJ6</f>
        <v>1478294.4135122369</v>
      </c>
      <c r="AW6" s="102">
        <f>IFERROR(+(AT6/AV6)-1,0)</f>
        <v>-0.61169837026158225</v>
      </c>
      <c r="AX6" s="132"/>
    </row>
    <row r="7" spans="1:50" ht="14.4" hidden="1" outlineLevel="1" x14ac:dyDescent="0.3">
      <c r="A7" s="100" t="s">
        <v>14</v>
      </c>
      <c r="B7" s="100" t="str">
        <f>IF(IFERROR(VLOOKUP(A7,DATA_KPI!$D:$H,5,FALSE),"")="",VLOOKUP(A7,DATA_KPI_PRE!$D:$H,5,FALSE),VLOOKUP(A7,DATA_KPI!$D:$H,5,FALSE))</f>
        <v>S32</v>
      </c>
      <c r="C7" s="101">
        <f>IFERROR(VLOOKUP(_xlfn.CONCAT($C$3,"_",B7,"_",$C$2,"_",Parámetros!$C$6),DATA_KPI!$A:$H,6,FALSE),0)</f>
        <v>15957425.310000014</v>
      </c>
      <c r="D7" s="101">
        <f>IFERROR(VLOOKUP(_xlfn.CONCAT($D$3,"_",B7,"_",$C$2,"_",Parámetros!$C$6),DATA_KPI!A:H,6,FALSE),0)</f>
        <v>15917707.459999997</v>
      </c>
      <c r="E7" s="102">
        <f>IFERROR(+(D7/C7)-1,0)</f>
        <v>-2.4889886199327416E-3</v>
      </c>
      <c r="F7" s="101">
        <f>IFERROR(VLOOKUP(_xlfn.CONCAT($D$3,"_",B7,"_",$C$2,"_",Parámetros!$C$6),DATA_KPI_PRE!$A:$F,6,FALSE),0)</f>
        <v>15968372.700210145</v>
      </c>
      <c r="G7" s="102">
        <f>IFERROR(+(D7/F7)-1,0)</f>
        <v>-3.1728493041424111E-3</v>
      </c>
      <c r="H7" s="113"/>
      <c r="I7" s="121">
        <f>IFERROR(VLOOKUP(_xlfn.CONCAT($I$3,"_",B7,"_",$I$2,"_",Parámetros!$C$6),DATA_KPI!$A:$H,6,FALSE),0)</f>
        <v>13081280.880000012</v>
      </c>
      <c r="J7" s="121">
        <f>IFERROR(VLOOKUP(_xlfn.CONCAT($J$3,"_",B7,"_",$I$2,"_",Parámetros!$C$6),DATA_KPI!$A:$H,6,FALSE),0)</f>
        <v>12959948.339999994</v>
      </c>
      <c r="K7" s="122">
        <f>IFERROR(+(J7/I7)-1,0)</f>
        <v>-9.2752797767321482E-3</v>
      </c>
      <c r="L7" s="123">
        <f>IFERROR(VLOOKUP(_xlfn.CONCAT($J$3,"_",B7,"_",$I$2,"_",Parámetros!$C$6),DATA_KPI_PRE!A:F,6,FALSE),0)</f>
        <v>13030920.690017849</v>
      </c>
      <c r="M7" s="102">
        <f>IFERROR(+(J7/L7)-1,0)</f>
        <v>-5.4464570621032271E-3</v>
      </c>
      <c r="N7" s="4"/>
      <c r="O7" s="121">
        <f>IFERROR(VLOOKUP(_xlfn.CONCAT($O$3,"_",B7,"_",$O$2,"_",Parámetros!$C$6),DATA_KPI!$A:$H,6,FALSE),0)</f>
        <v>2362613.2000000002</v>
      </c>
      <c r="P7" s="121">
        <f>IFERROR(VLOOKUP(_xlfn.CONCAT($P$3,"_",B7,"_",$O$2,"_",Parámetros!$C$6),DATA_KPI!$A:$H,6,FALSE),0)</f>
        <v>2616986.5600000028</v>
      </c>
      <c r="Q7" s="122">
        <f>IFERROR(+(P7/O7)-1,0)</f>
        <v>0.10766610463363313</v>
      </c>
      <c r="R7" s="123">
        <f>IFERROR(VLOOKUP(_xlfn.CONCAT($P$3,"_",B7,"_",$O$2,"_",Parámetros!$C$6),DATA_KPI_PRE!A:F,6,FALSE),0)</f>
        <v>2318118.3999628932</v>
      </c>
      <c r="S7" s="102">
        <f>IFERROR(+(P7/R7)-1,0)</f>
        <v>0.12892704705760227</v>
      </c>
      <c r="U7" s="121">
        <f>IFERROR(VLOOKUP(_xlfn.CONCAT($U$3,"_",B7,"_",$U$2,"_",Parámetros!$C$6),DATA_KPI!$A:$H,6,FALSE),0)</f>
        <v>513531.22999999992</v>
      </c>
      <c r="V7" s="121">
        <f>IFERROR(VLOOKUP(_xlfn.CONCAT($V$3,"_",B7,"_",$U$2,"_",Parámetros!$C$6),DATA_KPI!$A:$H,6,FALSE),0)</f>
        <v>340772.56</v>
      </c>
      <c r="W7" s="122">
        <f>IFERROR(+(V7/U7)-1,0)</f>
        <v>-0.33641317198955933</v>
      </c>
      <c r="X7" s="123">
        <f>IFERROR(VLOOKUP(_xlfn.CONCAT($V$3,"_",B7,"_",$U$2,"_",Parámetros!$C$6),DATA_KPI_PRE!A:F,6,FALSE),0)</f>
        <v>619333.61022940231</v>
      </c>
      <c r="Y7" s="102">
        <f>IFERROR(+(V7/X7)-1,0)</f>
        <v>-0.44977544513727064</v>
      </c>
      <c r="Z7" s="5"/>
      <c r="AA7" s="121">
        <f>IFERROR(VLOOKUP(_xlfn.CONCAT($AA$3,"_",B7,"_",$AA$2,"_",Parámetros!$C$6),DATA_KPI!$A:$H,6,FALSE),0)</f>
        <v>0</v>
      </c>
      <c r="AB7" s="121">
        <f>IFERROR(VLOOKUP(_xlfn.CONCAT($AB$3,"_",B7,"_",$AA$2,"_",Parámetros!$C$6),DATA_KPI!$A:$H,6,FALSE),0)</f>
        <v>0</v>
      </c>
      <c r="AC7" s="122">
        <f>IFERROR(+(AB7/AA7)-1,0)</f>
        <v>0</v>
      </c>
      <c r="AD7" s="123">
        <f>IFERROR(VLOOKUP(_xlfn.CONCAT($AB$3,"_",B7,"_",$AA$2,"_",Parámetros!$C$6),DATA_KPI_PRE!A:F,6,FALSE),0)</f>
        <v>0</v>
      </c>
      <c r="AE7" s="102">
        <f>IFERROR(+(AB7/AD7)-1,0)</f>
        <v>0</v>
      </c>
      <c r="AF7" s="4"/>
      <c r="AG7" s="121">
        <f>IFERROR(VLOOKUP(_xlfn.CONCAT($AG$3,"_",B7,"_",$AG$2,"_",Parámetros!$C$6),DATA_KPI!$A:$H,6,FALSE),0)</f>
        <v>0</v>
      </c>
      <c r="AH7" s="121">
        <f>IFERROR(VLOOKUP(_xlfn.CONCAT($AH$3,"_",B7,"_",$AG$2,"_",Parámetros!$C$6),DATA_KPI!$A:$H,6,FALSE),0)</f>
        <v>0</v>
      </c>
      <c r="AI7" s="122">
        <f>IFERROR(+(AH7/AG7)-1,0)</f>
        <v>0</v>
      </c>
      <c r="AJ7" s="123">
        <f>IFERROR(VLOOKUP(_xlfn.CONCAT($AH$3,"_",B7,"_",$AG$2,"_",Parámetros!$C$6),DATA_KPI_PRE!A:F,6,FALSE),0)</f>
        <v>0</v>
      </c>
      <c r="AK7" s="102">
        <f>IFERROR(+(AH7/AJ7)-1,0)</f>
        <v>0</v>
      </c>
      <c r="AL7" s="5"/>
      <c r="AM7" s="121">
        <f>IFERROR(VLOOKUP(_xlfn.CONCAT($AM$3,"_",B7,"_",$AM$2,"_",Parámetros!$C$6),DATA_KPI!$A:$H,6,FALSE),0)</f>
        <v>0</v>
      </c>
      <c r="AN7" s="121">
        <f>IFERROR(VLOOKUP(_xlfn.CONCAT($AN$3,"_",B7,"_",$AM$2,"_",Parámetros!$C$6),DATA_KPI!$A:$H,6,FALSE),0)</f>
        <v>0</v>
      </c>
      <c r="AO7" s="122">
        <f>IFERROR(+AN7/AM7,0)</f>
        <v>0</v>
      </c>
      <c r="AP7" s="123">
        <f>IFERROR(VLOOKUP(_xlfn.CONCAT($AN$3,"_",B7,"_",$AM$2,"_",Parámetros!$C$6),DATA_KPI_PRE!A:F,6,FALSE),0)</f>
        <v>0</v>
      </c>
      <c r="AQ7" s="102">
        <f>IFERROR(+(AN7/AP7)-1,0)</f>
        <v>0</v>
      </c>
      <c r="AS7" s="121">
        <f t="shared" ref="AS7:AS9" si="0">+AM7+AG7</f>
        <v>0</v>
      </c>
      <c r="AT7" s="121">
        <f t="shared" ref="AT7:AT9" si="1">+AN7+AH7</f>
        <v>0</v>
      </c>
      <c r="AU7" s="122">
        <f>IFERROR(+AT7/AS7,0)</f>
        <v>0</v>
      </c>
      <c r="AV7" s="121">
        <f t="shared" ref="AV7:AV9" si="2">+AP7+AJ7</f>
        <v>0</v>
      </c>
      <c r="AW7" s="102">
        <f>IFERROR(+(AT7/AV7)-1,0)</f>
        <v>0</v>
      </c>
      <c r="AX7" s="132"/>
    </row>
    <row r="8" spans="1:50" ht="14.4" hidden="1" outlineLevel="1" x14ac:dyDescent="0.3">
      <c r="A8" s="100" t="s">
        <v>8</v>
      </c>
      <c r="B8" s="100" t="str">
        <f>IF(IFERROR(VLOOKUP(A8,DATA_KPI!$D:$H,5,FALSE),"")="",VLOOKUP(A8,DATA_KPI_PRE!$D:$H,5,FALSE),VLOOKUP(A8,DATA_KPI!$D:$H,5,FALSE))</f>
        <v>S71</v>
      </c>
      <c r="C8" s="101">
        <f>IFERROR(VLOOKUP(_xlfn.CONCAT($C$3,"_",B8,"_",$C$2,"_",Parámetros!$C$6),DATA_KPI!$A:$H,6,FALSE),0)</f>
        <v>16267030.789999994</v>
      </c>
      <c r="D8" s="101">
        <f>IFERROR(VLOOKUP(_xlfn.CONCAT($D$3,"_",B8,"_",$C$2,"_",Parámetros!$C$6),DATA_KPI!A:H,6,FALSE),0)</f>
        <v>15370827.899999989</v>
      </c>
      <c r="E8" s="102">
        <f>IFERROR(+(D8/C8)-1,0)</f>
        <v>-5.5093206717905518E-2</v>
      </c>
      <c r="F8" s="101">
        <f>IFERROR(VLOOKUP(_xlfn.CONCAT($D$3,"_",B8,"_",$C$2,"_",Parámetros!$C$6),DATA_KPI_PRE!$A:$F,6,FALSE),0)</f>
        <v>15966896.897442486</v>
      </c>
      <c r="G8" s="102">
        <f>IFERROR(+(D8/F8)-1,0)</f>
        <v>-3.7331549221563121E-2</v>
      </c>
      <c r="H8" s="134"/>
      <c r="I8" s="121">
        <f>IFERROR(VLOOKUP(_xlfn.CONCAT($I$3,"_",B8,"_",$I$2,"_",Parámetros!$C$6),DATA_KPI!$A:$H,6,FALSE),0)</f>
        <v>6372211.1299999952</v>
      </c>
      <c r="J8" s="121">
        <f>IFERROR(VLOOKUP(_xlfn.CONCAT($J$3,"_",B8,"_",$I$2,"_",Parámetros!$C$6),DATA_KPI!$A:$H,6,FALSE),0)</f>
        <v>6920079.0499999998</v>
      </c>
      <c r="K8" s="122">
        <f>IFERROR(+(J8/I8)-1,0)</f>
        <v>8.5977678520517742E-2</v>
      </c>
      <c r="L8" s="123">
        <f>IFERROR(VLOOKUP(_xlfn.CONCAT($J$3,"_",B8,"_",$I$2,"_",Parámetros!$C$6),DATA_KPI_PRE!A:F,6,FALSE),0)</f>
        <v>5809254.5434531961</v>
      </c>
      <c r="M8" s="102">
        <f>IFERROR(+(J8/L8)-1,0)</f>
        <v>0.19121635973046835</v>
      </c>
      <c r="N8" s="4"/>
      <c r="O8" s="121">
        <f>IFERROR(VLOOKUP(_xlfn.CONCAT($O$3,"_",B8,"_",$O$2,"_",Parámetros!$C$6),DATA_KPI!$A:$H,6,FALSE),0)</f>
        <v>7529012.1499999966</v>
      </c>
      <c r="P8" s="121">
        <f>IFERROR(VLOOKUP(_xlfn.CONCAT($P$3,"_",B8,"_",$O$2,"_",Parámetros!$C$6),DATA_KPI!$A:$H,6,FALSE),0)</f>
        <v>6993822.77999999</v>
      </c>
      <c r="Q8" s="122">
        <f>IFERROR(+(P8/O8)-1,0)</f>
        <v>-7.1083610882472392E-2</v>
      </c>
      <c r="R8" s="123">
        <f>IFERROR(VLOOKUP(_xlfn.CONCAT($P$3,"_",B8,"_",$O$2,"_",Parámetros!$C$6),DATA_KPI_PRE!A:F,6,FALSE),0)</f>
        <v>7138051.6204823339</v>
      </c>
      <c r="S8" s="102">
        <f>IFERROR(+(P8/R8)-1,0)</f>
        <v>-2.0205631473508179E-2</v>
      </c>
      <c r="U8" s="121">
        <f>IFERROR(VLOOKUP(_xlfn.CONCAT($U$3,"_",B8,"_",$U$2,"_",Parámetros!$C$6),DATA_KPI!$A:$H,6,FALSE),0)</f>
        <v>2090064.0400000014</v>
      </c>
      <c r="V8" s="121">
        <f>IFERROR(VLOOKUP(_xlfn.CONCAT($V$3,"_",B8,"_",$U$2,"_",Parámetros!$C$6),DATA_KPI!$A:$H,6,FALSE),0)</f>
        <v>1176104.3799999999</v>
      </c>
      <c r="W8" s="122">
        <f>IFERROR(+(V8/U8)-1,0)</f>
        <v>-0.43728787372467348</v>
      </c>
      <c r="X8" s="123">
        <f>IFERROR(VLOOKUP(_xlfn.CONCAT($V$3,"_",B8,"_",$U$2,"_",Parámetros!$C$6),DATA_KPI_PRE!A:F,6,FALSE),0)</f>
        <v>2146748.5224020793</v>
      </c>
      <c r="Y8" s="102">
        <f>IFERROR(+(V8/X8)-1,0)</f>
        <v>-0.45214617933729306</v>
      </c>
      <c r="Z8" s="5"/>
      <c r="AA8" s="121">
        <f>IFERROR(VLOOKUP(_xlfn.CONCAT($AA$3,"_",B8,"_",$AA$2,"_",Parámetros!$C$6),DATA_KPI!$A:$H,6,FALSE),0)</f>
        <v>0</v>
      </c>
      <c r="AB8" s="121">
        <f>IFERROR(VLOOKUP(_xlfn.CONCAT($AB$3,"_",B8,"_",$AA$2,"_",Parámetros!$C$6),DATA_KPI!$A:$H,6,FALSE),0)</f>
        <v>0</v>
      </c>
      <c r="AC8" s="122">
        <f>IFERROR(+(AB8/AA8)-1,0)</f>
        <v>0</v>
      </c>
      <c r="AD8" s="123">
        <f>IFERROR(VLOOKUP(_xlfn.CONCAT($AB$3,"_",B8,"_",$AA$2,"_",Parámetros!$C$6),DATA_KPI_PRE!A:F,6,FALSE),0)</f>
        <v>0</v>
      </c>
      <c r="AE8" s="102">
        <f>IFERROR(+(AB8/AD8)-1,0)</f>
        <v>0</v>
      </c>
      <c r="AF8" s="5"/>
      <c r="AG8" s="121">
        <f>IFERROR(VLOOKUP(_xlfn.CONCAT($AG$3,"_",B8,"_",$AG$2,"_",Parámetros!$C$6),DATA_KPI!$A:$H,6,FALSE),0)</f>
        <v>275743.46999999997</v>
      </c>
      <c r="AH8" s="121">
        <f>IFERROR(VLOOKUP(_xlfn.CONCAT($AH$3,"_",B8,"_",$AG$2,"_",Parámetros!$C$6),DATA_KPI!$A:$H,6,FALSE),0)</f>
        <v>80646.01999999999</v>
      </c>
      <c r="AI8" s="122">
        <f>IFERROR(+(AH8/AG8)-1,0)</f>
        <v>-0.70753243948079714</v>
      </c>
      <c r="AJ8" s="123">
        <f>IFERROR(VLOOKUP(_xlfn.CONCAT($AH$3,"_",B8,"_",$AG$2,"_",Parámetros!$C$6),DATA_KPI_PRE!A:F,6,FALSE),0)</f>
        <v>868656.17956256855</v>
      </c>
      <c r="AK8" s="102">
        <f>IFERROR(+(AH8/AJ8)-1,0)</f>
        <v>-0.90716002269089813</v>
      </c>
      <c r="AL8" s="4"/>
      <c r="AM8" s="121">
        <f>IFERROR(VLOOKUP(_xlfn.CONCAT($AM$3,"_",B8,"_",$AM$2,"_",Parámetros!$C$6),DATA_KPI!$A:$H,6,FALSE),0)</f>
        <v>0</v>
      </c>
      <c r="AN8" s="121">
        <f>IFERROR(VLOOKUP(_xlfn.CONCAT($AN$3,"_",B8,"_",$AM$2,"_",Parámetros!$C$6),DATA_KPI!$A:$H,6,FALSE),0)</f>
        <v>200175.66999999998</v>
      </c>
      <c r="AO8" s="122">
        <f>IFERROR(+AN8/AM8,0)</f>
        <v>0</v>
      </c>
      <c r="AP8" s="123">
        <f>IFERROR(VLOOKUP(_xlfn.CONCAT($AN$3,"_",B8,"_",$AM$2,"_",Parámetros!$C$6),DATA_KPI_PRE!A:F,6,FALSE),0)</f>
        <v>4186.0315423087113</v>
      </c>
      <c r="AQ8" s="102">
        <f>IFERROR(+(AN8/AP8)-1,0)</f>
        <v>46.819914393095473</v>
      </c>
      <c r="AS8" s="121">
        <f t="shared" si="0"/>
        <v>275743.46999999997</v>
      </c>
      <c r="AT8" s="121">
        <f t="shared" si="1"/>
        <v>280821.68999999994</v>
      </c>
      <c r="AU8" s="122">
        <f>IFERROR(+AT8/AS8,0)</f>
        <v>1.018416465129709</v>
      </c>
      <c r="AV8" s="121">
        <f t="shared" si="2"/>
        <v>872842.21110487729</v>
      </c>
      <c r="AW8" s="102">
        <f>IFERROR(+(AT8/AV8)-1,0)</f>
        <v>-0.67826751911490968</v>
      </c>
      <c r="AX8" s="132"/>
    </row>
    <row r="9" spans="1:50" ht="14.4" hidden="1" outlineLevel="1" x14ac:dyDescent="0.3">
      <c r="A9" s="100" t="s">
        <v>12</v>
      </c>
      <c r="B9" s="100" t="str">
        <f>IF(IFERROR(VLOOKUP(A9,DATA_KPI!$D:$H,5,FALSE),"")="",VLOOKUP(A9,DATA_KPI_PRE!$D:$H,5,FALSE),VLOOKUP(A9,DATA_KPI!$D:$H,5,FALSE))</f>
        <v>S01</v>
      </c>
      <c r="C9" s="101">
        <f>IFERROR(VLOOKUP(_xlfn.CONCAT($C$3,"_",B9,"_",$C$2,"_",Parámetros!$C$6),DATA_KPI!$A:$H,6,FALSE),0)</f>
        <v>12117822.059999993</v>
      </c>
      <c r="D9" s="101">
        <f>IFERROR(VLOOKUP(_xlfn.CONCAT($D$3,"_",B9,"_",$C$2,"_",Parámetros!$C$6),DATA_KPI!A:H,6,FALSE),0)</f>
        <v>11568046.580000002</v>
      </c>
      <c r="E9" s="102">
        <f>IFERROR(+(D9/C9)-1,0)</f>
        <v>-4.5369165950600809E-2</v>
      </c>
      <c r="F9" s="101">
        <f>IFERROR(VLOOKUP(_xlfn.CONCAT($D$3,"_",B9,"_",$C$2,"_",Parámetros!$C$6),DATA_KPI_PRE!$A:$F,6,FALSE),0)</f>
        <v>13694109.044219047</v>
      </c>
      <c r="G9" s="102">
        <f>IFERROR(+(D9/F9)-1,0)</f>
        <v>-0.15525379981668541</v>
      </c>
      <c r="H9" s="134"/>
      <c r="I9" s="121">
        <f>IFERROR(VLOOKUP(_xlfn.CONCAT($I$3,"_",B9,"_",$I$2,"_",Parámetros!$C$6),DATA_KPI!$A:$H,6,FALSE),0)</f>
        <v>5642972.5599999959</v>
      </c>
      <c r="J9" s="121">
        <f>IFERROR(VLOOKUP(_xlfn.CONCAT($J$3,"_",B9,"_",$I$2,"_",Parámetros!$C$6),DATA_KPI!$A:$H,6,FALSE),0)</f>
        <v>6133559.1100000031</v>
      </c>
      <c r="K9" s="122">
        <f>IFERROR(+(J9/I9)-1,0)</f>
        <v>8.693761041432535E-2</v>
      </c>
      <c r="L9" s="123">
        <f>IFERROR(VLOOKUP(_xlfn.CONCAT($J$3,"_",B9,"_",$I$2,"_",Parámetros!$C$6),DATA_KPI_PRE!A:F,6,FALSE),0)</f>
        <v>5894147.9317262154</v>
      </c>
      <c r="M9" s="102">
        <f>IFERROR(+(J9/L9)-1,0)</f>
        <v>4.061845427820332E-2</v>
      </c>
      <c r="N9" s="4"/>
      <c r="O9" s="121">
        <f>IFERROR(VLOOKUP(_xlfn.CONCAT($O$3,"_",B9,"_",$O$2,"_",Parámetros!$C$6),DATA_KPI!$A:$H,6,FALSE),0)</f>
        <v>3967119.1599999974</v>
      </c>
      <c r="P9" s="121">
        <f>IFERROR(VLOOKUP(_xlfn.CONCAT($P$3,"_",B9,"_",$O$2,"_",Parámetros!$C$6),DATA_KPI!$A:$H,6,FALSE),0)</f>
        <v>3512606.6299999994</v>
      </c>
      <c r="Q9" s="122">
        <f>IFERROR(+(P9/O9)-1,0)</f>
        <v>-0.11456992131287491</v>
      </c>
      <c r="R9" s="123">
        <f>IFERROR(VLOOKUP(_xlfn.CONCAT($P$3,"_",B9,"_",$O$2,"_",Parámetros!$C$6),DATA_KPI_PRE!A:F,6,FALSE),0)</f>
        <v>4699120.6845445568</v>
      </c>
      <c r="S9" s="102">
        <f>IFERROR(+(P9/R9)-1,0)</f>
        <v>-0.25249703810481205</v>
      </c>
      <c r="U9" s="121">
        <f>IFERROR(VLOOKUP(_xlfn.CONCAT($U$3,"_",B9,"_",$U$2,"_",Parámetros!$C$6),DATA_KPI!$A:$H,6,FALSE),0)</f>
        <v>875267.68999999983</v>
      </c>
      <c r="V9" s="121">
        <f>IFERROR(VLOOKUP(_xlfn.CONCAT($V$3,"_",B9,"_",$U$2,"_",Parámetros!$C$6),DATA_KPI!$A:$H,6,FALSE),0)</f>
        <v>567968.84000000008</v>
      </c>
      <c r="W9" s="122">
        <f>IFERROR(+(V9/U9)-1,0)</f>
        <v>-0.35109127585870303</v>
      </c>
      <c r="X9" s="123">
        <f>IFERROR(VLOOKUP(_xlfn.CONCAT($V$3,"_",B9,"_",$U$2,"_",Parámetros!$C$6),DATA_KPI_PRE!A:F,6,FALSE),0)</f>
        <v>865488.09251552669</v>
      </c>
      <c r="Y9" s="102">
        <f>IFERROR(+(V9/X9)-1,0)</f>
        <v>-0.34375892064648961</v>
      </c>
      <c r="Z9" s="5"/>
      <c r="AA9" s="121">
        <f>IFERROR(VLOOKUP(_xlfn.CONCAT($AA$3,"_",B9,"_",$AA$2,"_",Parámetros!$C$6),DATA_KPI!$A:$H,6,FALSE),0)</f>
        <v>688973.85000000021</v>
      </c>
      <c r="AB9" s="121">
        <f>IFERROR(VLOOKUP(_xlfn.CONCAT($AB$3,"_",B9,"_",$AA$2,"_",Parámetros!$C$6),DATA_KPI!$A:$H,6,FALSE),0)</f>
        <v>690329.43999999983</v>
      </c>
      <c r="AC9" s="122">
        <f>IFERROR(+(AB9/AA9)-1,0)</f>
        <v>1.9675492763617797E-3</v>
      </c>
      <c r="AD9" s="123">
        <f>IFERROR(VLOOKUP(_xlfn.CONCAT($AB$3,"_",B9,"_",$AA$2,"_",Parámetros!$C$6),DATA_KPI_PRE!A:F,6,FALSE),0)</f>
        <v>774140.85106162075</v>
      </c>
      <c r="AE9" s="102">
        <f>IFERROR(+(AB9/AD9)-1,0)</f>
        <v>-0.10826377518598307</v>
      </c>
      <c r="AF9" s="4"/>
      <c r="AG9" s="121">
        <f>IFERROR(VLOOKUP(_xlfn.CONCAT($AG$3,"_",B9,"_",$AG$2,"_",Parámetros!$C$6),DATA_KPI!$A:$H,6,FALSE),0)</f>
        <v>880011.85999999987</v>
      </c>
      <c r="AH9" s="121">
        <f>IFERROR(VLOOKUP(_xlfn.CONCAT($AH$3,"_",B9,"_",$AG$2,"_",Parámetros!$C$6),DATA_KPI!$A:$H,6,FALSE),0)</f>
        <v>606507.32999999973</v>
      </c>
      <c r="AI9" s="122">
        <f>IFERROR(+(AH9/AG9)-1,0)</f>
        <v>-0.31079641358469889</v>
      </c>
      <c r="AJ9" s="123">
        <f>IFERROR(VLOOKUP(_xlfn.CONCAT($AH$3,"_",B9,"_",$AG$2,"_",Parámetros!$C$6),DATA_KPI_PRE!A:F,6,FALSE),0)</f>
        <v>1332466.4680670758</v>
      </c>
      <c r="AK9" s="102">
        <f>IFERROR(+(AH9/AJ9)-1,0)</f>
        <v>-0.544823570022125</v>
      </c>
      <c r="AL9" s="5"/>
      <c r="AM9" s="121">
        <f>IFERROR(VLOOKUP(_xlfn.CONCAT($AM$3,"_",B9,"_",$AM$2,"_",Parámetros!$C$6),DATA_KPI!$A:$H,6,FALSE),0)</f>
        <v>63476.94</v>
      </c>
      <c r="AN9" s="121">
        <f>IFERROR(VLOOKUP(_xlfn.CONCAT($AN$3,"_",B9,"_",$AM$2,"_",Parámetros!$C$6),DATA_KPI!$A:$H,6,FALSE),0)</f>
        <v>57075.229999999996</v>
      </c>
      <c r="AO9" s="122">
        <f>IFERROR(+AN9/AM9,0)</f>
        <v>0.89914904530684681</v>
      </c>
      <c r="AP9" s="123">
        <f>IFERROR(VLOOKUP(_xlfn.CONCAT($AN$3,"_",B9,"_",$AM$2,"_",Parámetros!$C$6),DATA_KPI_PRE!A:F,6,FALSE),0)</f>
        <v>128745.01630405209</v>
      </c>
      <c r="AQ9" s="102">
        <f>IFERROR(+(AN9/AP9)-1,0)</f>
        <v>-0.55668008255008761</v>
      </c>
      <c r="AS9" s="121">
        <f t="shared" si="0"/>
        <v>943488.79999999981</v>
      </c>
      <c r="AT9" s="121">
        <f t="shared" si="1"/>
        <v>663582.55999999971</v>
      </c>
      <c r="AU9" s="122">
        <f>IFERROR(+AT9/AS9,0)</f>
        <v>0.70332849738120884</v>
      </c>
      <c r="AV9" s="121">
        <f t="shared" si="2"/>
        <v>1461211.484371128</v>
      </c>
      <c r="AW9" s="102">
        <f>IFERROR(+(AT9/AV9)-1,0)</f>
        <v>-0.54586822845456184</v>
      </c>
      <c r="AX9" s="132"/>
    </row>
    <row r="10" spans="1:50" ht="14.4" collapsed="1" x14ac:dyDescent="0.3">
      <c r="A10" s="104" t="s">
        <v>2190</v>
      </c>
      <c r="B10" s="105"/>
      <c r="C10" s="106">
        <f>+C9+C8+C7+C6</f>
        <v>67543137.719999984</v>
      </c>
      <c r="D10" s="106">
        <f t="shared" ref="D10:F10" si="3">+D9+D8+D7+D6</f>
        <v>65361947.799999982</v>
      </c>
      <c r="E10" s="107">
        <f>IFERROR(+(D10/C10)-1,0)</f>
        <v>-3.2293286833106949E-2</v>
      </c>
      <c r="F10" s="106">
        <f t="shared" si="3"/>
        <v>68510825.874024361</v>
      </c>
      <c r="G10" s="107">
        <f>IFERROR(+(D10/F10)-1,0)</f>
        <v>-4.5961759092124188E-2</v>
      </c>
      <c r="H10" s="134"/>
      <c r="I10" s="106">
        <f>+I9+I8+I7+I6</f>
        <v>40686494.629999995</v>
      </c>
      <c r="J10" s="106">
        <f t="shared" ref="J10" si="4">+J9+J8+J7+J6</f>
        <v>41107366.469999999</v>
      </c>
      <c r="K10" s="107">
        <f>IFERROR(+(J10/I10)-1,0)</f>
        <v>1.0344263958529165E-2</v>
      </c>
      <c r="L10" s="106">
        <f t="shared" ref="L10" si="5">+L9+L8+L7+L6</f>
        <v>40051133.466816813</v>
      </c>
      <c r="M10" s="107">
        <f>IFERROR(+(J10/L10)-1,0)</f>
        <v>2.6372112640914214E-2</v>
      </c>
      <c r="N10" s="4"/>
      <c r="O10" s="106">
        <f>+O9+O8+O7+O6</f>
        <v>17988159.979999997</v>
      </c>
      <c r="P10" s="106">
        <f t="shared" ref="P10" si="6">+P9+P8+P7+P6</f>
        <v>17790255.619999994</v>
      </c>
      <c r="Q10" s="107">
        <f>IFERROR(+(P10/O10)-1,0)</f>
        <v>-1.1001923499682098E-2</v>
      </c>
      <c r="R10" s="106">
        <f t="shared" ref="R10" si="7">+R9+R8+R7+R6</f>
        <v>18144990.040290944</v>
      </c>
      <c r="S10" s="107">
        <f>IFERROR(+(P10/R10)-1,0)</f>
        <v>-1.9549992560109586E-2</v>
      </c>
      <c r="U10" s="106">
        <f>+U9+U8+U7+U6</f>
        <v>6093804.9500000011</v>
      </c>
      <c r="V10" s="106">
        <f t="shared" ref="V10" si="8">+V9+V8+V7+V6</f>
        <v>4255567.8900000006</v>
      </c>
      <c r="W10" s="107">
        <f>IFERROR(+(V10/U10)-1,0)</f>
        <v>-0.30165669480445056</v>
      </c>
      <c r="X10" s="106">
        <f t="shared" ref="X10" si="9">+X9+X8+X7+X6</f>
        <v>5728213.4068667488</v>
      </c>
      <c r="Y10" s="107">
        <f>IFERROR(+(V10/X10)-1,0)</f>
        <v>-0.25708635699595284</v>
      </c>
      <c r="Z10" s="5"/>
      <c r="AA10" s="106">
        <f>+AA9+AA8+AA7+AA6</f>
        <v>688973.85000000021</v>
      </c>
      <c r="AB10" s="106">
        <f t="shared" ref="AB10" si="10">+AB9+AB8+AB7+AB6</f>
        <v>690329.43999999983</v>
      </c>
      <c r="AC10" s="107">
        <f>IFERROR(+(AB10/AA10)-1,0)</f>
        <v>1.9675492763617797E-3</v>
      </c>
      <c r="AD10" s="106">
        <f t="shared" ref="AD10" si="11">+AD9+AD8+AD7+AD6</f>
        <v>774140.85106162075</v>
      </c>
      <c r="AE10" s="107">
        <f>IFERROR(+(AB10/AD10)-1,0)</f>
        <v>-0.10826377518598307</v>
      </c>
      <c r="AF10" s="4"/>
      <c r="AG10" s="106">
        <f>+AG9+AG8+AG7+AG6</f>
        <v>2017280.46</v>
      </c>
      <c r="AH10" s="106">
        <f t="shared" ref="AH10" si="12">+AH9+AH8+AH7+AH6</f>
        <v>1239947.3899999997</v>
      </c>
      <c r="AI10" s="107">
        <f>IFERROR(+(AH10/AG10)-1,0)</f>
        <v>-0.38533713353868515</v>
      </c>
      <c r="AJ10" s="106">
        <f t="shared" ref="AJ10" si="13">+AJ9+AJ8+AJ7+AJ6</f>
        <v>3670185.3613521988</v>
      </c>
      <c r="AK10" s="107">
        <f>IFERROR(+(AH10/AJ10)-1,0)</f>
        <v>-0.66215673925984808</v>
      </c>
      <c r="AL10" s="5"/>
      <c r="AM10" s="106">
        <f>+AM9+AM8+AM7+AM6</f>
        <v>68423.850000000006</v>
      </c>
      <c r="AN10" s="106">
        <f t="shared" ref="AN10" si="14">+AN9+AN8+AN7+AN6</f>
        <v>278480.99</v>
      </c>
      <c r="AO10" s="107">
        <f>IFERROR(+(AN10/AM10)-1,0)</f>
        <v>3.0699403789760433</v>
      </c>
      <c r="AP10" s="106">
        <f t="shared" ref="AP10" si="15">+AP9+AP8+AP7+AP6</f>
        <v>142162.74763604315</v>
      </c>
      <c r="AQ10" s="107">
        <f>IFERROR(+(AN10/AP10)-1,0)</f>
        <v>0.95888863032494931</v>
      </c>
      <c r="AS10" s="106">
        <f>+AS9+AS8+AS7+AS6</f>
        <v>2085704.3099999998</v>
      </c>
      <c r="AT10" s="106">
        <f t="shared" ref="AT10" si="16">+AT9+AT8+AT7+AT6</f>
        <v>1518428.3799999997</v>
      </c>
      <c r="AU10" s="107">
        <f>IFERROR(+(AT10/AS10)-1,0)</f>
        <v>-0.27198291113470452</v>
      </c>
      <c r="AV10" s="106">
        <f t="shared" ref="AV10" si="17">+AV9+AV8+AV7+AV6</f>
        <v>3812348.1089882422</v>
      </c>
      <c r="AW10" s="107">
        <f>IFERROR(+(AT10/AV10)-1,0)</f>
        <v>-0.60170783554102703</v>
      </c>
      <c r="AX10" s="132"/>
    </row>
    <row r="11" spans="1:50" ht="14.4" hidden="1" outlineLevel="1" x14ac:dyDescent="0.3">
      <c r="A11" s="94"/>
      <c r="B11" s="1"/>
      <c r="C11" s="68"/>
      <c r="D11" s="68"/>
      <c r="E11" s="34"/>
      <c r="F11" s="68"/>
      <c r="G11" s="34"/>
      <c r="H11" s="134"/>
      <c r="I11" s="73"/>
      <c r="J11" s="73"/>
      <c r="K11" s="22"/>
      <c r="L11" s="75"/>
      <c r="M11" s="34"/>
      <c r="N11" s="4"/>
      <c r="O11" s="73"/>
      <c r="P11" s="73"/>
      <c r="Q11" s="22"/>
      <c r="R11" s="75"/>
      <c r="S11" s="34"/>
      <c r="U11" s="73"/>
      <c r="V11" s="73"/>
      <c r="W11" s="22"/>
      <c r="X11" s="75"/>
      <c r="Y11" s="34"/>
      <c r="Z11" s="5"/>
      <c r="AA11" s="73"/>
      <c r="AB11" s="73"/>
      <c r="AC11" s="22"/>
      <c r="AD11" s="75"/>
      <c r="AE11" s="34"/>
      <c r="AF11" s="4"/>
      <c r="AG11" s="73"/>
      <c r="AH11" s="73"/>
      <c r="AI11" s="22"/>
      <c r="AJ11" s="75"/>
      <c r="AK11" s="34"/>
      <c r="AL11" s="5"/>
      <c r="AM11" s="73"/>
      <c r="AN11" s="73"/>
      <c r="AO11" s="22"/>
      <c r="AP11" s="75"/>
      <c r="AQ11" s="34"/>
      <c r="AS11" s="73"/>
      <c r="AT11" s="73"/>
      <c r="AU11" s="22"/>
      <c r="AV11" s="75"/>
      <c r="AW11" s="34"/>
      <c r="AX11" s="132"/>
    </row>
    <row r="12" spans="1:50" ht="14.4" hidden="1" outlineLevel="1" x14ac:dyDescent="0.3">
      <c r="A12" s="100" t="s">
        <v>48</v>
      </c>
      <c r="B12" s="100" t="str">
        <f>IF(IFERROR(VLOOKUP(A12,DATA_KPI!$D:$H,5,FALSE),"")="",VLOOKUP(A12,DATA_KPI_PRE!$D:$H,5,FALSE),VLOOKUP(A12,DATA_KPI!$D:$H,5,FALSE))</f>
        <v>S31</v>
      </c>
      <c r="C12" s="101">
        <f>IFERROR(VLOOKUP(_xlfn.CONCAT($C$3,"_",B12,"_",$C$2,"_",Parámetros!$C$6),DATA_KPI!$A:$H,6,FALSE),0)</f>
        <v>26637318.470000058</v>
      </c>
      <c r="D12" s="101">
        <f>IFERROR(VLOOKUP(_xlfn.CONCAT($D$3,"_",B12,"_",$C$2,"_",Parámetros!$C$6),DATA_KPI!A:H,6,FALSE),0)</f>
        <v>22481850.380000018</v>
      </c>
      <c r="E12" s="102">
        <f>IFERROR(+(D12/C12)-1,0)</f>
        <v>-0.1560017422429395</v>
      </c>
      <c r="F12" s="101">
        <f>IFERROR(VLOOKUP(_xlfn.CONCAT($D$3,"_",B12,"_",$C$2,"_",Parámetros!$C$6),DATA_KPI_PRE!$A:$F,6,FALSE),0)</f>
        <v>25133112.000024777</v>
      </c>
      <c r="G12" s="102">
        <f>IFERROR(+(D12/F12)-1,0)</f>
        <v>-0.10548879183851745</v>
      </c>
      <c r="H12" s="134"/>
      <c r="I12" s="121">
        <f>IFERROR(VLOOKUP(_xlfn.CONCAT($I$3,"_",B12,"_",$I$2,"_",Parámetros!$C$6),DATA_KPI!$A:$H,6,FALSE),0)</f>
        <v>24086026.920000061</v>
      </c>
      <c r="J12" s="121">
        <f>IFERROR(VLOOKUP(_xlfn.CONCAT($J$3,"_",B12,"_",$I$2,"_",Parámetros!$C$6),DATA_KPI!$A:$H,6,FALSE),0)</f>
        <v>20186948.17000002</v>
      </c>
      <c r="K12" s="122">
        <f>IFERROR(+(J12/I12)-1,0)</f>
        <v>-0.1618813581397438</v>
      </c>
      <c r="L12" s="123">
        <f>IFERROR(VLOOKUP(_xlfn.CONCAT($J$3,"_",B12,"_",$I$2,"_",Parámetros!$C$6),DATA_KPI_PRE!A:F,6,FALSE),0)</f>
        <v>22056559.522064518</v>
      </c>
      <c r="M12" s="102">
        <f>IFERROR(+(J12/L12)-1,0)</f>
        <v>-8.4764414422576317E-2</v>
      </c>
      <c r="N12" s="4"/>
      <c r="O12" s="121">
        <f>IFERROR(VLOOKUP(_xlfn.CONCAT($O$3,"_",B12,"_",$O$2,"_",Parámetros!$C$6),DATA_KPI!$A:$H,6,FALSE),0)</f>
        <v>1550674.8099999998</v>
      </c>
      <c r="P12" s="121">
        <f>IFERROR(VLOOKUP(_xlfn.CONCAT($P$3,"_",B12,"_",$O$2,"_",Parámetros!$C$6),DATA_KPI!$A:$H,6,FALSE),0)</f>
        <v>1691240.3299999998</v>
      </c>
      <c r="Q12" s="122">
        <f>IFERROR(+(P12/O12)-1,0)</f>
        <v>9.0647967641906746E-2</v>
      </c>
      <c r="R12" s="123">
        <f>IFERROR(VLOOKUP(_xlfn.CONCAT($P$3,"_",B12,"_",$O$2,"_",Parámetros!$C$6),DATA_KPI_PRE!A:F,6,FALSE),0)</f>
        <v>1865628.7503731621</v>
      </c>
      <c r="S12" s="102">
        <f>IFERROR(+(P12/R12)-1,0)</f>
        <v>-9.3474342276447686E-2</v>
      </c>
      <c r="U12" s="121">
        <f>IFERROR(VLOOKUP(_xlfn.CONCAT($U$3,"_",B12,"_",$U$2,"_",Parámetros!$C$6),DATA_KPI!$A:$H,6,FALSE),0)</f>
        <v>1000616.7399999999</v>
      </c>
      <c r="V12" s="121">
        <f>IFERROR(VLOOKUP(_xlfn.CONCAT($V$3,"_",B12,"_",$U$2,"_",Parámetros!$C$6),DATA_KPI!$A:$H,6,FALSE),0)</f>
        <v>603661.88</v>
      </c>
      <c r="W12" s="122">
        <f>IFERROR(+(V12/U12)-1,0)</f>
        <v>-0.39671019295559651</v>
      </c>
      <c r="X12" s="123">
        <f>IFERROR(VLOOKUP(_xlfn.CONCAT($V$3,"_",B12,"_",$U$2,"_",Parámetros!$C$6),DATA_KPI_PRE!A:F,6,FALSE),0)</f>
        <v>1210923.7275870971</v>
      </c>
      <c r="Y12" s="102">
        <f>IFERROR(+(V12/X12)-1,0)</f>
        <v>-0.50148645513548173</v>
      </c>
      <c r="Z12" s="4"/>
      <c r="AA12" s="121">
        <f>IFERROR(VLOOKUP(_xlfn.CONCAT($AA$3,"_",B12,"_",$AA$2,"_",Parámetros!$C$6),DATA_KPI!$A:$H,6,FALSE),0)</f>
        <v>0</v>
      </c>
      <c r="AB12" s="121">
        <f>IFERROR(VLOOKUP(_xlfn.CONCAT($AB$3,"_",B12,"_",$AA$2,"_",Parámetros!$C$6),DATA_KPI!$A:$H,6,FALSE),0)</f>
        <v>0</v>
      </c>
      <c r="AC12" s="122">
        <f>IFERROR(+(AB12/AA12)-1,0)</f>
        <v>0</v>
      </c>
      <c r="AD12" s="123">
        <f>IFERROR(VLOOKUP(_xlfn.CONCAT($AB$3,"_",B12,"_",$AA$2,"_",Parámetros!$C$6),DATA_KPI_PRE!A:F,6,FALSE),0)</f>
        <v>0</v>
      </c>
      <c r="AE12" s="102">
        <f>IFERROR(+(AB12/AD12)-1,0)</f>
        <v>0</v>
      </c>
      <c r="AF12" s="4"/>
      <c r="AG12" s="121">
        <f>IFERROR(VLOOKUP(_xlfn.CONCAT($AG$3,"_",B12,"_",$AG$2,"_",Parámetros!$C$6),DATA_KPI!$A:$H,6,FALSE),0)</f>
        <v>0</v>
      </c>
      <c r="AH12" s="121">
        <f>IFERROR(VLOOKUP(_xlfn.CONCAT($AH$3,"_",B12,"_",$AG$2,"_",Parámetros!$C$6),DATA_KPI!$A:$H,6,FALSE),0)</f>
        <v>0</v>
      </c>
      <c r="AI12" s="122">
        <f>IFERROR(+(AH12/AG12)-1,0)</f>
        <v>0</v>
      </c>
      <c r="AJ12" s="123">
        <f>IFERROR(VLOOKUP(_xlfn.CONCAT($AH$3,"_",B12,"_",$AG$2,"_",Parámetros!$C$6),DATA_KPI_PRE!A:F,6,FALSE),0)</f>
        <v>0</v>
      </c>
      <c r="AK12" s="102">
        <f>IFERROR(+(AH12/AJ12)-1,0)</f>
        <v>0</v>
      </c>
      <c r="AL12" s="5"/>
      <c r="AM12" s="121">
        <f>IFERROR(VLOOKUP(_xlfn.CONCAT($AM$3,"_",B12,"_",$AM$2,"_",Parámetros!$C$6),DATA_KPI!$A:$H,6,FALSE),0)</f>
        <v>0</v>
      </c>
      <c r="AN12" s="121">
        <f>IFERROR(VLOOKUP(_xlfn.CONCAT($AN$3,"_",B12,"_",$AM$2,"_",Parámetros!$C$6),DATA_KPI!$A:$H,6,FALSE),0)</f>
        <v>0</v>
      </c>
      <c r="AO12" s="122">
        <f>IFERROR(+AN12/AM12,0)</f>
        <v>0</v>
      </c>
      <c r="AP12" s="123">
        <f>IFERROR(VLOOKUP(_xlfn.CONCAT($AN$3,"_",B12,"_",$AM$2,"_",Parámetros!$C$6),DATA_KPI_PRE!A:F,6,FALSE),0)</f>
        <v>0</v>
      </c>
      <c r="AQ12" s="102">
        <f>IFERROR(+(AN12/AP12)-1,0)</f>
        <v>0</v>
      </c>
      <c r="AS12" s="121">
        <f t="shared" ref="AS12" si="18">+AM12+AG12</f>
        <v>0</v>
      </c>
      <c r="AT12" s="121">
        <f t="shared" ref="AT12" si="19">+AN12+AH12</f>
        <v>0</v>
      </c>
      <c r="AU12" s="122">
        <f>IFERROR(+AT12/AS12,0)</f>
        <v>0</v>
      </c>
      <c r="AV12" s="121">
        <f t="shared" ref="AV12:AV14" si="20">+AP12+AJ12</f>
        <v>0</v>
      </c>
      <c r="AW12" s="102">
        <f>IFERROR(+(AT12/AV12)-1,0)</f>
        <v>0</v>
      </c>
      <c r="AX12" s="132"/>
    </row>
    <row r="13" spans="1:50" ht="14.4" hidden="1" outlineLevel="1" x14ac:dyDescent="0.3">
      <c r="A13" s="100" t="s">
        <v>10</v>
      </c>
      <c r="B13" s="100" t="str">
        <f>IF(IFERROR(VLOOKUP(A13,DATA_KPI!$D:$H,5,FALSE),"")="",VLOOKUP(A13,DATA_KPI_PRE!$D:$H,5,FALSE),VLOOKUP(A13,DATA_KPI!$D:$H,5,FALSE))</f>
        <v>S04</v>
      </c>
      <c r="C13" s="101">
        <f>IFERROR(VLOOKUP(_xlfn.CONCAT($C$3,"_",B13,"_",$C$2,"_",Parámetros!$C$6),DATA_KPI!$A:$H,6,FALSE),0)</f>
        <v>21489239.299999986</v>
      </c>
      <c r="D13" s="101">
        <f>IFERROR(VLOOKUP(_xlfn.CONCAT($D$3,"_",B13,"_",$C$2,"_",Parámetros!$C$6),DATA_KPI!A:H,6,FALSE),0)</f>
        <v>19396478.889999997</v>
      </c>
      <c r="E13" s="102">
        <f>IFERROR(+(D13/C13)-1,0)</f>
        <v>-9.7386435172695518E-2</v>
      </c>
      <c r="F13" s="101">
        <f>IFERROR(VLOOKUP(_xlfn.CONCAT($D$3,"_",B13,"_",$C$2,"_",Parámetros!$C$6),DATA_KPI_PRE!$A:$F,6,FALSE),0)</f>
        <v>21440108.479039222</v>
      </c>
      <c r="G13" s="102">
        <f>IFERROR(+(D13/F13)-1,0)</f>
        <v>-9.5318061988220126E-2</v>
      </c>
      <c r="H13" s="134"/>
      <c r="I13" s="121">
        <f>IFERROR(VLOOKUP(_xlfn.CONCAT($I$3,"_",B13,"_",$I$2,"_",Parámetros!$C$6),DATA_KPI!$A:$H,6,FALSE),0)</f>
        <v>9393659.4899999872</v>
      </c>
      <c r="J13" s="121">
        <f>IFERROR(VLOOKUP(_xlfn.CONCAT($J$3,"_",B13,"_",$I$2,"_",Parámetros!$C$6),DATA_KPI!$A:$H,6,FALSE),0)</f>
        <v>9927208.5800000001</v>
      </c>
      <c r="K13" s="122">
        <f>IFERROR(+(J13/I13)-1,0)</f>
        <v>5.6798853585016795E-2</v>
      </c>
      <c r="L13" s="123">
        <f>IFERROR(VLOOKUP(_xlfn.CONCAT($J$3,"_",B13,"_",$I$2,"_",Parámetros!$C$6),DATA_KPI_PRE!A:F,6,FALSE),0)</f>
        <v>8858545.4676258359</v>
      </c>
      <c r="M13" s="102">
        <f>IFERROR(+(J13/L13)-1,0)</f>
        <v>0.12063640879641779</v>
      </c>
      <c r="N13" s="4"/>
      <c r="O13" s="121">
        <f>IFERROR(VLOOKUP(_xlfn.CONCAT($O$3,"_",B13,"_",$O$2,"_",Parámetros!$C$6),DATA_KPI!$A:$H,6,FALSE),0)</f>
        <v>8841522.8499999996</v>
      </c>
      <c r="P13" s="121">
        <f>IFERROR(VLOOKUP(_xlfn.CONCAT($P$3,"_",B13,"_",$O$2,"_",Parámetros!$C$6),DATA_KPI!$A:$H,6,FALSE),0)</f>
        <v>7673751.6399999969</v>
      </c>
      <c r="Q13" s="122">
        <f>IFERROR(+(P13/O13)-1,0)</f>
        <v>-0.13207806277399403</v>
      </c>
      <c r="R13" s="123">
        <f>IFERROR(VLOOKUP(_xlfn.CONCAT($P$3,"_",B13,"_",$O$2,"_",Parámetros!$C$6),DATA_KPI_PRE!A:F,6,FALSE),0)</f>
        <v>9074387.3889559712</v>
      </c>
      <c r="S13" s="102">
        <f>IFERROR(+(P13/R13)-1,0)</f>
        <v>-0.15435044691398403</v>
      </c>
      <c r="U13" s="121">
        <f>IFERROR(VLOOKUP(_xlfn.CONCAT($U$3,"_",B13,"_",$U$2,"_",Parámetros!$C$6),DATA_KPI!$A:$H,6,FALSE),0)</f>
        <v>2394926.54</v>
      </c>
      <c r="V13" s="121">
        <f>IFERROR(VLOOKUP(_xlfn.CONCAT($V$3,"_",B13,"_",$U$2,"_",Parámetros!$C$6),DATA_KPI!$A:$H,6,FALSE),0)</f>
        <v>1199912.3800000004</v>
      </c>
      <c r="W13" s="122">
        <f>IFERROR(+(V13/U13)-1,0)</f>
        <v>-0.49897737573195033</v>
      </c>
      <c r="X13" s="123">
        <f>IFERROR(VLOOKUP(_xlfn.CONCAT($V$3,"_",B13,"_",$U$2,"_",Parámetros!$C$6),DATA_KPI_PRE!A:F,6,FALSE),0)</f>
        <v>2338615.7800169438</v>
      </c>
      <c r="Y13" s="102">
        <f>IFERROR(+(V13/X13)-1,0)</f>
        <v>-0.48691341679422573</v>
      </c>
      <c r="Z13" s="5"/>
      <c r="AA13" s="121">
        <f>IFERROR(VLOOKUP(_xlfn.CONCAT($AA$3,"_",B13,"_",$AA$2,"_",Parámetros!$C$6),DATA_KPI!$A:$H,6,FALSE),0)</f>
        <v>0</v>
      </c>
      <c r="AB13" s="121">
        <f>IFERROR(VLOOKUP(_xlfn.CONCAT($AB$3,"_",B13,"_",$AA$2,"_",Parámetros!$C$6),DATA_KPI!$A:$H,6,FALSE),0)</f>
        <v>0</v>
      </c>
      <c r="AC13" s="122">
        <f>IFERROR(+(AB13/AA13)-1,0)</f>
        <v>0</v>
      </c>
      <c r="AD13" s="123">
        <f>IFERROR(VLOOKUP(_xlfn.CONCAT($AB$3,"_",B13,"_",$AA$2,"_",Parámetros!$C$6),DATA_KPI_PRE!A:F,6,FALSE),0)</f>
        <v>0</v>
      </c>
      <c r="AE13" s="102">
        <f>IFERROR(+(AB13/AD13)-1,0)</f>
        <v>0</v>
      </c>
      <c r="AF13" s="5"/>
      <c r="AG13" s="121">
        <f>IFERROR(VLOOKUP(_xlfn.CONCAT($AG$3,"_",B13,"_",$AG$2,"_",Parámetros!$C$6),DATA_KPI!$A:$H,6,FALSE),0)</f>
        <v>765351.67000000016</v>
      </c>
      <c r="AH13" s="121">
        <f>IFERROR(VLOOKUP(_xlfn.CONCAT($AH$3,"_",B13,"_",$AG$2,"_",Parámetros!$C$6),DATA_KPI!$A:$H,6,FALSE),0)</f>
        <v>459366.47000000003</v>
      </c>
      <c r="AI13" s="122">
        <f>IFERROR(+(AH13/AG13)-1,0)</f>
        <v>-0.399796867236208</v>
      </c>
      <c r="AJ13" s="123">
        <f>IFERROR(VLOOKUP(_xlfn.CONCAT($AH$3,"_",B13,"_",$AG$2,"_",Parámetros!$C$6),DATA_KPI_PRE!A:F,6,FALSE),0)</f>
        <v>1034549.5434304314</v>
      </c>
      <c r="AK13" s="102">
        <f>IFERROR(+(AH13/AJ13)-1,0)</f>
        <v>-0.55597441135897596</v>
      </c>
      <c r="AL13" s="5"/>
      <c r="AM13" s="121">
        <f>IFERROR(VLOOKUP(_xlfn.CONCAT($AM$3,"_",B13,"_",$AM$2,"_",Parámetros!$C$6),DATA_KPI!$A:$H,6,FALSE),0)</f>
        <v>93778.75</v>
      </c>
      <c r="AN13" s="121">
        <f>IFERROR(VLOOKUP(_xlfn.CONCAT($AN$3,"_",B13,"_",$AM$2,"_",Parámetros!$C$6),DATA_KPI!$A:$H,6,FALSE),0)</f>
        <v>136239.82</v>
      </c>
      <c r="AO13" s="122">
        <f>IFERROR(+AN13/AM13,0)</f>
        <v>1.4527792277035043</v>
      </c>
      <c r="AP13" s="123">
        <f>IFERROR(VLOOKUP(_xlfn.CONCAT($AN$3,"_",B13,"_",$AM$2,"_",Parámetros!$C$6),DATA_KPI_PRE!A:F,6,FALSE),0)</f>
        <v>134010.29901004178</v>
      </c>
      <c r="AQ13" s="102">
        <f>IFERROR(+(AN13/AP13)-1,0)</f>
        <v>1.6636937656494322E-2</v>
      </c>
      <c r="AS13" s="121">
        <f t="shared" ref="AS13:AS14" si="21">+AM13+AG13</f>
        <v>859130.42000000016</v>
      </c>
      <c r="AT13" s="121">
        <f t="shared" ref="AT13:AT14" si="22">+AN13+AH13</f>
        <v>595606.29</v>
      </c>
      <c r="AU13" s="122">
        <f>IFERROR(+AT13/AS13,0)</f>
        <v>0.69326644259668968</v>
      </c>
      <c r="AV13" s="121">
        <f t="shared" si="20"/>
        <v>1168559.8424404731</v>
      </c>
      <c r="AW13" s="102">
        <f>IFERROR(+(AT13/AV13)-1,0)</f>
        <v>-0.49030741227928132</v>
      </c>
      <c r="AX13" s="132"/>
    </row>
    <row r="14" spans="1:50" ht="14.4" hidden="1" outlineLevel="1" x14ac:dyDescent="0.3">
      <c r="A14" s="100" t="s">
        <v>20</v>
      </c>
      <c r="B14" s="100" t="str">
        <f>IF(IFERROR(VLOOKUP(A14,DATA_KPI!$D:$H,5,FALSE),"")="",VLOOKUP(A14,DATA_KPI_PRE!$D:$H,5,FALSE),VLOOKUP(A14,DATA_KPI!$D:$H,5,FALSE))</f>
        <v>S10</v>
      </c>
      <c r="C14" s="101">
        <f>IFERROR(VLOOKUP(_xlfn.CONCAT($C$3,"_",B14,"_",$C$2,"_",Parámetros!$C$6),DATA_KPI!$A:$H,6,FALSE),0)</f>
        <v>10271152.879999995</v>
      </c>
      <c r="D14" s="101">
        <f>IFERROR(VLOOKUP(_xlfn.CONCAT($D$3,"_",B14,"_",$C$2,"_",Parámetros!$C$6),DATA_KPI!A:H,6,FALSE),0)</f>
        <v>11624834.060000002</v>
      </c>
      <c r="E14" s="102">
        <f>IFERROR(+(D14/C14)-1,0)</f>
        <v>0.13179447291023161</v>
      </c>
      <c r="F14" s="101">
        <f>IFERROR(VLOOKUP(_xlfn.CONCAT($D$3,"_",B14,"_",$C$2,"_",Parámetros!$C$6),DATA_KPI_PRE!$A:$F,6,FALSE),0)</f>
        <v>13330190.413495416</v>
      </c>
      <c r="G14" s="102">
        <f>IFERROR(+(D14/F14)-1,0)</f>
        <v>-0.12793188248600851</v>
      </c>
      <c r="H14" s="134"/>
      <c r="I14" s="121">
        <f>IFERROR(VLOOKUP(_xlfn.CONCAT($I$3,"_",B14,"_",$I$2,"_",Parámetros!$C$6),DATA_KPI!$A:$H,6,FALSE),0)</f>
        <v>7379897.3099999949</v>
      </c>
      <c r="J14" s="121">
        <f>IFERROR(VLOOKUP(_xlfn.CONCAT($J$3,"_",B14,"_",$I$2,"_",Parámetros!$C$6),DATA_KPI!$A:$H,6,FALSE),0)</f>
        <v>8423304.0199999996</v>
      </c>
      <c r="K14" s="122">
        <f>IFERROR(+(J14/I14)-1,0)</f>
        <v>0.14138499035564567</v>
      </c>
      <c r="L14" s="123">
        <f>IFERROR(VLOOKUP(_xlfn.CONCAT($J$3,"_",B14,"_",$I$2,"_",Parámetros!$C$6),DATA_KPI_PRE!A:F,6,FALSE),0)</f>
        <v>9624031.3687827364</v>
      </c>
      <c r="M14" s="102">
        <f>IFERROR(+(J14/L14)-1,0)</f>
        <v>-0.12476344920045779</v>
      </c>
      <c r="N14" s="4"/>
      <c r="O14" s="121">
        <f>IFERROR(VLOOKUP(_xlfn.CONCAT($O$3,"_",B14,"_",$O$2,"_",Parámetros!$C$6),DATA_KPI!$A:$H,6,FALSE),0)</f>
        <v>2618176.7900000005</v>
      </c>
      <c r="P14" s="121">
        <f>IFERROR(VLOOKUP(_xlfn.CONCAT($P$3,"_",B14,"_",$O$2,"_",Parámetros!$C$6),DATA_KPI!$A:$H,6,FALSE),0)</f>
        <v>3146879.0100000044</v>
      </c>
      <c r="Q14" s="122">
        <f>IFERROR(+(P14/O14)-1,0)</f>
        <v>0.20193526350831492</v>
      </c>
      <c r="R14" s="123">
        <f>IFERROR(VLOOKUP(_xlfn.CONCAT($P$3,"_",B14,"_",$O$2,"_",Parámetros!$C$6),DATA_KPI_PRE!A:F,6,FALSE),0)</f>
        <v>3294428.8968335022</v>
      </c>
      <c r="S14" s="102">
        <f>IFERROR(+(P14/R14)-1,0)</f>
        <v>-4.4787698097026096E-2</v>
      </c>
      <c r="U14" s="121">
        <f>IFERROR(VLOOKUP(_xlfn.CONCAT($U$3,"_",B14,"_",$U$2,"_",Parámetros!$C$6),DATA_KPI!$A:$H,6,FALSE),0)</f>
        <v>273078.78000000003</v>
      </c>
      <c r="V14" s="121">
        <f>IFERROR(VLOOKUP(_xlfn.CONCAT($V$3,"_",B14,"_",$U$2,"_",Parámetros!$C$6),DATA_KPI!$A:$H,6,FALSE),0)</f>
        <v>54651.03</v>
      </c>
      <c r="W14" s="122">
        <f>IFERROR(+(V14/U14)-1,0)</f>
        <v>-0.79987082848400015</v>
      </c>
      <c r="X14" s="123">
        <f>IFERROR(VLOOKUP(_xlfn.CONCAT($V$3,"_",B14,"_",$U$2,"_",Parámetros!$C$6),DATA_KPI_PRE!A:F,6,FALSE),0)</f>
        <v>411730.14787917852</v>
      </c>
      <c r="Y14" s="102">
        <f>IFERROR(+(V14/X14)-1,0)</f>
        <v>-0.86726492999964322</v>
      </c>
      <c r="Z14" s="5"/>
      <c r="AA14" s="121">
        <f>IFERROR(VLOOKUP(_xlfn.CONCAT($AA$3,"_",B14,"_",$AA$2,"_",Parámetros!$C$6),DATA_KPI!$A:$H,6,FALSE),0)</f>
        <v>0</v>
      </c>
      <c r="AB14" s="121">
        <f>IFERROR(VLOOKUP(_xlfn.CONCAT($AB$3,"_",B14,"_",$AA$2,"_",Parámetros!$C$6),DATA_KPI!$A:$H,6,FALSE),0)</f>
        <v>0</v>
      </c>
      <c r="AC14" s="122">
        <f>IFERROR(+(AB14/AA14)-1,0)</f>
        <v>0</v>
      </c>
      <c r="AD14" s="123">
        <f>IFERROR(VLOOKUP(_xlfn.CONCAT($AB$3,"_",B14,"_",$AA$2,"_",Parámetros!$C$6),DATA_KPI_PRE!A:F,6,FALSE),0)</f>
        <v>0</v>
      </c>
      <c r="AE14" s="102">
        <f>IFERROR(+(AB14/AD14)-1,0)</f>
        <v>0</v>
      </c>
      <c r="AF14" s="4"/>
      <c r="AG14" s="121">
        <f>IFERROR(VLOOKUP(_xlfn.CONCAT($AG$3,"_",B14,"_",$AG$2,"_",Parámetros!$C$6),DATA_KPI!$A:$H,6,FALSE),0)</f>
        <v>0</v>
      </c>
      <c r="AH14" s="121">
        <f>IFERROR(VLOOKUP(_xlfn.CONCAT($AH$3,"_",B14,"_",$AG$2,"_",Parámetros!$C$6),DATA_KPI!$A:$H,6,FALSE),0)</f>
        <v>0</v>
      </c>
      <c r="AI14" s="122">
        <f>IFERROR(+(AH14/AG14)-1,0)</f>
        <v>0</v>
      </c>
      <c r="AJ14" s="123">
        <f>IFERROR(VLOOKUP(_xlfn.CONCAT($AH$3,"_",B14,"_",$AG$2,"_",Parámetros!$C$6),DATA_KPI_PRE!A:F,6,FALSE),0)</f>
        <v>0</v>
      </c>
      <c r="AK14" s="102">
        <f>IFERROR(+(AH14/AJ14)-1,0)</f>
        <v>0</v>
      </c>
      <c r="AL14" s="5"/>
      <c r="AM14" s="121">
        <f>IFERROR(VLOOKUP(_xlfn.CONCAT($AM$3,"_",B14,"_",$AM$2,"_",Parámetros!$C$6),DATA_KPI!$A:$H,6,FALSE),0)</f>
        <v>0</v>
      </c>
      <c r="AN14" s="121">
        <f>IFERROR(VLOOKUP(_xlfn.CONCAT($AN$3,"_",B14,"_",$AM$2,"_",Parámetros!$C$6),DATA_KPI!$A:$H,6,FALSE),0)</f>
        <v>0</v>
      </c>
      <c r="AO14" s="122">
        <f>IFERROR(+AN14/AM14,0)</f>
        <v>0</v>
      </c>
      <c r="AP14" s="123">
        <f>IFERROR(VLOOKUP(_xlfn.CONCAT($AN$3,"_",B14,"_",$AM$2,"_",Parámetros!$C$6),DATA_KPI_PRE!A:F,6,FALSE),0)</f>
        <v>0</v>
      </c>
      <c r="AQ14" s="102">
        <f>IFERROR(+(AN14/AP14)-1,0)</f>
        <v>0</v>
      </c>
      <c r="AS14" s="121">
        <f t="shared" si="21"/>
        <v>0</v>
      </c>
      <c r="AT14" s="121">
        <f t="shared" si="22"/>
        <v>0</v>
      </c>
      <c r="AU14" s="122">
        <f>IFERROR(+AT14/AS14,0)</f>
        <v>0</v>
      </c>
      <c r="AV14" s="121">
        <f t="shared" si="20"/>
        <v>0</v>
      </c>
      <c r="AW14" s="102">
        <f>IFERROR(+(AT14/AV14)-1,0)</f>
        <v>0</v>
      </c>
      <c r="AX14" s="132"/>
    </row>
    <row r="15" spans="1:50" ht="14.4" collapsed="1" x14ac:dyDescent="0.3">
      <c r="A15" s="104" t="s">
        <v>2187</v>
      </c>
      <c r="B15" s="105"/>
      <c r="C15" s="106">
        <f>+C14+C13+C12</f>
        <v>58397710.650000036</v>
      </c>
      <c r="D15" s="106">
        <f t="shared" ref="D15:F15" si="23">+D14+D13+D12</f>
        <v>53503163.330000013</v>
      </c>
      <c r="E15" s="107">
        <f>IFERROR(+(D15/C15)-1,0)</f>
        <v>-8.3814027391157953E-2</v>
      </c>
      <c r="F15" s="106">
        <f t="shared" si="23"/>
        <v>59903410.892559409</v>
      </c>
      <c r="G15" s="107">
        <f>IFERROR(+(D15/F15)-1,0)</f>
        <v>-0.1068427902050294</v>
      </c>
      <c r="H15" s="133"/>
      <c r="I15" s="106">
        <f>+I14+I13+I12</f>
        <v>40859583.720000044</v>
      </c>
      <c r="J15" s="106">
        <f t="shared" ref="J15" si="24">+J14+J13+J12</f>
        <v>38537460.770000026</v>
      </c>
      <c r="K15" s="107">
        <f>IFERROR(+(J15/I15)-1,0)</f>
        <v>-5.6831781887767496E-2</v>
      </c>
      <c r="L15" s="106">
        <f t="shared" ref="L15" si="25">+L14+L13+L12</f>
        <v>40539136.358473092</v>
      </c>
      <c r="M15" s="107">
        <f>IFERROR(+(J15/L15)-1,0)</f>
        <v>-4.9376374740028095E-2</v>
      </c>
      <c r="N15" s="3"/>
      <c r="O15" s="106">
        <f>+O14+O13+O12</f>
        <v>13010374.450000001</v>
      </c>
      <c r="P15" s="106">
        <f t="shared" ref="P15" si="26">+P14+P13+P12</f>
        <v>12511870.980000002</v>
      </c>
      <c r="Q15" s="107">
        <f>IFERROR(+(P15/O15)-1,0)</f>
        <v>-3.8315843399879923E-2</v>
      </c>
      <c r="R15" s="106">
        <f t="shared" ref="R15" si="27">+R14+R13+R12</f>
        <v>14234445.036162635</v>
      </c>
      <c r="S15" s="107">
        <f>IFERROR(+(P15/R15)-1,0)</f>
        <v>-0.12101448646479929</v>
      </c>
      <c r="U15" s="106">
        <f>+U14+U13+U12</f>
        <v>3668622.06</v>
      </c>
      <c r="V15" s="106">
        <f t="shared" ref="V15" si="28">+V14+V13+V12</f>
        <v>1858225.2900000005</v>
      </c>
      <c r="W15" s="107">
        <f>IFERROR(+(V15/U15)-1,0)</f>
        <v>-0.49348140538630447</v>
      </c>
      <c r="X15" s="106">
        <f t="shared" ref="X15" si="29">+X14+X13+X12</f>
        <v>3961269.6554832198</v>
      </c>
      <c r="Y15" s="107">
        <f>IFERROR(+(V15/X15)-1,0)</f>
        <v>-0.53090159175913942</v>
      </c>
      <c r="Z15" s="3"/>
      <c r="AA15" s="106">
        <f>+AA14+AA13+AA12</f>
        <v>0</v>
      </c>
      <c r="AB15" s="106">
        <f t="shared" ref="AB15" si="30">+AB14+AB13+AB12</f>
        <v>0</v>
      </c>
      <c r="AC15" s="107">
        <f>IFERROR(+(AB15/AA15)-1,0)</f>
        <v>0</v>
      </c>
      <c r="AD15" s="106">
        <f t="shared" ref="AD15" si="31">+AD14+AD13+AD12</f>
        <v>0</v>
      </c>
      <c r="AE15" s="107">
        <f>IFERROR(+(AB15/AD15)-1,0)</f>
        <v>0</v>
      </c>
      <c r="AF15" s="3"/>
      <c r="AG15" s="106">
        <f>+AG14+AG13+AG12</f>
        <v>765351.67000000016</v>
      </c>
      <c r="AH15" s="106">
        <f t="shared" ref="AH15" si="32">+AH14+AH13+AH12</f>
        <v>459366.47000000003</v>
      </c>
      <c r="AI15" s="107">
        <f>IFERROR(+(AH15/AG15)-1,0)</f>
        <v>-0.399796867236208</v>
      </c>
      <c r="AJ15" s="106">
        <f t="shared" ref="AJ15" si="33">+AJ14+AJ13+AJ12</f>
        <v>1034549.5434304314</v>
      </c>
      <c r="AK15" s="107">
        <f>IFERROR(+(AH15/AJ15)-1,0)</f>
        <v>-0.55597441135897596</v>
      </c>
      <c r="AL15" s="3"/>
      <c r="AM15" s="106">
        <f>+AM14+AM13+AM12</f>
        <v>93778.75</v>
      </c>
      <c r="AN15" s="106">
        <f t="shared" ref="AN15" si="34">+AN14+AN13+AN12</f>
        <v>136239.82</v>
      </c>
      <c r="AO15" s="107">
        <f>IFERROR(+(AN15/AM15)-1,0)</f>
        <v>0.45277922770350432</v>
      </c>
      <c r="AP15" s="106">
        <f t="shared" ref="AP15" si="35">+AP14+AP13+AP12</f>
        <v>134010.29901004178</v>
      </c>
      <c r="AQ15" s="107">
        <f>IFERROR(+(AN15/AP15)-1,0)</f>
        <v>1.6636937656494322E-2</v>
      </c>
      <c r="AS15" s="106">
        <f>+AS14+AS13+AS12</f>
        <v>859130.42000000016</v>
      </c>
      <c r="AT15" s="106">
        <f t="shared" ref="AT15" si="36">+AT14+AT13+AT12</f>
        <v>595606.29</v>
      </c>
      <c r="AU15" s="107">
        <f>IFERROR(+(AT15/AS15)-1,0)</f>
        <v>-0.30673355740331032</v>
      </c>
      <c r="AV15" s="106">
        <f t="shared" ref="AV15" si="37">+AV14+AV13+AV12</f>
        <v>1168559.8424404731</v>
      </c>
      <c r="AW15" s="107">
        <f>IFERROR(+(AT15/AV15)-1,0)</f>
        <v>-0.49030741227928132</v>
      </c>
      <c r="AX15" s="132"/>
    </row>
    <row r="16" spans="1:50" ht="14.4" hidden="1" outlineLevel="1" x14ac:dyDescent="0.3">
      <c r="A16" s="12"/>
      <c r="B16" s="12"/>
      <c r="C16" s="3"/>
      <c r="D16" s="3"/>
      <c r="E16" s="3"/>
      <c r="F16" s="3"/>
      <c r="G16" s="3"/>
      <c r="H16" s="13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S16" s="3"/>
      <c r="AT16" s="3"/>
      <c r="AU16" s="3"/>
      <c r="AV16" s="3"/>
      <c r="AW16" s="3"/>
      <c r="AX16" s="132"/>
    </row>
    <row r="17" spans="1:50" ht="14.4" hidden="1" outlineLevel="1" x14ac:dyDescent="0.3">
      <c r="A17" s="100" t="s">
        <v>15</v>
      </c>
      <c r="B17" s="100" t="str">
        <f>IF(IFERROR(VLOOKUP(A17,DATA_KPI!$D:$H,5,FALSE),"")="",VLOOKUP(A17,DATA_KPI_PRE!$D:$H,5,FALSE),VLOOKUP(A17,DATA_KPI!$D:$H,5,FALSE))</f>
        <v>S72</v>
      </c>
      <c r="C17" s="101">
        <f>IFERROR(VLOOKUP(_xlfn.CONCAT($C$3,"_",B17,"_",$C$2,"_",Parámetros!$C$6),DATA_KPI!$A:$H,6,FALSE),0)</f>
        <v>19719492.750000011</v>
      </c>
      <c r="D17" s="101">
        <f>IFERROR(VLOOKUP(_xlfn.CONCAT($D$3,"_",B17,"_",$C$2,"_",Parámetros!$C$6),DATA_KPI!A:H,6,FALSE),0)</f>
        <v>18100321.869999975</v>
      </c>
      <c r="E17" s="102">
        <f>IFERROR(+(D17/C17)-1,0)</f>
        <v>-8.2110168883529511E-2</v>
      </c>
      <c r="F17" s="101">
        <f>IFERROR(VLOOKUP(_xlfn.CONCAT($D$3,"_",B17,"_",$C$2,"_",Parámetros!$C$6),DATA_KPI_PRE!$A:$F,6,FALSE),0)</f>
        <v>18223654.116797365</v>
      </c>
      <c r="G17" s="102">
        <f>IFERROR(+(D17/F17)-1,0)</f>
        <v>-6.767701252829994E-3</v>
      </c>
      <c r="H17" s="134"/>
      <c r="I17" s="121">
        <f>IFERROR(VLOOKUP(_xlfn.CONCAT($I$3,"_",B17,"_",$I$2,"_",Parámetros!$C$6),DATA_KPI!$A:$H,6,FALSE),0)</f>
        <v>16710694.860000011</v>
      </c>
      <c r="J17" s="121">
        <f>IFERROR(VLOOKUP(_xlfn.CONCAT($J$3,"_",B17,"_",$I$2,"_",Parámetros!$C$6),DATA_KPI!$A:$H,6,FALSE),0)</f>
        <v>14499036.569999976</v>
      </c>
      <c r="K17" s="122">
        <f>IFERROR(+(J17/I17)-1,0)</f>
        <v>-0.13234986986053032</v>
      </c>
      <c r="L17" s="123">
        <f>IFERROR(VLOOKUP(_xlfn.CONCAT($J$3,"_",B17,"_",$I$2,"_",Parámetros!$C$6),DATA_KPI_PRE!A:F,6,FALSE),0)</f>
        <v>15115995.546348462</v>
      </c>
      <c r="M17" s="102">
        <f>IFERROR(+(J17/L17)-1,0)</f>
        <v>-4.0814974736978038E-2</v>
      </c>
      <c r="N17" s="4"/>
      <c r="O17" s="121">
        <f>IFERROR(VLOOKUP(_xlfn.CONCAT($O$3,"_",B17,"_",$O$2,"_",Parámetros!$C$6),DATA_KPI!$A:$H,6,FALSE),0)</f>
        <v>2226017.3899999997</v>
      </c>
      <c r="P17" s="121">
        <f>IFERROR(VLOOKUP(_xlfn.CONCAT($P$3,"_",B17,"_",$O$2,"_",Parámetros!$C$6),DATA_KPI!$A:$H,6,FALSE),0)</f>
        <v>2535450.5499999998</v>
      </c>
      <c r="Q17" s="122">
        <f>IFERROR(+(P17/O17)-1,0)</f>
        <v>0.13900752141024397</v>
      </c>
      <c r="R17" s="123">
        <f>IFERROR(VLOOKUP(_xlfn.CONCAT($P$3,"_",B17,"_",$O$2,"_",Parámetros!$C$6),DATA_KPI_PRE!A:F,6,FALSE),0)</f>
        <v>2102922.3725778079</v>
      </c>
      <c r="S17" s="102">
        <f>IFERROR(+(P17/R17)-1,0)</f>
        <v>0.20567957384560498</v>
      </c>
      <c r="U17" s="121">
        <f>IFERROR(VLOOKUP(_xlfn.CONCAT($U$3,"_",B17,"_",$U$2,"_",Parámetros!$C$6),DATA_KPI!$A:$H,6,FALSE),0)</f>
        <v>782780.49999999988</v>
      </c>
      <c r="V17" s="121">
        <f>IFERROR(VLOOKUP(_xlfn.CONCAT($V$3,"_",B17,"_",$U$2,"_",Parámetros!$C$6),DATA_KPI!$A:$H,6,FALSE),0)</f>
        <v>1065834.75</v>
      </c>
      <c r="W17" s="122">
        <f>IFERROR(+(V17/U17)-1,0)</f>
        <v>0.36160104908080903</v>
      </c>
      <c r="X17" s="123">
        <f>IFERROR(VLOOKUP(_xlfn.CONCAT($V$3,"_",B17,"_",$U$2,"_",Parámetros!$C$6),DATA_KPI_PRE!A:F,6,FALSE),0)</f>
        <v>1004736.1978710938</v>
      </c>
      <c r="Y17" s="102">
        <f>IFERROR(+(V17/X17)-1,0)</f>
        <v>6.0810541372318561E-2</v>
      </c>
      <c r="Z17" s="5"/>
      <c r="AA17" s="121">
        <f>IFERROR(VLOOKUP(_xlfn.CONCAT($AA$3,"_",B17,"_",$AA$2,"_",Parámetros!$C$6),DATA_KPI!$A:$H,6,FALSE),0)</f>
        <v>0</v>
      </c>
      <c r="AB17" s="121">
        <f>IFERROR(VLOOKUP(_xlfn.CONCAT($AB$3,"_",B17,"_",$AA$2,"_",Parámetros!$C$6),DATA_KPI!$A:$H,6,FALSE),0)</f>
        <v>0</v>
      </c>
      <c r="AC17" s="122">
        <f>IFERROR(+(AB17/AA17)-1,0)</f>
        <v>0</v>
      </c>
      <c r="AD17" s="123">
        <f>IFERROR(VLOOKUP(_xlfn.CONCAT($AB$3,"_",B17,"_",$AA$2,"_",Parámetros!$C$6),DATA_KPI_PRE!A:F,6,FALSE),0)</f>
        <v>0</v>
      </c>
      <c r="AE17" s="102">
        <f>IFERROR(+(AB17/AD17)-1,0)</f>
        <v>0</v>
      </c>
      <c r="AF17" s="4"/>
      <c r="AG17" s="121">
        <f>IFERROR(VLOOKUP(_xlfn.CONCAT($AG$3,"_",B17,"_",$AG$2,"_",Parámetros!$C$6),DATA_KPI!$A:$H,6,FALSE),0)</f>
        <v>0</v>
      </c>
      <c r="AH17" s="121">
        <f>IFERROR(VLOOKUP(_xlfn.CONCAT($AH$3,"_",B17,"_",$AG$2,"_",Parámetros!$C$6),DATA_KPI!$A:$H,6,FALSE),0)</f>
        <v>0</v>
      </c>
      <c r="AI17" s="122">
        <f>IFERROR(+(AH17/AG17)-1,0)</f>
        <v>0</v>
      </c>
      <c r="AJ17" s="123">
        <f>IFERROR(VLOOKUP(_xlfn.CONCAT($AH$3,"_",B17,"_",$AG$2,"_",Parámetros!$C$6),DATA_KPI_PRE!A:F,6,FALSE),0)</f>
        <v>0</v>
      </c>
      <c r="AK17" s="102">
        <f>IFERROR(+(AH17/AJ17)-1,0)</f>
        <v>0</v>
      </c>
      <c r="AL17" s="5"/>
      <c r="AM17" s="121">
        <f>IFERROR(VLOOKUP(_xlfn.CONCAT($AM$3,"_",B17,"_",$AM$2,"_",Parámetros!$C$6),DATA_KPI!$A:$H,6,FALSE),0)</f>
        <v>0</v>
      </c>
      <c r="AN17" s="121">
        <f>IFERROR(VLOOKUP(_xlfn.CONCAT($AN$3,"_",B17,"_",$AM$2,"_",Parámetros!$C$6),DATA_KPI!$A:$H,6,FALSE),0)</f>
        <v>0</v>
      </c>
      <c r="AO17" s="122">
        <f>IFERROR(+AN17/AM17,0)</f>
        <v>0</v>
      </c>
      <c r="AP17" s="123">
        <f>IFERROR(VLOOKUP(_xlfn.CONCAT($AN$3,"_",B17,"_",$AM$2,"_",Parámetros!$C$6),DATA_KPI_PRE!A:F,6,FALSE),0)</f>
        <v>0</v>
      </c>
      <c r="AQ17" s="102">
        <f>IFERROR(+(AN17/AP17)-1,0)</f>
        <v>0</v>
      </c>
      <c r="AS17" s="121">
        <f t="shared" ref="AS17" si="38">+AM17+AG17</f>
        <v>0</v>
      </c>
      <c r="AT17" s="121">
        <f t="shared" ref="AT17" si="39">+AN17+AH17</f>
        <v>0</v>
      </c>
      <c r="AU17" s="122">
        <f>IFERROR(+AT17/AS17,0)</f>
        <v>0</v>
      </c>
      <c r="AV17" s="121">
        <f t="shared" ref="AV17:AV20" si="40">+AP17+AJ17</f>
        <v>0</v>
      </c>
      <c r="AW17" s="102">
        <f>IFERROR(+(AT17/AV17)-1,0)</f>
        <v>0</v>
      </c>
      <c r="AX17" s="132"/>
    </row>
    <row r="18" spans="1:50" ht="14.4" hidden="1" outlineLevel="1" x14ac:dyDescent="0.3">
      <c r="A18" s="100" t="s">
        <v>13</v>
      </c>
      <c r="B18" s="100" t="str">
        <f>IF(IFERROR(VLOOKUP(A18,DATA_KPI!$D:$H,5,FALSE),"")="",VLOOKUP(A18,DATA_KPI_PRE!$D:$H,5,FALSE),VLOOKUP(A18,DATA_KPI!$D:$H,5,FALSE))</f>
        <v>S13</v>
      </c>
      <c r="C18" s="101">
        <f>IFERROR(VLOOKUP(_xlfn.CONCAT($C$3,"_",B18,"_",$C$2,"_",Parámetros!$C$6),DATA_KPI!$A:$H,6,FALSE),0)</f>
        <v>14434484.679999996</v>
      </c>
      <c r="D18" s="101">
        <f>IFERROR(VLOOKUP(_xlfn.CONCAT($D$3,"_",B18,"_",$C$2,"_",Parámetros!$C$6),DATA_KPI!A:H,6,FALSE),0)</f>
        <v>13567276.970000003</v>
      </c>
      <c r="E18" s="102">
        <f>IFERROR(+(D18/C18)-1,0)</f>
        <v>-6.0078882566661496E-2</v>
      </c>
      <c r="F18" s="101">
        <f>IFERROR(VLOOKUP(_xlfn.CONCAT($D$3,"_",B18,"_",$C$2,"_",Parámetros!$C$6),DATA_KPI_PRE!$A:$F,6,FALSE),0)</f>
        <v>14445055.322192144</v>
      </c>
      <c r="G18" s="102">
        <f>IFERROR(+(D18/F18)-1,0)</f>
        <v>-6.0766700619249159E-2</v>
      </c>
      <c r="H18" s="134"/>
      <c r="I18" s="121">
        <f>IFERROR(VLOOKUP(_xlfn.CONCAT($I$3,"_",B18,"_",$I$2,"_",Parámetros!$C$6),DATA_KPI!$A:$H,6,FALSE),0)</f>
        <v>6589034.9500000048</v>
      </c>
      <c r="J18" s="121">
        <f>IFERROR(VLOOKUP(_xlfn.CONCAT($J$3,"_",B18,"_",$I$2,"_",Parámetros!$C$6),DATA_KPI!$A:$H,6,FALSE),0)</f>
        <v>5309996.8800000027</v>
      </c>
      <c r="K18" s="122">
        <f>IFERROR(+(J18/I18)-1,0)</f>
        <v>-0.19411614594638038</v>
      </c>
      <c r="L18" s="123">
        <f>IFERROR(VLOOKUP(_xlfn.CONCAT($J$3,"_",B18,"_",$I$2,"_",Parámetros!$C$6),DATA_KPI_PRE!A:F,6,FALSE),0)</f>
        <v>6674564.1515727341</v>
      </c>
      <c r="M18" s="102">
        <f>IFERROR(+(J18/L18)-1,0)</f>
        <v>-0.20444290302479107</v>
      </c>
      <c r="N18" s="4"/>
      <c r="O18" s="121">
        <f>IFERROR(VLOOKUP(_xlfn.CONCAT($O$3,"_",B18,"_",$O$2,"_",Parámetros!$C$6),DATA_KPI!$A:$H,6,FALSE),0)</f>
        <v>6272369.1299999924</v>
      </c>
      <c r="P18" s="121">
        <f>IFERROR(VLOOKUP(_xlfn.CONCAT($P$3,"_",B18,"_",$O$2,"_",Parámetros!$C$6),DATA_KPI!$A:$H,6,FALSE),0)</f>
        <v>5944630.8300000001</v>
      </c>
      <c r="Q18" s="122">
        <f>IFERROR(+(P18/O18)-1,0)</f>
        <v>-5.2251118071552805E-2</v>
      </c>
      <c r="R18" s="123">
        <f>IFERROR(VLOOKUP(_xlfn.CONCAT($P$3,"_",B18,"_",$O$2,"_",Parámetros!$C$6),DATA_KPI_PRE!A:F,6,FALSE),0)</f>
        <v>6238807.7196838493</v>
      </c>
      <c r="S18" s="102">
        <f>IFERROR(+(P18/R18)-1,0)</f>
        <v>-4.7152741822079514E-2</v>
      </c>
      <c r="U18" s="121">
        <f>IFERROR(VLOOKUP(_xlfn.CONCAT($U$3,"_",B18,"_",$U$2,"_",Parámetros!$C$6),DATA_KPI!$A:$H,6,FALSE),0)</f>
        <v>770192.53999999992</v>
      </c>
      <c r="V18" s="121">
        <f>IFERROR(VLOOKUP(_xlfn.CONCAT($V$3,"_",B18,"_",$U$2,"_",Parámetros!$C$6),DATA_KPI!$A:$H,6,FALSE),0)</f>
        <v>1202525.4200000004</v>
      </c>
      <c r="W18" s="122">
        <f>IFERROR(+(V18/U18)-1,0)</f>
        <v>0.56133091083951614</v>
      </c>
      <c r="X18" s="123">
        <f>IFERROR(VLOOKUP(_xlfn.CONCAT($V$3,"_",B18,"_",$U$2,"_",Parámetros!$C$6),DATA_KPI_PRE!A:F,6,FALSE),0)</f>
        <v>570090.33268619911</v>
      </c>
      <c r="Y18" s="102">
        <f>IFERROR(+(V18/X18)-1,0)</f>
        <v>1.1093594313971979</v>
      </c>
      <c r="Z18" s="4"/>
      <c r="AA18" s="121">
        <f>IFERROR(VLOOKUP(_xlfn.CONCAT($AA$3,"_",B18,"_",$AA$2,"_",Parámetros!$C$6),DATA_KPI!$A:$H,6,FALSE),0)</f>
        <v>156716.84000000003</v>
      </c>
      <c r="AB18" s="121">
        <f>IFERROR(VLOOKUP(_xlfn.CONCAT($AB$3,"_",B18,"_",$AA$2,"_",Parámetros!$C$6),DATA_KPI!$A:$H,6,FALSE),0)</f>
        <v>698858.70999999973</v>
      </c>
      <c r="AC18" s="122">
        <f>IFERROR(+(AB18/AA18)-1,0)</f>
        <v>3.4593721389481793</v>
      </c>
      <c r="AD18" s="123">
        <f>IFERROR(VLOOKUP(_xlfn.CONCAT($AB$3,"_",B18,"_",$AA$2,"_",Parámetros!$C$6),DATA_KPI_PRE!A:F,6,FALSE),0)</f>
        <v>340125.19368192652</v>
      </c>
      <c r="AE18" s="102">
        <f>IFERROR(+(AB18/AD18)-1,0)</f>
        <v>1.0547102154789174</v>
      </c>
      <c r="AF18" s="4"/>
      <c r="AG18" s="121">
        <f>IFERROR(VLOOKUP(_xlfn.CONCAT($AG$3,"_",B18,"_",$AG$2,"_",Parámetros!$C$6),DATA_KPI!$A:$H,6,FALSE),0)</f>
        <v>628834.93999999994</v>
      </c>
      <c r="AH18" s="121">
        <f>IFERROR(VLOOKUP(_xlfn.CONCAT($AH$3,"_",B18,"_",$AG$2,"_",Parámetros!$C$6),DATA_KPI!$A:$H,6,FALSE),0)</f>
        <v>319495.65999999997</v>
      </c>
      <c r="AI18" s="122">
        <f>IFERROR(+(AH18/AG18)-1,0)</f>
        <v>-0.49192444681906511</v>
      </c>
      <c r="AJ18" s="123">
        <f>IFERROR(VLOOKUP(_xlfn.CONCAT($AH$3,"_",B18,"_",$AG$2,"_",Parámetros!$C$6),DATA_KPI_PRE!A:F,6,FALSE),0)</f>
        <v>602978.82465739117</v>
      </c>
      <c r="AK18" s="102">
        <f>IFERROR(+(AH18/AJ18)-1,0)</f>
        <v>-0.47013784409173009</v>
      </c>
      <c r="AL18" s="5"/>
      <c r="AM18" s="121">
        <f>IFERROR(VLOOKUP(_xlfn.CONCAT($AM$3,"_",B18,"_",$AM$2,"_",Parámetros!$C$6),DATA_KPI!$A:$H,6,FALSE),0)</f>
        <v>17336.28</v>
      </c>
      <c r="AN18" s="121">
        <f>IFERROR(VLOOKUP(_xlfn.CONCAT($AN$3,"_",B18,"_",$AM$2,"_",Parámetros!$C$6),DATA_KPI!$A:$H,6,FALSE),0)</f>
        <v>91769.47</v>
      </c>
      <c r="AO18" s="122">
        <f>IFERROR(+AN18/AM18,0)</f>
        <v>5.2934926062569367</v>
      </c>
      <c r="AP18" s="123">
        <f>IFERROR(VLOOKUP(_xlfn.CONCAT($AN$3,"_",B18,"_",$AM$2,"_",Parámetros!$C$6),DATA_KPI_PRE!A:F,6,FALSE),0)</f>
        <v>18489.099910043635</v>
      </c>
      <c r="AQ18" s="102">
        <f>IFERROR(+(AN18/AP18)-1,0)</f>
        <v>3.9634363190470436</v>
      </c>
      <c r="AS18" s="121">
        <f t="shared" ref="AS18:AS20" si="41">+AM18+AG18</f>
        <v>646171.22</v>
      </c>
      <c r="AT18" s="121">
        <f t="shared" ref="AT18:AT20" si="42">+AN18+AH18</f>
        <v>411265.13</v>
      </c>
      <c r="AU18" s="122">
        <f>IFERROR(+AT18/AS18,0)</f>
        <v>0.6364646354877892</v>
      </c>
      <c r="AV18" s="121">
        <f t="shared" si="40"/>
        <v>621467.92456743482</v>
      </c>
      <c r="AW18" s="102">
        <f>IFERROR(+(AT18/AV18)-1,0)</f>
        <v>-0.33823595113737193</v>
      </c>
      <c r="AX18" s="132"/>
    </row>
    <row r="19" spans="1:50" ht="14.4" hidden="1" outlineLevel="1" x14ac:dyDescent="0.3">
      <c r="A19" s="100" t="s">
        <v>18</v>
      </c>
      <c r="B19" s="100" t="str">
        <f>IF(IFERROR(VLOOKUP(A19,DATA_KPI!$D:$H,5,FALSE),"")="",VLOOKUP(A19,DATA_KPI_PRE!$D:$H,5,FALSE),VLOOKUP(A19,DATA_KPI!$D:$H,5,FALSE))</f>
        <v>S27</v>
      </c>
      <c r="C19" s="101">
        <f>IFERROR(VLOOKUP(_xlfn.CONCAT($C$3,"_",B19,"_",$C$2,"_",Parámetros!$C$6),DATA_KPI!$A:$H,6,FALSE),0)</f>
        <v>9926730.7199999988</v>
      </c>
      <c r="D19" s="101">
        <f>IFERROR(VLOOKUP(_xlfn.CONCAT($D$3,"_",B19,"_",$C$2,"_",Parámetros!$C$6),DATA_KPI!A:H,6,FALSE),0)</f>
        <v>9337944.8200000096</v>
      </c>
      <c r="E19" s="102">
        <f>IFERROR(+(D19/C19)-1,0)</f>
        <v>-5.9313173350590165E-2</v>
      </c>
      <c r="F19" s="101">
        <f>IFERROR(VLOOKUP(_xlfn.CONCAT($D$3,"_",B19,"_",$C$2,"_",Parámetros!$C$6),DATA_KPI_PRE!$A:$F,6,FALSE),0)</f>
        <v>10484599.60461686</v>
      </c>
      <c r="G19" s="102">
        <f>IFERROR(+(D19/F19)-1,0)</f>
        <v>-0.10936562461688326</v>
      </c>
      <c r="H19" s="134"/>
      <c r="I19" s="121">
        <f>IFERROR(VLOOKUP(_xlfn.CONCAT($I$3,"_",B19,"_",$I$2,"_",Parámetros!$C$6),DATA_KPI!$A:$H,6,FALSE),0)</f>
        <v>6234090.1700000018</v>
      </c>
      <c r="J19" s="121">
        <f>IFERROR(VLOOKUP(_xlfn.CONCAT($J$3,"_",B19,"_",$I$2,"_",Parámetros!$C$6),DATA_KPI!$A:$H,6,FALSE),0)</f>
        <v>6324439.0300000077</v>
      </c>
      <c r="K19" s="122">
        <f>IFERROR(+(J19/I19)-1,0)</f>
        <v>1.4492709847988339E-2</v>
      </c>
      <c r="L19" s="123">
        <f>IFERROR(VLOOKUP(_xlfn.CONCAT($J$3,"_",B19,"_",$I$2,"_",Parámetros!$C$6),DATA_KPI_PRE!A:F,6,FALSE),0)</f>
        <v>6714576.5568105951</v>
      </c>
      <c r="M19" s="102">
        <f>IFERROR(+(J19/L19)-1,0)</f>
        <v>-5.810307225030753E-2</v>
      </c>
      <c r="N19" s="4"/>
      <c r="O19" s="121">
        <f>IFERROR(VLOOKUP(_xlfn.CONCAT($O$3,"_",B19,"_",$O$2,"_",Parámetros!$C$6),DATA_KPI!$A:$H,6,FALSE),0)</f>
        <v>3249839.9699999965</v>
      </c>
      <c r="P19" s="121">
        <f>IFERROR(VLOOKUP(_xlfn.CONCAT($P$3,"_",B19,"_",$O$2,"_",Parámetros!$C$6),DATA_KPI!$A:$H,6,FALSE),0)</f>
        <v>2801887.850000002</v>
      </c>
      <c r="Q19" s="122">
        <f>IFERROR(+(P19/O19)-1,0)</f>
        <v>-0.13783820869185603</v>
      </c>
      <c r="R19" s="123">
        <f>IFERROR(VLOOKUP(_xlfn.CONCAT($P$3,"_",B19,"_",$O$2,"_",Parámetros!$C$6),DATA_KPI_PRE!A:F,6,FALSE),0)</f>
        <v>3434765.9031175398</v>
      </c>
      <c r="S19" s="102">
        <f>IFERROR(+(P19/R19)-1,0)</f>
        <v>-0.18425653187692081</v>
      </c>
      <c r="U19" s="121">
        <f>IFERROR(VLOOKUP(_xlfn.CONCAT($U$3,"_",B19,"_",$U$2,"_",Parámetros!$C$6),DATA_KPI!$A:$H,6,FALSE),0)</f>
        <v>163829.63</v>
      </c>
      <c r="V19" s="121">
        <f>IFERROR(VLOOKUP(_xlfn.CONCAT($V$3,"_",B19,"_",$U$2,"_",Parámetros!$C$6),DATA_KPI!$A:$H,6,FALSE),0)</f>
        <v>117147.45999999999</v>
      </c>
      <c r="W19" s="122">
        <f>IFERROR(+(V19/U19)-1,0)</f>
        <v>-0.28494338905605787</v>
      </c>
      <c r="X19" s="123">
        <f>IFERROR(VLOOKUP(_xlfn.CONCAT($V$3,"_",B19,"_",$U$2,"_",Parámetros!$C$6),DATA_KPI_PRE!A:F,6,FALSE),0)</f>
        <v>109438.39777468644</v>
      </c>
      <c r="Y19" s="102">
        <f>IFERROR(+(V19/X19)-1,0)</f>
        <v>7.0442023842354651E-2</v>
      </c>
      <c r="Z19" s="4"/>
      <c r="AA19" s="121">
        <f>IFERROR(VLOOKUP(_xlfn.CONCAT($AA$3,"_",B19,"_",$AA$2,"_",Parámetros!$C$6),DATA_KPI!$A:$H,6,FALSE),0)</f>
        <v>0</v>
      </c>
      <c r="AB19" s="121">
        <f>IFERROR(VLOOKUP(_xlfn.CONCAT($AB$3,"_",B19,"_",$AA$2,"_",Parámetros!$C$6),DATA_KPI!$A:$H,6,FALSE),0)</f>
        <v>0</v>
      </c>
      <c r="AC19" s="122">
        <f>IFERROR(+(AB19/AA19)-1,0)</f>
        <v>0</v>
      </c>
      <c r="AD19" s="123">
        <f>IFERROR(VLOOKUP(_xlfn.CONCAT($AB$3,"_",B19,"_",$AA$2,"_",Parámetros!$C$6),DATA_KPI_PRE!A:F,6,FALSE),0)</f>
        <v>0</v>
      </c>
      <c r="AE19" s="102">
        <f>IFERROR(+(AB19/AD19)-1,0)</f>
        <v>0</v>
      </c>
      <c r="AF19" s="4"/>
      <c r="AG19" s="121">
        <f>IFERROR(VLOOKUP(_xlfn.CONCAT($AG$3,"_",B19,"_",$AG$2,"_",Parámetros!$C$6),DATA_KPI!$A:$H,6,FALSE),0)</f>
        <v>265196.61</v>
      </c>
      <c r="AH19" s="121">
        <f>IFERROR(VLOOKUP(_xlfn.CONCAT($AH$3,"_",B19,"_",$AG$2,"_",Parámetros!$C$6),DATA_KPI!$A:$H,6,FALSE),0)</f>
        <v>52612.42</v>
      </c>
      <c r="AI19" s="122">
        <f>IFERROR(+(AH19/AG19)-1,0)</f>
        <v>-0.80160975662547118</v>
      </c>
      <c r="AJ19" s="123">
        <f>IFERROR(VLOOKUP(_xlfn.CONCAT($AH$3,"_",B19,"_",$AG$2,"_",Parámetros!$C$6),DATA_KPI_PRE!A:F,6,FALSE),0)</f>
        <v>199413.57744537175</v>
      </c>
      <c r="AK19" s="102">
        <f>IFERROR(+(AH19/AJ19)-1,0)</f>
        <v>-0.73616430398570587</v>
      </c>
      <c r="AL19" s="5"/>
      <c r="AM19" s="121">
        <f>IFERROR(VLOOKUP(_xlfn.CONCAT($AM$3,"_",B19,"_",$AM$2,"_",Parámetros!$C$6),DATA_KPI!$A:$H,6,FALSE),0)</f>
        <v>13774.34</v>
      </c>
      <c r="AN19" s="121">
        <f>IFERROR(VLOOKUP(_xlfn.CONCAT($AN$3,"_",B19,"_",$AM$2,"_",Parámetros!$C$6),DATA_KPI!$A:$H,6,FALSE),0)</f>
        <v>41858.06</v>
      </c>
      <c r="AO19" s="122">
        <f>IFERROR(+AN19/AM19,0)</f>
        <v>3.0388432404020809</v>
      </c>
      <c r="AP19" s="123">
        <f>IFERROR(VLOOKUP(_xlfn.CONCAT($AN$3,"_",B19,"_",$AM$2,"_",Parámetros!$C$6),DATA_KPI_PRE!A:F,6,FALSE),0)</f>
        <v>26405.169468667671</v>
      </c>
      <c r="AQ19" s="102">
        <f>IFERROR(+(AN19/AP19)-1,0)</f>
        <v>0.58522216832081697</v>
      </c>
      <c r="AS19" s="121">
        <f t="shared" si="41"/>
        <v>278970.95</v>
      </c>
      <c r="AT19" s="121">
        <f t="shared" si="42"/>
        <v>94470.48</v>
      </c>
      <c r="AU19" s="122">
        <f>IFERROR(+AT19/AS19,0)</f>
        <v>0.33863913070518631</v>
      </c>
      <c r="AV19" s="121">
        <f t="shared" si="40"/>
        <v>225818.74691403942</v>
      </c>
      <c r="AW19" s="102">
        <f>IFERROR(+(AT19/AV19)-1,0)</f>
        <v>-0.58165351065400561</v>
      </c>
      <c r="AX19" s="132"/>
    </row>
    <row r="20" spans="1:50" ht="14.4" hidden="1" outlineLevel="1" x14ac:dyDescent="0.3">
      <c r="A20" s="100" t="s">
        <v>25</v>
      </c>
      <c r="B20" s="100" t="s">
        <v>91</v>
      </c>
      <c r="C20" s="101">
        <f>IFERROR(VLOOKUP(_xlfn.CONCAT($C$3,"_",B20,"_",$C$2,"_",Parámetros!$C$6),DATA_KPI!$A:$H,6,FALSE),0)</f>
        <v>11210848.359999998</v>
      </c>
      <c r="D20" s="101">
        <f>IFERROR(VLOOKUP(_xlfn.CONCAT($D$3,"_",B20,"_",$C$2,"_",Parámetros!$C$6),DATA_KPI!A:H,6,FALSE),0)</f>
        <v>8975890.7399999965</v>
      </c>
      <c r="E20" s="102">
        <f>IFERROR(+(D20/C20)-1,0)</f>
        <v>-0.19935668989817656</v>
      </c>
      <c r="F20" s="101">
        <f>IFERROR(VLOOKUP(_xlfn.CONCAT($D$3,"_",B20,"_",$C$2,"_",Parámetros!$C$6),DATA_KPI_PRE!$A:$F,6,FALSE),0)</f>
        <v>10790744.370324187</v>
      </c>
      <c r="G20" s="102">
        <f>IFERROR(+(D20/F20)-1,0)</f>
        <v>-0.16818613879087441</v>
      </c>
      <c r="H20" s="113"/>
      <c r="I20" s="121">
        <f>IFERROR(VLOOKUP(_xlfn.CONCAT($I$3,"_",B20,"_",$I$2,"_",Parámetros!$C$6),DATA_KPI!$A:$H,6,FALSE),0)</f>
        <v>5330410.700000003</v>
      </c>
      <c r="J20" s="121">
        <f>IFERROR(VLOOKUP(_xlfn.CONCAT($J$3,"_",B20,"_",$I$2,"_",Parámetros!$C$6),DATA_KPI!$A:$H,6,FALSE),0)</f>
        <v>4861858.6499999957</v>
      </c>
      <c r="K20" s="122">
        <f>IFERROR(+(J20/I20)-1,0)</f>
        <v>-8.7901678945678019E-2</v>
      </c>
      <c r="L20" s="123">
        <f>IFERROR(VLOOKUP(_xlfn.CONCAT($J$3,"_",B20,"_",$I$2,"_",Parámetros!$C$6),DATA_KPI_PRE!A:F,6,FALSE),0)</f>
        <v>5537749.7148387097</v>
      </c>
      <c r="M20" s="102">
        <f>IFERROR(+(J20/L20)-1,0)</f>
        <v>-0.12205157322795324</v>
      </c>
      <c r="N20" s="4"/>
      <c r="O20" s="121">
        <f>IFERROR(VLOOKUP(_xlfn.CONCAT($O$3,"_",B20,"_",$O$2,"_",Parámetros!$C$6),DATA_KPI!$A:$H,6,FALSE),0)</f>
        <v>5495458.599999995</v>
      </c>
      <c r="P20" s="121">
        <f>IFERROR(VLOOKUP(_xlfn.CONCAT($P$3,"_",B20,"_",$O$2,"_",Parámetros!$C$6),DATA_KPI!$A:$H,6,FALSE),0)</f>
        <v>3776690.0300000017</v>
      </c>
      <c r="Q20" s="122">
        <f>IFERROR(+(P20/O20)-1,0)</f>
        <v>-0.31276162648190908</v>
      </c>
      <c r="R20" s="123">
        <f>IFERROR(VLOOKUP(_xlfn.CONCAT($P$3,"_",B20,"_",$O$2,"_",Parámetros!$C$6),DATA_KPI_PRE!A:F,6,FALSE),0)</f>
        <v>5116593.8689347124</v>
      </c>
      <c r="S20" s="102">
        <f>IFERROR(+(P20/R20)-1,0)</f>
        <v>-0.26187418295399745</v>
      </c>
      <c r="U20" s="121">
        <f>IFERROR(VLOOKUP(_xlfn.CONCAT($U$3,"_",B20,"_",$U$2,"_",Parámetros!$C$6),DATA_KPI!$A:$H,6,FALSE),0)</f>
        <v>342123.30000000005</v>
      </c>
      <c r="V20" s="121">
        <f>IFERROR(VLOOKUP(_xlfn.CONCAT($V$3,"_",B20,"_",$U$2,"_",Parámetros!$C$6),DATA_KPI!$A:$H,6,FALSE),0)</f>
        <v>337342.06000000006</v>
      </c>
      <c r="W20" s="122">
        <f>IFERROR(+(V20/U20)-1,0)</f>
        <v>-1.3975195492385351E-2</v>
      </c>
      <c r="X20" s="123">
        <f>IFERROR(VLOOKUP(_xlfn.CONCAT($V$3,"_",B20,"_",$U$2,"_",Parámetros!$C$6),DATA_KPI_PRE!A:F,6,FALSE),0)</f>
        <v>119994.93476129034</v>
      </c>
      <c r="Y20" s="102">
        <f>IFERROR(+(V20/X20)-1,0)</f>
        <v>1.8113024993187015</v>
      </c>
      <c r="Z20" s="4"/>
      <c r="AA20" s="121">
        <f>IFERROR(VLOOKUP(_xlfn.CONCAT($AA$3,"_",B20,"_",$AA$2,"_",Parámetros!$C$6),DATA_KPI!$A:$H,6,FALSE),0)</f>
        <v>0</v>
      </c>
      <c r="AB20" s="121">
        <f>IFERROR(VLOOKUP(_xlfn.CONCAT($AB$3,"_",B20,"_",$AA$2,"_",Parámetros!$C$6),DATA_KPI!$A:$H,6,FALSE),0)</f>
        <v>0</v>
      </c>
      <c r="AC20" s="122">
        <f>IFERROR(+(AB20/AA20)-1,0)</f>
        <v>0</v>
      </c>
      <c r="AD20" s="123">
        <f>IFERROR(VLOOKUP(_xlfn.CONCAT($AB$3,"_",B20,"_",$AA$2,"_",Parámetros!$C$6),DATA_KPI_PRE!A:F,6,FALSE),0)</f>
        <v>0</v>
      </c>
      <c r="AE20" s="102">
        <f>IFERROR(+(AB20/AD20)-1,0)</f>
        <v>0</v>
      </c>
      <c r="AF20" s="4"/>
      <c r="AG20" s="121">
        <f>IFERROR(VLOOKUP(_xlfn.CONCAT($AG$3,"_",B20,"_",$AG$2,"_",Parámetros!$C$6),DATA_KPI!$A:$H,6,FALSE),0)</f>
        <v>39674.339999999997</v>
      </c>
      <c r="AH20" s="121">
        <f>IFERROR(VLOOKUP(_xlfn.CONCAT($AH$3,"_",B20,"_",$AG$2,"_",Parámetros!$C$6),DATA_KPI!$A:$H,6,FALSE),0)</f>
        <v>0</v>
      </c>
      <c r="AI20" s="122">
        <f>IFERROR(+(AH20/AG20)-1,0)</f>
        <v>-1</v>
      </c>
      <c r="AJ20" s="123">
        <f>IFERROR(VLOOKUP(_xlfn.CONCAT($AH$3,"_",B20,"_",$AG$2,"_",Parámetros!$C$6),DATA_KPI_PRE!A:F,6,FALSE),0)</f>
        <v>16405.851789473687</v>
      </c>
      <c r="AK20" s="102">
        <f>IFERROR(+(AH20/AJ20)-1,0)</f>
        <v>-1</v>
      </c>
      <c r="AL20" s="4"/>
      <c r="AM20" s="121">
        <f>IFERROR(VLOOKUP(_xlfn.CONCAT($AM$3,"_",B20,"_",$AM$2,"_",Parámetros!$C$6),DATA_KPI!$A:$H,6,FALSE),0)</f>
        <v>3181.42</v>
      </c>
      <c r="AN20" s="121">
        <f>IFERROR(VLOOKUP(_xlfn.CONCAT($AN$3,"_",B20,"_",$AM$2,"_",Parámetros!$C$6),DATA_KPI!$A:$H,6,FALSE),0)</f>
        <v>0</v>
      </c>
      <c r="AO20" s="122">
        <f>IFERROR(+AN20/AM20,0)</f>
        <v>0</v>
      </c>
      <c r="AP20" s="123">
        <f>IFERROR(VLOOKUP(_xlfn.CONCAT($AN$3,"_",B20,"_",$AM$2,"_",Parámetros!$C$6),DATA_KPI_PRE!A:F,6,FALSE),0)</f>
        <v>0</v>
      </c>
      <c r="AQ20" s="102">
        <f>IFERROR(+(AN20/AP20)-1,0)</f>
        <v>0</v>
      </c>
      <c r="AS20" s="121">
        <f t="shared" si="41"/>
        <v>42855.759999999995</v>
      </c>
      <c r="AT20" s="121">
        <f t="shared" si="42"/>
        <v>0</v>
      </c>
      <c r="AU20" s="122">
        <f>IFERROR(+AT20/AS20,0)</f>
        <v>0</v>
      </c>
      <c r="AV20" s="121">
        <f t="shared" si="40"/>
        <v>16405.851789473687</v>
      </c>
      <c r="AW20" s="102">
        <f>IFERROR(+(AT20/AV20)-1,0)</f>
        <v>-1</v>
      </c>
      <c r="AX20" s="132"/>
    </row>
    <row r="21" spans="1:50" ht="14.4" collapsed="1" x14ac:dyDescent="0.3">
      <c r="A21" s="104" t="s">
        <v>13</v>
      </c>
      <c r="B21" s="105"/>
      <c r="C21" s="106">
        <f>+C20+C19+C18+C17</f>
        <v>55291556.510000005</v>
      </c>
      <c r="D21" s="106">
        <f t="shared" ref="D21:F21" si="43">+D20+D19+D18+D17</f>
        <v>49981434.399999984</v>
      </c>
      <c r="E21" s="102">
        <f>IFERROR(+(D21/C21)-1,0)</f>
        <v>-9.6038571622407365E-2</v>
      </c>
      <c r="F21" s="106">
        <f t="shared" si="43"/>
        <v>53944053.413930558</v>
      </c>
      <c r="G21" s="102">
        <f>IFERROR(+(D21/F21)-1,0)</f>
        <v>-7.3457939534578354E-2</v>
      </c>
      <c r="H21" s="133"/>
      <c r="I21" s="106">
        <f>+I20+I19+I18+I17</f>
        <v>34864230.680000022</v>
      </c>
      <c r="J21" s="106">
        <f t="shared" ref="J21" si="44">+J20+J19+J18+J17</f>
        <v>30995331.12999998</v>
      </c>
      <c r="K21" s="102">
        <f>IFERROR(+(J21/I21)-1,0)</f>
        <v>-0.11097045523564208</v>
      </c>
      <c r="L21" s="106">
        <f t="shared" ref="L21" si="45">+L20+L19+L18+L17</f>
        <v>34042885.969570503</v>
      </c>
      <c r="M21" s="102">
        <f>IFERROR(+(J21/L21)-1,0)</f>
        <v>-8.952104831225538E-2</v>
      </c>
      <c r="N21" s="3"/>
      <c r="O21" s="106">
        <f>+O20+O19+O18+O17</f>
        <v>17243685.089999985</v>
      </c>
      <c r="P21" s="106">
        <f t="shared" ref="P21" si="46">+P20+P19+P18+P17</f>
        <v>15058659.260000005</v>
      </c>
      <c r="Q21" s="102">
        <f>IFERROR(+(P21/O21)-1,0)</f>
        <v>-0.12671455194151782</v>
      </c>
      <c r="R21" s="106">
        <f t="shared" ref="R21" si="47">+R20+R19+R18+R17</f>
        <v>16893089.864313912</v>
      </c>
      <c r="S21" s="102">
        <f>IFERROR(+(P21/R21)-1,0)</f>
        <v>-0.10859059053424436</v>
      </c>
      <c r="U21" s="106">
        <f>+U20+U19+U18+U17</f>
        <v>2058925.9699999997</v>
      </c>
      <c r="V21" s="106">
        <f t="shared" ref="V21" si="48">+V20+V19+V18+V17</f>
        <v>2722849.6900000004</v>
      </c>
      <c r="W21" s="102">
        <f>IFERROR(+(V21/U21)-1,0)</f>
        <v>0.32246119077316848</v>
      </c>
      <c r="X21" s="106">
        <f t="shared" ref="X21" si="49">+X20+X19+X18+X17</f>
        <v>1804259.8630932695</v>
      </c>
      <c r="Y21" s="102">
        <f>IFERROR(+(V21/X21)-1,0)</f>
        <v>0.50912279638692226</v>
      </c>
      <c r="Z21" s="3"/>
      <c r="AA21" s="106">
        <f>+AA20+AA19+AA18+AA17</f>
        <v>156716.84000000003</v>
      </c>
      <c r="AB21" s="106">
        <f t="shared" ref="AB21" si="50">+AB20+AB19+AB18+AB17</f>
        <v>698858.70999999973</v>
      </c>
      <c r="AC21" s="102">
        <f>IFERROR(+(AB21/AA21)-1,0)</f>
        <v>3.4593721389481793</v>
      </c>
      <c r="AD21" s="106">
        <f t="shared" ref="AD21" si="51">+AD20+AD19+AD18+AD17</f>
        <v>340125.19368192652</v>
      </c>
      <c r="AE21" s="102">
        <f>IFERROR(+(AB21/AD21)-1,0)</f>
        <v>1.0547102154789174</v>
      </c>
      <c r="AF21" s="3"/>
      <c r="AG21" s="106">
        <f>+AG20+AG19+AG18+AG17</f>
        <v>933705.8899999999</v>
      </c>
      <c r="AH21" s="106">
        <f t="shared" ref="AH21" si="52">+AH20+AH19+AH18+AH17</f>
        <v>372108.07999999996</v>
      </c>
      <c r="AI21" s="102">
        <f>IFERROR(+(AH21/AG21)-1,0)</f>
        <v>-0.60147185105579659</v>
      </c>
      <c r="AJ21" s="106">
        <f t="shared" ref="AJ21" si="53">+AJ20+AJ19+AJ18+AJ17</f>
        <v>818798.25389223662</v>
      </c>
      <c r="AK21" s="102">
        <f>IFERROR(+(AH21/AJ21)-1,0)</f>
        <v>-0.54554363271886785</v>
      </c>
      <c r="AL21" s="3"/>
      <c r="AM21" s="106">
        <f>+AM20+AM19+AM18+AM17</f>
        <v>34292.04</v>
      </c>
      <c r="AN21" s="106">
        <f t="shared" ref="AN21" si="54">+AN20+AN19+AN18+AN17</f>
        <v>133627.53</v>
      </c>
      <c r="AO21" s="102">
        <f>IFERROR(+(AN21/AM21)-1,0)</f>
        <v>2.8967506745005545</v>
      </c>
      <c r="AP21" s="106">
        <f t="shared" ref="AP21" si="55">+AP20+AP19+AP18+AP17</f>
        <v>44894.269378711309</v>
      </c>
      <c r="AQ21" s="102">
        <f>IFERROR(+(AN21/AP21)-1,0)</f>
        <v>1.9764941461184722</v>
      </c>
      <c r="AS21" s="106">
        <f>+AS20+AS19+AS18+AS17</f>
        <v>967997.92999999993</v>
      </c>
      <c r="AT21" s="106">
        <f t="shared" ref="AT21" si="56">+AT20+AT19+AT18+AT17</f>
        <v>505735.61</v>
      </c>
      <c r="AU21" s="102">
        <f>IFERROR(+(AT21/AS21)-1,0)</f>
        <v>-0.47754474020414484</v>
      </c>
      <c r="AV21" s="106">
        <f t="shared" ref="AV21" si="57">+AV20+AV19+AV18+AV17</f>
        <v>863692.52327094786</v>
      </c>
      <c r="AW21" s="102">
        <f>IFERROR(+(AT21/AV21)-1,0)</f>
        <v>-0.41444947550929956</v>
      </c>
      <c r="AX21" s="132"/>
    </row>
    <row r="22" spans="1:50" ht="14.4" hidden="1" outlineLevel="1" x14ac:dyDescent="0.3">
      <c r="A22" s="12"/>
      <c r="B22" s="12"/>
      <c r="C22" s="3"/>
      <c r="D22" s="3"/>
      <c r="E22" s="3"/>
      <c r="F22" s="3"/>
      <c r="G22" s="3"/>
      <c r="H22" s="13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S22" s="3"/>
      <c r="AT22" s="3"/>
      <c r="AU22" s="3"/>
      <c r="AV22" s="3"/>
      <c r="AW22" s="3"/>
      <c r="AX22" s="132"/>
    </row>
    <row r="23" spans="1:50" ht="14.4" hidden="1" outlineLevel="1" x14ac:dyDescent="0.3">
      <c r="A23" s="100" t="s">
        <v>52</v>
      </c>
      <c r="B23" s="100" t="str">
        <f>IF(IFERROR(VLOOKUP(A23,DATA_KPI!$D:$H,5,FALSE),"")="",VLOOKUP(A23,DATA_KPI_PRE!$D:$H,5,FALSE),VLOOKUP(A23,DATA_KPI!$D:$H,5,FALSE))</f>
        <v>S87</v>
      </c>
      <c r="C23" s="101">
        <f>IFERROR(VLOOKUP(_xlfn.CONCAT($C$3,"_",B23,"_",$C$2,"_",Parámetros!$C$6),DATA_KPI!$A:$H,6,FALSE),0)</f>
        <v>21367546.170000002</v>
      </c>
      <c r="D23" s="101">
        <f>IFERROR(VLOOKUP(_xlfn.CONCAT($D$3,"_",B23,"_",$C$2,"_",Parámetros!$C$6),DATA_KPI!A:H,6,FALSE),0)</f>
        <v>16296823.120000061</v>
      </c>
      <c r="E23" s="102">
        <f>IFERROR(+(D23/C23)-1,0)</f>
        <v>-0.23730956328149777</v>
      </c>
      <c r="F23" s="101">
        <f>IFERROR(VLOOKUP(_xlfn.CONCAT($D$3,"_",B23,"_",$C$2,"_",Parámetros!$C$6),DATA_KPI_PRE!$A:$F,6,FALSE),0)</f>
        <v>22571537.953858063</v>
      </c>
      <c r="G23" s="102">
        <f>IFERROR(+(D23/F23)-1,0)</f>
        <v>-0.2779923480041594</v>
      </c>
      <c r="H23" s="134"/>
      <c r="I23" s="121">
        <f>IFERROR(VLOOKUP(_xlfn.CONCAT($I$3,"_",B23,"_",$I$2,"_",Parámetros!$C$6),DATA_KPI!$A:$H,6,FALSE),0)</f>
        <v>0</v>
      </c>
      <c r="J23" s="121">
        <f>IFERROR(VLOOKUP(_xlfn.CONCAT($J$3,"_",B23,"_",$I$2,"_",Parámetros!$C$6),DATA_KPI!$A:$H,6,FALSE),0)</f>
        <v>1000602.9199999998</v>
      </c>
      <c r="K23" s="122">
        <f>IFERROR(+(J23/I23)-1,0)</f>
        <v>0</v>
      </c>
      <c r="L23" s="123">
        <f>IFERROR(VLOOKUP(_xlfn.CONCAT($J$3,"_",B23,"_",$I$2,"_",Parámetros!$C$6),DATA_KPI_PRE!A:F,6,FALSE),0)</f>
        <v>0</v>
      </c>
      <c r="M23" s="102">
        <f>IFERROR(+(J23/L23)-1,0)</f>
        <v>0</v>
      </c>
      <c r="N23" s="4"/>
      <c r="O23" s="121">
        <f>IFERROR(VLOOKUP(_xlfn.CONCAT($O$3,"_",B23,"_",$O$2,"_",Parámetros!$C$6),DATA_KPI!$A:$H,6,FALSE),0)</f>
        <v>0</v>
      </c>
      <c r="P23" s="121">
        <f>IFERROR(VLOOKUP(_xlfn.CONCAT($P$3,"_",B23,"_",$O$2,"_",Parámetros!$C$6),DATA_KPI!$A:$H,6,FALSE),0)</f>
        <v>0</v>
      </c>
      <c r="Q23" s="122">
        <f>IFERROR(+(P23/O23)-1,0)</f>
        <v>0</v>
      </c>
      <c r="R23" s="123">
        <f>IFERROR(VLOOKUP(_xlfn.CONCAT($P$3,"_",B23,"_",$O$2,"_",Parámetros!$C$6),DATA_KPI_PRE!A:F,6,FALSE),0)</f>
        <v>0</v>
      </c>
      <c r="S23" s="102">
        <f>IFERROR(+(P23/R23)-1,0)</f>
        <v>0</v>
      </c>
      <c r="U23" s="121">
        <f>IFERROR(VLOOKUP(_xlfn.CONCAT($U$3,"_",B23,"_",$U$2,"_",Parámetros!$C$6),DATA_KPI!$A:$H,6,FALSE),0)</f>
        <v>21367546.170000002</v>
      </c>
      <c r="V23" s="121">
        <f>IFERROR(VLOOKUP(_xlfn.CONCAT($V$3,"_",B23,"_",$U$2,"_",Parámetros!$C$6),DATA_KPI!$A:$H,6,FALSE),0)</f>
        <v>15296220.200000061</v>
      </c>
      <c r="W23" s="122">
        <f>IFERROR(+(V23/U23)-1,0)</f>
        <v>-0.28413772558142747</v>
      </c>
      <c r="X23" s="123">
        <f>IFERROR(VLOOKUP(_xlfn.CONCAT($V$3,"_",B23,"_",$U$2,"_",Parámetros!$C$6),DATA_KPI_PRE!A:F,6,FALSE),0)</f>
        <v>22571537.953858063</v>
      </c>
      <c r="Y23" s="102">
        <f>IFERROR(+(V23/X23)-1,0)</f>
        <v>-0.32232264229095031</v>
      </c>
      <c r="Z23" s="4"/>
      <c r="AA23" s="121">
        <f>IFERROR(VLOOKUP(_xlfn.CONCAT($AA$3,"_",B23,"_",$AA$2,"_",Parámetros!$C$6),DATA_KPI!$A:$H,6,FALSE),0)</f>
        <v>0</v>
      </c>
      <c r="AB23" s="121">
        <f>IFERROR(VLOOKUP(_xlfn.CONCAT($AB$3,"_",B23,"_",$AA$2,"_",Parámetros!$C$6),DATA_KPI!$A:$H,6,FALSE),0)</f>
        <v>0</v>
      </c>
      <c r="AC23" s="122">
        <f>IFERROR(+(AB23/AA23)-1,0)</f>
        <v>0</v>
      </c>
      <c r="AD23" s="123">
        <f>IFERROR(VLOOKUP(_xlfn.CONCAT($AB$3,"_",B23,"_",$AA$2,"_",Parámetros!$C$6),DATA_KPI_PRE!A:F,6,FALSE),0)</f>
        <v>0</v>
      </c>
      <c r="AE23" s="102">
        <f>IFERROR(+(AB23/AD23)-1,0)</f>
        <v>0</v>
      </c>
      <c r="AF23" s="5"/>
      <c r="AG23" s="121">
        <f>IFERROR(VLOOKUP(_xlfn.CONCAT($AG$3,"_",B23,"_",$AG$2,"_",Parámetros!$C$6),DATA_KPI!$A:$H,6,FALSE),0)</f>
        <v>0</v>
      </c>
      <c r="AH23" s="121">
        <f>IFERROR(VLOOKUP(_xlfn.CONCAT($AH$3,"_",B23,"_",$AG$2,"_",Parámetros!$C$6),DATA_KPI!$A:$H,6,FALSE),0)</f>
        <v>0</v>
      </c>
      <c r="AI23" s="122">
        <f>IFERROR(+(AH23/AG23)-1,0)</f>
        <v>0</v>
      </c>
      <c r="AJ23" s="123">
        <f>IFERROR(VLOOKUP(_xlfn.CONCAT($AH$3,"_",B23,"_",$AG$2,"_",Parámetros!$C$6),DATA_KPI_PRE!A:F,6,FALSE),0)</f>
        <v>0</v>
      </c>
      <c r="AK23" s="102">
        <f>IFERROR(+(AH23/AJ23)-1,0)</f>
        <v>0</v>
      </c>
      <c r="AL23" s="5"/>
      <c r="AM23" s="121">
        <f>IFERROR(VLOOKUP(_xlfn.CONCAT($AM$3,"_",B23,"_",$AM$2,"_",Parámetros!$C$6),DATA_KPI!$A:$H,6,FALSE),0)</f>
        <v>0</v>
      </c>
      <c r="AN23" s="121">
        <f>IFERROR(VLOOKUP(_xlfn.CONCAT($AN$3,"_",B23,"_",$AM$2,"_",Parámetros!$C$6),DATA_KPI!$A:$H,6,FALSE),0)</f>
        <v>0</v>
      </c>
      <c r="AO23" s="122">
        <f>IFERROR(+AN23/AM23,0)</f>
        <v>0</v>
      </c>
      <c r="AP23" s="123">
        <f>IFERROR(VLOOKUP(_xlfn.CONCAT($AN$3,"_",B23,"_",$AM$2,"_",Parámetros!$C$6),DATA_KPI_PRE!A:F,6,FALSE),0)</f>
        <v>0</v>
      </c>
      <c r="AQ23" s="102">
        <f>IFERROR(+(AN23/AP23)-1,0)</f>
        <v>0</v>
      </c>
      <c r="AS23" s="121">
        <f t="shared" ref="AS23" si="58">+AM23+AG23</f>
        <v>0</v>
      </c>
      <c r="AT23" s="121">
        <f t="shared" ref="AT23" si="59">+AN23+AH23</f>
        <v>0</v>
      </c>
      <c r="AU23" s="122">
        <f>IFERROR(+AT23/AS23,0)</f>
        <v>0</v>
      </c>
      <c r="AV23" s="121">
        <f t="shared" ref="AV23:AV24" si="60">+AP23+AJ23</f>
        <v>0</v>
      </c>
      <c r="AW23" s="102">
        <f>IFERROR(+(AT23/AV23)-1,0)</f>
        <v>0</v>
      </c>
      <c r="AX23" s="132"/>
    </row>
    <row r="24" spans="1:50" ht="14.4" hidden="1" outlineLevel="1" x14ac:dyDescent="0.3">
      <c r="A24" s="100" t="s">
        <v>51</v>
      </c>
      <c r="B24" s="100" t="str">
        <f>IF(IFERROR(VLOOKUP(A24,DATA_KPI!$D:$H,5,FALSE),"")="",VLOOKUP(A24,DATA_KPI_PRE!$D:$H,5,FALSE),VLOOKUP(A24,DATA_KPI!$D:$H,5,FALSE))</f>
        <v>S86</v>
      </c>
      <c r="C24" s="101">
        <f>IFERROR(VLOOKUP(_xlfn.CONCAT($C$3,"_",B24,"_",$C$2,"_",Parámetros!$C$6),DATA_KPI!$A:$H,6,FALSE),0)</f>
        <v>20388671.300000023</v>
      </c>
      <c r="D24" s="101">
        <f>IFERROR(VLOOKUP(_xlfn.CONCAT($D$3,"_",B24,"_",$C$2,"_",Parámetros!$C$6),DATA_KPI!A:H,6,FALSE),0)</f>
        <v>17105668.880000029</v>
      </c>
      <c r="E24" s="102">
        <f>IFERROR(+(D24/C24)-1,0)</f>
        <v>-0.16102091066620861</v>
      </c>
      <c r="F24" s="101">
        <f>IFERROR(VLOOKUP(_xlfn.CONCAT($D$3,"_",B24,"_",$C$2,"_",Parámetros!$C$6),DATA_KPI_PRE!$A:$F,6,FALSE),0)</f>
        <v>19435378.295845341</v>
      </c>
      <c r="G24" s="102">
        <f>IFERROR(+(D24/F24)-1,0)</f>
        <v>-0.11986951735039442</v>
      </c>
      <c r="H24" s="134"/>
      <c r="I24" s="121">
        <f>IFERROR(VLOOKUP(_xlfn.CONCAT($I$3,"_",B24,"_",$I$2,"_",Parámetros!$C$6),DATA_KPI!$A:$H,6,FALSE),0)</f>
        <v>19363623.160000023</v>
      </c>
      <c r="J24" s="121">
        <f>IFERROR(VLOOKUP(_xlfn.CONCAT($J$3,"_",B24,"_",$I$2,"_",Parámetros!$C$6),DATA_KPI!$A:$H,6,FALSE),0)</f>
        <v>16531972.18000003</v>
      </c>
      <c r="K24" s="122">
        <f>IFERROR(+(J24/I24)-1,0)</f>
        <v>-0.14623559633454408</v>
      </c>
      <c r="L24" s="123">
        <f>IFERROR(VLOOKUP(_xlfn.CONCAT($J$3,"_",B24,"_",$I$2,"_",Parámetros!$C$6),DATA_KPI_PRE!A:F,6,FALSE),0)</f>
        <v>18313717.080974527</v>
      </c>
      <c r="M24" s="102">
        <f>IFERROR(+(J24/L24)-1,0)</f>
        <v>-9.7290183805749053E-2</v>
      </c>
      <c r="N24" s="5"/>
      <c r="O24" s="121">
        <f>IFERROR(VLOOKUP(_xlfn.CONCAT($O$3,"_",B24,"_",$O$2,"_",Parámetros!$C$6),DATA_KPI!$A:$H,6,FALSE),0)</f>
        <v>0</v>
      </c>
      <c r="P24" s="121">
        <f>IFERROR(VLOOKUP(_xlfn.CONCAT($P$3,"_",B24,"_",$O$2,"_",Parámetros!$C$6),DATA_KPI!$A:$H,6,FALSE),0)</f>
        <v>0</v>
      </c>
      <c r="Q24" s="122">
        <f>IFERROR(+(P24/O24)-1,0)</f>
        <v>0</v>
      </c>
      <c r="R24" s="123">
        <f>IFERROR(VLOOKUP(_xlfn.CONCAT($P$3,"_",B24,"_",$O$2,"_",Parámetros!$C$6),DATA_KPI_PRE!A:F,6,FALSE),0)</f>
        <v>0</v>
      </c>
      <c r="S24" s="102">
        <f>IFERROR(+(P24/R24)-1,0)</f>
        <v>0</v>
      </c>
      <c r="U24" s="121">
        <f>IFERROR(VLOOKUP(_xlfn.CONCAT($U$3,"_",B24,"_",$U$2,"_",Parámetros!$C$6),DATA_KPI!$A:$H,6,FALSE),0)</f>
        <v>1025048.1400000004</v>
      </c>
      <c r="V24" s="121">
        <f>IFERROR(VLOOKUP(_xlfn.CONCAT($V$3,"_",B24,"_",$U$2,"_",Parámetros!$C$6),DATA_KPI!$A:$H,6,FALSE),0)</f>
        <v>573696.69999999995</v>
      </c>
      <c r="W24" s="122">
        <f>IFERROR(+(V24/U24)-1,0)</f>
        <v>-0.44032218818523028</v>
      </c>
      <c r="X24" s="123">
        <f>IFERROR(VLOOKUP(_xlfn.CONCAT($V$3,"_",B24,"_",$U$2,"_",Parámetros!$C$6),DATA_KPI_PRE!A:F,6,FALSE),0)</f>
        <v>1121661.2148708126</v>
      </c>
      <c r="Y24" s="102">
        <f>IFERROR(+(V24/X24)-1,0)</f>
        <v>-0.48852943081741884</v>
      </c>
      <c r="Z24" s="4"/>
      <c r="AA24" s="121">
        <f>IFERROR(VLOOKUP(_xlfn.CONCAT($AA$3,"_",B24,"_",$AA$2,"_",Parámetros!$C$6),DATA_KPI!$A:$H,6,FALSE),0)</f>
        <v>0</v>
      </c>
      <c r="AB24" s="121">
        <f>IFERROR(VLOOKUP(_xlfn.CONCAT($AB$3,"_",B24,"_",$AA$2,"_",Parámetros!$C$6),DATA_KPI!$A:$H,6,FALSE),0)</f>
        <v>0</v>
      </c>
      <c r="AC24" s="122">
        <f>IFERROR(+(AB24/AA24)-1,0)</f>
        <v>0</v>
      </c>
      <c r="AD24" s="123">
        <f>IFERROR(VLOOKUP(_xlfn.CONCAT($AB$3,"_",B24,"_",$AA$2,"_",Parámetros!$C$6),DATA_KPI_PRE!A:F,6,FALSE),0)</f>
        <v>0</v>
      </c>
      <c r="AE24" s="102">
        <f>IFERROR(+(AB24/AD24)-1,0)</f>
        <v>0</v>
      </c>
      <c r="AF24" s="4"/>
      <c r="AG24" s="121">
        <f>IFERROR(VLOOKUP(_xlfn.CONCAT($AG$3,"_",B24,"_",$AG$2,"_",Parámetros!$C$6),DATA_KPI!$A:$H,6,FALSE),0)</f>
        <v>0</v>
      </c>
      <c r="AH24" s="121">
        <f>IFERROR(VLOOKUP(_xlfn.CONCAT($AH$3,"_",B24,"_",$AG$2,"_",Parámetros!$C$6),DATA_KPI!$A:$H,6,FALSE),0)</f>
        <v>0</v>
      </c>
      <c r="AI24" s="122">
        <f>IFERROR(+(AH24/AG24)-1,0)</f>
        <v>0</v>
      </c>
      <c r="AJ24" s="123">
        <f>IFERROR(VLOOKUP(_xlfn.CONCAT($AH$3,"_",B24,"_",$AG$2,"_",Parámetros!$C$6),DATA_KPI_PRE!A:F,6,FALSE),0)</f>
        <v>0</v>
      </c>
      <c r="AK24" s="102">
        <f>IFERROR(+(AH24/AJ24)-1,0)</f>
        <v>0</v>
      </c>
      <c r="AL24" s="5"/>
      <c r="AM24" s="121">
        <f>IFERROR(VLOOKUP(_xlfn.CONCAT($AM$3,"_",B24,"_",$AM$2,"_",Parámetros!$C$6),DATA_KPI!$A:$H,6,FALSE),0)</f>
        <v>0</v>
      </c>
      <c r="AN24" s="121">
        <f>IFERROR(VLOOKUP(_xlfn.CONCAT($AN$3,"_",B24,"_",$AM$2,"_",Parámetros!$C$6),DATA_KPI!$A:$H,6,FALSE),0)</f>
        <v>0</v>
      </c>
      <c r="AO24" s="122">
        <f>IFERROR(+AN24/AM24,0)</f>
        <v>0</v>
      </c>
      <c r="AP24" s="123">
        <f>IFERROR(VLOOKUP(_xlfn.CONCAT($AN$3,"_",B24,"_",$AM$2,"_",Parámetros!$C$6),DATA_KPI_PRE!A:F,6,FALSE),0)</f>
        <v>0</v>
      </c>
      <c r="AQ24" s="102">
        <f>IFERROR(+(AN24/AP24)-1,0)</f>
        <v>0</v>
      </c>
      <c r="AS24" s="121">
        <f t="shared" ref="AS24" si="61">+AM24+AG24</f>
        <v>0</v>
      </c>
      <c r="AT24" s="121">
        <f t="shared" ref="AT24" si="62">+AN24+AH24</f>
        <v>0</v>
      </c>
      <c r="AU24" s="122">
        <f>IFERROR(+AT24/AS24,0)</f>
        <v>0</v>
      </c>
      <c r="AV24" s="121">
        <f t="shared" si="60"/>
        <v>0</v>
      </c>
      <c r="AW24" s="102">
        <f>IFERROR(+(AT24/AV24)-1,0)</f>
        <v>0</v>
      </c>
      <c r="AX24" s="132"/>
    </row>
    <row r="25" spans="1:50" ht="14.4" collapsed="1" x14ac:dyDescent="0.3">
      <c r="A25" s="104" t="s">
        <v>2095</v>
      </c>
      <c r="B25" s="105"/>
      <c r="C25" s="106">
        <f>+C24+C23</f>
        <v>41756217.470000029</v>
      </c>
      <c r="D25" s="106">
        <f t="shared" ref="D25:F25" si="63">+D24+D23</f>
        <v>33402492.000000089</v>
      </c>
      <c r="E25" s="102">
        <f>IFERROR(+(D25/C25)-1,0)</f>
        <v>-0.20005943967510265</v>
      </c>
      <c r="F25" s="106">
        <f t="shared" si="63"/>
        <v>42006916.249703407</v>
      </c>
      <c r="G25" s="102">
        <f>IFERROR(+(D25/F25)-1,0)</f>
        <v>-0.20483351357085322</v>
      </c>
      <c r="H25" s="133"/>
      <c r="I25" s="106">
        <f>+I24+I23</f>
        <v>19363623.160000023</v>
      </c>
      <c r="J25" s="106">
        <f t="shared" ref="J25" si="64">+J24+J23</f>
        <v>17532575.100000028</v>
      </c>
      <c r="K25" s="102">
        <f>IFERROR(+(J25/I25)-1,0)</f>
        <v>-9.4561231897057452E-2</v>
      </c>
      <c r="L25" s="106">
        <f t="shared" ref="L25" si="65">+L24+L23</f>
        <v>18313717.080974527</v>
      </c>
      <c r="M25" s="102">
        <f>IFERROR(+(J25/L25)-1,0)</f>
        <v>-4.2653382572235943E-2</v>
      </c>
      <c r="N25" s="3"/>
      <c r="O25" s="106">
        <f>+O24+O23</f>
        <v>0</v>
      </c>
      <c r="P25" s="106">
        <f t="shared" ref="P25" si="66">+P24+P23</f>
        <v>0</v>
      </c>
      <c r="Q25" s="102">
        <f>IFERROR(+(P25/O25)-1,0)</f>
        <v>0</v>
      </c>
      <c r="R25" s="106">
        <f t="shared" ref="R25" si="67">+R24+R23</f>
        <v>0</v>
      </c>
      <c r="S25" s="102">
        <f>IFERROR(+(P25/R25)-1,0)</f>
        <v>0</v>
      </c>
      <c r="U25" s="106">
        <f>+U24+U23</f>
        <v>22392594.310000002</v>
      </c>
      <c r="V25" s="106">
        <f t="shared" ref="V25" si="68">+V24+V23</f>
        <v>15869916.90000006</v>
      </c>
      <c r="W25" s="102">
        <f>IFERROR(+(V25/U25)-1,0)</f>
        <v>-0.29128725862224325</v>
      </c>
      <c r="X25" s="106">
        <f t="shared" ref="X25" si="69">+X24+X23</f>
        <v>23693199.168728877</v>
      </c>
      <c r="Y25" s="102">
        <f>IFERROR(+(V25/X25)-1,0)</f>
        <v>-0.33019104819978307</v>
      </c>
      <c r="Z25" s="3"/>
      <c r="AA25" s="106">
        <f>+AA24+AA23</f>
        <v>0</v>
      </c>
      <c r="AB25" s="106">
        <f t="shared" ref="AB25" si="70">+AB24+AB23</f>
        <v>0</v>
      </c>
      <c r="AC25" s="102">
        <f>IFERROR(+(AB25/AA25)-1,0)</f>
        <v>0</v>
      </c>
      <c r="AD25" s="106">
        <f t="shared" ref="AD25" si="71">+AD24+AD23</f>
        <v>0</v>
      </c>
      <c r="AE25" s="102">
        <f>IFERROR(+(AB25/AD25)-1,0)</f>
        <v>0</v>
      </c>
      <c r="AF25" s="3"/>
      <c r="AG25" s="106">
        <f>+AG24+AG23</f>
        <v>0</v>
      </c>
      <c r="AH25" s="106">
        <f t="shared" ref="AH25" si="72">+AH24+AH23</f>
        <v>0</v>
      </c>
      <c r="AI25" s="102">
        <f>IFERROR(+(AH25/AG25)-1,0)</f>
        <v>0</v>
      </c>
      <c r="AJ25" s="106">
        <f t="shared" ref="AJ25" si="73">+AJ24+AJ23</f>
        <v>0</v>
      </c>
      <c r="AK25" s="102">
        <f>IFERROR(+(AH25/AJ25)-1,0)</f>
        <v>0</v>
      </c>
      <c r="AL25" s="3"/>
      <c r="AM25" s="106">
        <f>+AM24+AM23</f>
        <v>0</v>
      </c>
      <c r="AN25" s="106">
        <f t="shared" ref="AN25" si="74">+AN24+AN23</f>
        <v>0</v>
      </c>
      <c r="AO25" s="102">
        <f>IFERROR(+(AN25/AM25)-1,0)</f>
        <v>0</v>
      </c>
      <c r="AP25" s="106">
        <f t="shared" ref="AP25" si="75">+AP24+AP23</f>
        <v>0</v>
      </c>
      <c r="AQ25" s="102">
        <f>IFERROR(+(AN25/AP25)-1,0)</f>
        <v>0</v>
      </c>
      <c r="AS25" s="106">
        <f>+AS24+AS23</f>
        <v>0</v>
      </c>
      <c r="AT25" s="106">
        <f t="shared" ref="AT25" si="76">+AT24+AT23</f>
        <v>0</v>
      </c>
      <c r="AU25" s="102">
        <f>IFERROR(+(AT25/AS25)-1,0)</f>
        <v>0</v>
      </c>
      <c r="AV25" s="106">
        <f t="shared" ref="AV25" si="77">+AV24+AV23</f>
        <v>0</v>
      </c>
      <c r="AW25" s="102">
        <f>IFERROR(+(AT25/AV25)-1,0)</f>
        <v>0</v>
      </c>
      <c r="AX25" s="132"/>
    </row>
    <row r="26" spans="1:50" ht="14.4" hidden="1" x14ac:dyDescent="0.3">
      <c r="A26" s="12"/>
      <c r="B26" s="12"/>
      <c r="C26" s="96"/>
      <c r="D26" s="3"/>
      <c r="E26" s="3"/>
      <c r="F26" s="3"/>
      <c r="G26" s="3"/>
      <c r="H26" s="13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S26" s="3"/>
      <c r="AT26" s="3"/>
      <c r="AU26" s="3"/>
      <c r="AV26" s="3"/>
      <c r="AW26" s="3"/>
      <c r="AX26" s="132"/>
    </row>
    <row r="27" spans="1:50" ht="15" customHeight="1" x14ac:dyDescent="0.3">
      <c r="A27" s="109" t="s">
        <v>825</v>
      </c>
      <c r="B27" s="110" t="s">
        <v>824</v>
      </c>
      <c r="C27" s="112">
        <f>+C25+C21+C15+C10</f>
        <v>222988622.35000002</v>
      </c>
      <c r="D27" s="112">
        <f>+D25+D21+D15+D10</f>
        <v>202249037.53000006</v>
      </c>
      <c r="E27" s="111">
        <f>IFERROR(+(D27/C27)-1,0)</f>
        <v>-9.3007367826360987E-2</v>
      </c>
      <c r="F27" s="112">
        <f>+F25+F21+F15+F10</f>
        <v>224365206.43021774</v>
      </c>
      <c r="G27" s="111">
        <f>IFERROR(+(D27/F27)-1,0)</f>
        <v>-9.8572186178503052E-2</v>
      </c>
      <c r="H27" s="134"/>
      <c r="I27" s="112">
        <f>+I25+I21+I15+I10</f>
        <v>135773932.19000009</v>
      </c>
      <c r="J27" s="112">
        <f>+J25+J21+J15+J10</f>
        <v>128172733.47000003</v>
      </c>
      <c r="K27" s="111">
        <f>IFERROR(+(J27/I27)-1,0)</f>
        <v>-5.5984227586213353E-2</v>
      </c>
      <c r="L27" s="112">
        <f>+L25+L21+L15+L10</f>
        <v>132946872.87583494</v>
      </c>
      <c r="M27" s="111">
        <f>IFERROR(+(J27/L27)-1,0)</f>
        <v>-3.5910129381483857E-2</v>
      </c>
      <c r="O27" s="112">
        <f>+O25+O21+O15+O10</f>
        <v>48242219.519999981</v>
      </c>
      <c r="P27" s="112">
        <f>+P25+P21+P15+P10</f>
        <v>45360785.859999999</v>
      </c>
      <c r="Q27" s="111">
        <f>IFERROR(+(P27/O27)-1,0)</f>
        <v>-5.972846375373364E-2</v>
      </c>
      <c r="R27" s="112">
        <f>+R25+R21+R15+R10</f>
        <v>49272524.940767489</v>
      </c>
      <c r="S27" s="111">
        <f>IFERROR(+(P27/R27)-1,0)</f>
        <v>-7.9389864543575772E-2</v>
      </c>
      <c r="U27" s="112">
        <f>+U25+U21+U15+U10</f>
        <v>34213947.289999999</v>
      </c>
      <c r="V27" s="112">
        <f>+V25+V21+V15+V10</f>
        <v>24706559.770000059</v>
      </c>
      <c r="W27" s="111">
        <f>IFERROR(+(V27/U27)-1,0)</f>
        <v>-0.27788046317528359</v>
      </c>
      <c r="X27" s="112">
        <f>+X25+X21+X15+X10</f>
        <v>35186942.094172113</v>
      </c>
      <c r="Y27" s="111">
        <f>IFERROR(+(V27/X27)-1,0)</f>
        <v>-0.29784862509856691</v>
      </c>
      <c r="AA27" s="112">
        <f>+AA25+AA21+AA15+AA10</f>
        <v>845690.69000000018</v>
      </c>
      <c r="AB27" s="112">
        <f>+AB25+AB21+AB15+AB10</f>
        <v>1389188.1499999994</v>
      </c>
      <c r="AC27" s="111">
        <f>IFERROR(+(AB27/AA27)-1,0)</f>
        <v>0.64266695427378906</v>
      </c>
      <c r="AD27" s="112">
        <f>+AD25+AD21+AD15+AD10</f>
        <v>1114266.0447435472</v>
      </c>
      <c r="AE27" s="111">
        <f>IFERROR(+(AB27/AD27)-1,0)</f>
        <v>0.24672932155958027</v>
      </c>
      <c r="AG27" s="112">
        <f>+AG25+AG21+AG15+AG10</f>
        <v>3716338.02</v>
      </c>
      <c r="AH27" s="112">
        <f>+AH25+AH21+AH15+AH10</f>
        <v>2071421.9399999997</v>
      </c>
      <c r="AI27" s="111">
        <f>IFERROR(+(AH27/AG27)-1,0)</f>
        <v>-0.44261745598695579</v>
      </c>
      <c r="AJ27" s="112">
        <f>+AJ25+AJ21+AJ15+AJ10</f>
        <v>5523533.1586748669</v>
      </c>
      <c r="AK27" s="111">
        <f>IFERROR(+(AH27/AJ27)-1,0)</f>
        <v>-0.6249824377813733</v>
      </c>
      <c r="AM27" s="112">
        <f>+AM25+AM21+AM15+AM10</f>
        <v>196494.64</v>
      </c>
      <c r="AN27" s="112">
        <f>+AN25+AN21+AN15+AN10</f>
        <v>548348.34</v>
      </c>
      <c r="AO27" s="111">
        <f>IFERROR(+(AN27/AM27)-1,0)</f>
        <v>1.7906529155197308</v>
      </c>
      <c r="AP27" s="112">
        <f>+AP25+AP21+AP15+AP10</f>
        <v>321067.31602479622</v>
      </c>
      <c r="AQ27" s="111">
        <f>IFERROR(+(AN27/AP27)-1,0)</f>
        <v>0.70789212302647053</v>
      </c>
      <c r="AS27" s="112">
        <f>+AS25+AS21+AS15+AS10</f>
        <v>3912832.66</v>
      </c>
      <c r="AT27" s="112">
        <f>+AT25+AT21+AT15+AT10</f>
        <v>2619770.2799999993</v>
      </c>
      <c r="AU27" s="111">
        <f>IFERROR(+(AT27/AS27)-1,0)</f>
        <v>-0.33046707905980344</v>
      </c>
      <c r="AV27" s="112">
        <f>+AV25+AV21+AV15+AV10</f>
        <v>5844600.474699663</v>
      </c>
      <c r="AW27" s="111">
        <f>IFERROR(+(AT27/AV27)-1,0)</f>
        <v>-0.55176229900733775</v>
      </c>
      <c r="AX27" s="132"/>
    </row>
    <row r="28" spans="1:50" ht="14.4" x14ac:dyDescent="0.3">
      <c r="A28" s="12"/>
      <c r="B28" s="12"/>
      <c r="C28" s="96"/>
      <c r="D28" s="96"/>
      <c r="E28" s="3"/>
      <c r="F28" s="96"/>
      <c r="G28" s="3"/>
      <c r="H28" s="13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S28" s="3"/>
      <c r="AT28" s="3"/>
      <c r="AU28" s="3"/>
      <c r="AV28" s="3"/>
      <c r="AW28" s="3"/>
      <c r="AX28" s="132"/>
    </row>
    <row r="29" spans="1:50" ht="14.4" x14ac:dyDescent="0.3">
      <c r="A29" s="93" t="s">
        <v>2189</v>
      </c>
      <c r="B29" s="12"/>
      <c r="C29" s="3"/>
      <c r="D29" s="3"/>
      <c r="E29" s="3"/>
      <c r="F29" s="3"/>
      <c r="G29" s="3"/>
      <c r="H29" s="13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S29" s="3"/>
      <c r="AT29" s="3"/>
      <c r="AU29" s="3"/>
      <c r="AV29" s="3"/>
      <c r="AW29" s="3"/>
      <c r="AX29" s="132"/>
    </row>
    <row r="30" spans="1:50" ht="14.4" hidden="1" outlineLevel="1" x14ac:dyDescent="0.3">
      <c r="A30" s="12"/>
      <c r="B30" s="12"/>
      <c r="C30" s="3"/>
      <c r="D30" s="3"/>
      <c r="E30" s="3"/>
      <c r="F30" s="3"/>
      <c r="G30" s="3"/>
      <c r="H30" s="13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S30" s="3"/>
      <c r="AT30" s="3"/>
      <c r="AU30" s="3"/>
      <c r="AV30" s="3"/>
      <c r="AW30" s="3"/>
      <c r="AX30" s="132"/>
    </row>
    <row r="31" spans="1:50" ht="14.4" hidden="1" outlineLevel="1" x14ac:dyDescent="0.3">
      <c r="A31" s="100" t="s">
        <v>19</v>
      </c>
      <c r="B31" s="100" t="str">
        <f>IF(IFERROR(VLOOKUP(A31,DATA_KPI!$D:$H,5,FALSE),"")="",VLOOKUP(A31,DATA_KPI_PRE!$D:$H,5,FALSE),VLOOKUP(A31,DATA_KPI!$D:$H,5,FALSE))</f>
        <v>S19</v>
      </c>
      <c r="C31" s="101">
        <f>IFERROR(VLOOKUP(_xlfn.CONCAT($C$3,"_",B31,"_",$C$2,"_",Parámetros!$C$6),DATA_KPI!$A:$H,6,FALSE),0)</f>
        <v>30405629.829999991</v>
      </c>
      <c r="D31" s="101">
        <f>IFERROR(VLOOKUP(_xlfn.CONCAT($D$3,"_",B31,"_",$C$2,"_",Parámetros!$C$6),DATA_KPI!A:H,6,FALSE),0)</f>
        <v>29801655.309999999</v>
      </c>
      <c r="E31" s="102">
        <f>IFERROR(+(D31/C31)-1,0)</f>
        <v>-1.9863904263021537E-2</v>
      </c>
      <c r="F31" s="101">
        <f>IFERROR(VLOOKUP(_xlfn.CONCAT($D$3,"_",B31,"_",$C$2,"_",Parámetros!$C$6),DATA_KPI_PRE!$A:$F,6,FALSE),0)</f>
        <v>30477251.418612018</v>
      </c>
      <c r="G31" s="102">
        <f t="shared" ref="G31:G36" si="78">IFERROR(+(D31/F31)-1,0)</f>
        <v>-2.2167225624533882E-2</v>
      </c>
      <c r="H31" s="134"/>
      <c r="I31" s="121">
        <f>IFERROR(VLOOKUP(_xlfn.CONCAT($I$3,"_",B31,"_",$I$2,"_",Parámetros!$C$6),DATA_KPI!$A:$H,6,FALSE),0)</f>
        <v>19574540.980000008</v>
      </c>
      <c r="J31" s="121">
        <f>IFERROR(VLOOKUP(_xlfn.CONCAT($J$3,"_",B31,"_",$I$2,"_",Parámetros!$C$6),DATA_KPI!$A:$H,6,FALSE),0)</f>
        <v>19373315.430000007</v>
      </c>
      <c r="K31" s="122">
        <f>IFERROR(+(J31/I31)-1,0)</f>
        <v>-1.0279962641555729E-2</v>
      </c>
      <c r="L31" s="123">
        <f>IFERROR(VLOOKUP(_xlfn.CONCAT($J$3,"_",B31,"_",$I$2,"_",Parámetros!$C$6),DATA_KPI_PRE!A:F,6,FALSE),0)</f>
        <v>18187238.822678689</v>
      </c>
      <c r="M31" s="102">
        <f>IFERROR(+(J31/L31)-1,0)</f>
        <v>6.5214770580915848E-2</v>
      </c>
      <c r="N31" s="4"/>
      <c r="O31" s="121">
        <f>IFERROR(VLOOKUP(_xlfn.CONCAT($O$3,"_",B31,"_",$O$2,"_",Parámetros!$C$6),DATA_KPI!$A:$H,6,FALSE),0)</f>
        <v>8178633.3199999845</v>
      </c>
      <c r="P31" s="121">
        <f>IFERROR(VLOOKUP(_xlfn.CONCAT($P$3,"_",B31,"_",$O$2,"_",Parámetros!$C$6),DATA_KPI!$A:$H,6,FALSE),0)</f>
        <v>8213909.8299999908</v>
      </c>
      <c r="Q31" s="122">
        <f>IFERROR(+(P31/O31)-1,0)</f>
        <v>4.3132524249180904E-3</v>
      </c>
      <c r="R31" s="123">
        <f>IFERROR(VLOOKUP(_xlfn.CONCAT($P$3,"_",B31,"_",$O$2,"_",Parámetros!$C$6),DATA_KPI_PRE!A:F,6,FALSE),0)</f>
        <v>8890922.6054026969</v>
      </c>
      <c r="S31" s="102">
        <f>IFERROR(+(P31/R31)-1,0)</f>
        <v>-7.6146515434889706E-2</v>
      </c>
      <c r="U31" s="121">
        <f>IFERROR(VLOOKUP(_xlfn.CONCAT($U$3,"_",B31,"_",$U$2,"_",Parámetros!$C$6),DATA_KPI!$A:$H,6,FALSE),0)</f>
        <v>2198557.14</v>
      </c>
      <c r="V31" s="121">
        <f>IFERROR(VLOOKUP(_xlfn.CONCAT($V$3,"_",B31,"_",$U$2,"_",Parámetros!$C$6),DATA_KPI!$A:$H,6,FALSE),0)</f>
        <v>1672345.7700000012</v>
      </c>
      <c r="W31" s="122">
        <f>IFERROR(+(V31/U31)-1,0)</f>
        <v>-0.23934395901122629</v>
      </c>
      <c r="X31" s="123">
        <f>IFERROR(VLOOKUP(_xlfn.CONCAT($V$3,"_",B31,"_",$U$2,"_",Parámetros!$C$6),DATA_KPI_PRE!A:F,6,FALSE),0)</f>
        <v>2374930.6401548288</v>
      </c>
      <c r="Y31" s="102">
        <f>IFERROR(+(V31/X31)-1,0)</f>
        <v>-0.29583384806093704</v>
      </c>
      <c r="Z31" s="4"/>
      <c r="AA31" s="121">
        <f>IFERROR(VLOOKUP(_xlfn.CONCAT($AA$3,"_",B31,"_",$AA$2,"_",Parámetros!$C$6),DATA_KPI!$A:$H,6,FALSE),0)</f>
        <v>0</v>
      </c>
      <c r="AB31" s="121">
        <f>IFERROR(VLOOKUP(_xlfn.CONCAT($AB$3,"_",B31,"_",$AA$2,"_",Parámetros!$C$6),DATA_KPI!$A:$H,6,FALSE),0)</f>
        <v>0</v>
      </c>
      <c r="AC31" s="122">
        <f>IFERROR(+(AB31/AA31)-1,0)</f>
        <v>0</v>
      </c>
      <c r="AD31" s="123">
        <f>IFERROR(VLOOKUP(_xlfn.CONCAT($AB$3,"_",B31,"_",$AA$2,"_",Parámetros!$C$6),DATA_KPI_PRE!A:F,6,FALSE),0)</f>
        <v>0</v>
      </c>
      <c r="AE31" s="102">
        <f>IFERROR(+(AB31/AD31)-1,0)</f>
        <v>0</v>
      </c>
      <c r="AF31" s="4"/>
      <c r="AG31" s="121">
        <f>IFERROR(VLOOKUP(_xlfn.CONCAT($AG$3,"_",B31,"_",$AG$2,"_",Parámetros!$C$6),DATA_KPI!$A:$H,6,FALSE),0)</f>
        <v>447181.57999999996</v>
      </c>
      <c r="AH31" s="121">
        <f>IFERROR(VLOOKUP(_xlfn.CONCAT($AH$3,"_",B31,"_",$AG$2,"_",Parámetros!$C$6),DATA_KPI!$A:$H,6,FALSE),0)</f>
        <v>510349.7699999999</v>
      </c>
      <c r="AI31" s="122">
        <f>IFERROR(+(AH31/AG31)-1,0)</f>
        <v>0.14125847938548808</v>
      </c>
      <c r="AJ31" s="123">
        <f>IFERROR(VLOOKUP(_xlfn.CONCAT($AH$3,"_",B31,"_",$AG$2,"_",Parámetros!$C$6),DATA_KPI_PRE!A:F,6,FALSE),0)</f>
        <v>954627.8732762587</v>
      </c>
      <c r="AK31" s="102">
        <f>IFERROR(+(AH31/AJ31)-1,0)</f>
        <v>-0.46539401971525052</v>
      </c>
      <c r="AL31" s="5"/>
      <c r="AM31" s="121">
        <f>IFERROR(VLOOKUP(_xlfn.CONCAT($AM$3,"_",B31,"_",$AM$2,"_",Parámetros!$C$6),DATA_KPI!$A:$H,6,FALSE),0)</f>
        <v>6716.81</v>
      </c>
      <c r="AN31" s="121">
        <f>IFERROR(VLOOKUP(_xlfn.CONCAT($AN$3,"_",B31,"_",$AM$2,"_",Parámetros!$C$6),DATA_KPI!$A:$H,6,FALSE),0)</f>
        <v>31734.510000000002</v>
      </c>
      <c r="AO31" s="122">
        <f>IFERROR(+AN31/AM31,0)</f>
        <v>4.7246401193423662</v>
      </c>
      <c r="AP31" s="123">
        <f>IFERROR(VLOOKUP(_xlfn.CONCAT($AN$3,"_",B31,"_",$AM$2,"_",Parámetros!$C$6),DATA_KPI_PRE!A:F,6,FALSE),0)</f>
        <v>69531.477099544252</v>
      </c>
      <c r="AQ31" s="102">
        <f>IFERROR(+(AN31/AP31)-1,0)</f>
        <v>-0.54359505473229752</v>
      </c>
      <c r="AS31" s="121">
        <f t="shared" ref="AS31" si="79">+AM31+AG31</f>
        <v>453898.38999999996</v>
      </c>
      <c r="AT31" s="121">
        <f t="shared" ref="AT31:AV35" si="80">+AN31+AH31</f>
        <v>542084.27999999991</v>
      </c>
      <c r="AU31" s="122">
        <f>IFERROR(+AT31/AS31,0)</f>
        <v>1.1942855316142451</v>
      </c>
      <c r="AV31" s="121">
        <f t="shared" si="80"/>
        <v>1024159.350375803</v>
      </c>
      <c r="AW31" s="102">
        <f>IFERROR(+(AT31/AV31)-1,0)</f>
        <v>-0.47070318715433435</v>
      </c>
      <c r="AX31" s="132"/>
    </row>
    <row r="32" spans="1:50" ht="14.4" hidden="1" outlineLevel="1" x14ac:dyDescent="0.3">
      <c r="A32" s="100" t="s">
        <v>44</v>
      </c>
      <c r="B32" s="100" t="str">
        <f>IF(IFERROR(VLOOKUP(A32,DATA_KPI!$D:$H,5,FALSE),"")="",VLOOKUP(A32,DATA_KPI_PRE!$D:$H,5,FALSE),VLOOKUP(A32,DATA_KPI!$D:$H,5,FALSE))</f>
        <v>S06</v>
      </c>
      <c r="C32" s="101">
        <f>IFERROR(VLOOKUP(_xlfn.CONCAT($C$3,"_",B32,"_",$C$2,"_",Parámetros!$C$6),DATA_KPI!$A:$H,6,FALSE),0)</f>
        <v>29035379.07999995</v>
      </c>
      <c r="D32" s="101">
        <f>IFERROR(VLOOKUP(_xlfn.CONCAT($D$3,"_",B32,"_",$C$2,"_",Parámetros!$C$6),DATA_KPI!A:H,6,FALSE),0)</f>
        <v>28552513.340000018</v>
      </c>
      <c r="E32" s="102">
        <f>IFERROR(+(D32/C32)-1,0)</f>
        <v>-1.6630254375860298E-2</v>
      </c>
      <c r="F32" s="101">
        <f>IFERROR(VLOOKUP(_xlfn.CONCAT($D$3,"_",B32,"_",$C$2,"_",Parámetros!$C$6),DATA_KPI_PRE!$A:$F,6,FALSE),0)</f>
        <v>28501963.201332893</v>
      </c>
      <c r="G32" s="102">
        <f t="shared" si="78"/>
        <v>1.7735669052003633E-3</v>
      </c>
      <c r="H32" s="134"/>
      <c r="I32" s="121">
        <f>IFERROR(VLOOKUP(_xlfn.CONCAT($I$3,"_",B32,"_",$I$2,"_",Parámetros!$C$6),DATA_KPI!$A:$H,6,FALSE),0)</f>
        <v>26943837.409999952</v>
      </c>
      <c r="J32" s="121">
        <f>IFERROR(VLOOKUP(_xlfn.CONCAT($J$3,"_",B32,"_",$I$2,"_",Parámetros!$C$6),DATA_KPI!$A:$H,6,FALSE),0)</f>
        <v>26519643.320000019</v>
      </c>
      <c r="K32" s="122">
        <f>IFERROR(+(J32/I32)-1,0)</f>
        <v>-1.5743640504692791E-2</v>
      </c>
      <c r="L32" s="123">
        <f>IFERROR(VLOOKUP(_xlfn.CONCAT($J$3,"_",B32,"_",$I$2,"_",Parámetros!$C$6),DATA_KPI_PRE!A:F,6,FALSE),0)</f>
        <v>26010396.471315734</v>
      </c>
      <c r="M32" s="102">
        <f>IFERROR(+(J32/L32)-1,0)</f>
        <v>1.9578588478875503E-2</v>
      </c>
      <c r="N32" s="4"/>
      <c r="O32" s="121">
        <f>IFERROR(VLOOKUP(_xlfn.CONCAT($O$3,"_",B32,"_",$O$2,"_",Parámetros!$C$6),DATA_KPI!$A:$H,6,FALSE),0)</f>
        <v>1404727.939999999</v>
      </c>
      <c r="P32" s="121">
        <f>IFERROR(VLOOKUP(_xlfn.CONCAT($P$3,"_",B32,"_",$O$2,"_",Parámetros!$C$6),DATA_KPI!$A:$H,6,FALSE),0)</f>
        <v>1678891.7899999998</v>
      </c>
      <c r="Q32" s="122">
        <f>IFERROR(+(P32/O32)-1,0)</f>
        <v>0.19517220537380431</v>
      </c>
      <c r="R32" s="123">
        <f>IFERROR(VLOOKUP(_xlfn.CONCAT($P$3,"_",B32,"_",$O$2,"_",Parámetros!$C$6),DATA_KPI_PRE!A:F,6,FALSE),0)</f>
        <v>1515532.8947231923</v>
      </c>
      <c r="S32" s="102">
        <f>IFERROR(+(P32/R32)-1,0)</f>
        <v>0.10778973907171086</v>
      </c>
      <c r="U32" s="121">
        <f>IFERROR(VLOOKUP(_xlfn.CONCAT($U$3,"_",B32,"_",$U$2,"_",Parámetros!$C$6),DATA_KPI!$A:$H,6,FALSE),0)</f>
        <v>686813.73000000021</v>
      </c>
      <c r="V32" s="121">
        <f>IFERROR(VLOOKUP(_xlfn.CONCAT($V$3,"_",B32,"_",$U$2,"_",Parámetros!$C$6),DATA_KPI!$A:$H,6,FALSE),0)</f>
        <v>353978.23</v>
      </c>
      <c r="W32" s="122">
        <f>IFERROR(+(V32/U32)-1,0)</f>
        <v>-0.48460810473314231</v>
      </c>
      <c r="X32" s="123">
        <f>IFERROR(VLOOKUP(_xlfn.CONCAT($V$3,"_",B32,"_",$U$2,"_",Parámetros!$C$6),DATA_KPI_PRE!A:F,6,FALSE),0)</f>
        <v>976033.83529396844</v>
      </c>
      <c r="Y32" s="102">
        <f>IFERROR(+(V32/X32)-1,0)</f>
        <v>-0.63732996008956344</v>
      </c>
      <c r="Z32" s="4"/>
      <c r="AA32" s="121">
        <f>IFERROR(VLOOKUP(_xlfn.CONCAT($AA$3,"_",B32,"_",$AA$2,"_",Parámetros!$C$6),DATA_KPI!$A:$H,6,FALSE),0)</f>
        <v>0</v>
      </c>
      <c r="AB32" s="121">
        <f>IFERROR(VLOOKUP(_xlfn.CONCAT($AB$3,"_",B32,"_",$AA$2,"_",Parámetros!$C$6),DATA_KPI!$A:$H,6,FALSE),0)</f>
        <v>0</v>
      </c>
      <c r="AC32" s="122">
        <f>IFERROR(+(AB32/AA32)-1,0)</f>
        <v>0</v>
      </c>
      <c r="AD32" s="123">
        <f>IFERROR(VLOOKUP(_xlfn.CONCAT($AB$3,"_",B32,"_",$AA$2,"_",Parámetros!$C$6),DATA_KPI_PRE!A:F,6,FALSE),0)</f>
        <v>0</v>
      </c>
      <c r="AE32" s="102">
        <f>IFERROR(+(AB32/AD32)-1,0)</f>
        <v>0</v>
      </c>
      <c r="AF32" s="4"/>
      <c r="AG32" s="121">
        <f>IFERROR(VLOOKUP(_xlfn.CONCAT($AG$3,"_",B32,"_",$AG$2,"_",Parámetros!$C$6),DATA_KPI!$A:$H,6,FALSE),0)</f>
        <v>0</v>
      </c>
      <c r="AH32" s="121">
        <f>IFERROR(VLOOKUP(_xlfn.CONCAT($AH$3,"_",B32,"_",$AG$2,"_",Parámetros!$C$6),DATA_KPI!$A:$H,6,FALSE),0)</f>
        <v>0</v>
      </c>
      <c r="AI32" s="122">
        <f>IFERROR(+(AH32/AG32)-1,0)</f>
        <v>0</v>
      </c>
      <c r="AJ32" s="123">
        <f>IFERROR(VLOOKUP(_xlfn.CONCAT($AH$3,"_",B32,"_",$AG$2,"_",Parámetros!$C$6),DATA_KPI_PRE!A:F,6,FALSE),0)</f>
        <v>0</v>
      </c>
      <c r="AK32" s="102">
        <f>IFERROR(+(AH32/AJ32)-1,0)</f>
        <v>0</v>
      </c>
      <c r="AL32" s="5"/>
      <c r="AM32" s="121">
        <f>IFERROR(VLOOKUP(_xlfn.CONCAT($AM$3,"_",B32,"_",$AM$2,"_",Parámetros!$C$6),DATA_KPI!$A:$H,6,FALSE),0)</f>
        <v>0</v>
      </c>
      <c r="AN32" s="121">
        <f>IFERROR(VLOOKUP(_xlfn.CONCAT($AN$3,"_",B32,"_",$AM$2,"_",Parámetros!$C$6),DATA_KPI!$A:$H,6,FALSE),0)</f>
        <v>0</v>
      </c>
      <c r="AO32" s="122">
        <f>IFERROR(+AN32/AM32,0)</f>
        <v>0</v>
      </c>
      <c r="AP32" s="123">
        <f>IFERROR(VLOOKUP(_xlfn.CONCAT($AN$3,"_",B32,"_",$AM$2,"_",Parámetros!$C$6),DATA_KPI_PRE!A:F,6,FALSE),0)</f>
        <v>0</v>
      </c>
      <c r="AQ32" s="102">
        <f>IFERROR(+(AN32/AP32)-1,0)</f>
        <v>0</v>
      </c>
      <c r="AS32" s="121">
        <f t="shared" ref="AS32:AS35" si="81">+AM32+AG32</f>
        <v>0</v>
      </c>
      <c r="AT32" s="121">
        <f t="shared" ref="AT32:AT35" si="82">+AN32+AH32</f>
        <v>0</v>
      </c>
      <c r="AU32" s="122">
        <f>IFERROR(+AT32/AS32,0)</f>
        <v>0</v>
      </c>
      <c r="AV32" s="121">
        <f t="shared" si="80"/>
        <v>0</v>
      </c>
      <c r="AW32" s="102">
        <f>IFERROR(+(AT32/AV32)-1,0)</f>
        <v>0</v>
      </c>
      <c r="AX32" s="132"/>
    </row>
    <row r="33" spans="1:50" ht="14.4" hidden="1" outlineLevel="1" x14ac:dyDescent="0.3">
      <c r="A33" s="100" t="s">
        <v>21</v>
      </c>
      <c r="B33" s="100" t="str">
        <f>IF(IFERROR(VLOOKUP(A33,DATA_KPI!$D:$H,5,FALSE),"")="",VLOOKUP(A33,DATA_KPI_PRE!$D:$H,5,FALSE),VLOOKUP(A33,DATA_KPI!$D:$H,5,FALSE))</f>
        <v>S14</v>
      </c>
      <c r="C33" s="101">
        <f>IFERROR(VLOOKUP(_xlfn.CONCAT($C$3,"_",B33,"_",$C$2,"_",Parámetros!$C$6),DATA_KPI!$A:$H,6,FALSE),0)</f>
        <v>21214457.199999996</v>
      </c>
      <c r="D33" s="101">
        <f>IFERROR(VLOOKUP(_xlfn.CONCAT($D$3,"_",B33,"_",$C$2,"_",Parámetros!$C$6),DATA_KPI!A:H,6,FALSE),0)</f>
        <v>18728574.18999999</v>
      </c>
      <c r="E33" s="102">
        <f t="shared" ref="E33" si="83">IFERROR(+(D33/C33)-1,0)</f>
        <v>-0.11717872329064383</v>
      </c>
      <c r="F33" s="101">
        <f>IFERROR(VLOOKUP(_xlfn.CONCAT($D$3,"_",B33,"_",$C$2,"_",Parámetros!$C$6),DATA_KPI_PRE!$A:$F,6,FALSE),0)</f>
        <v>20135196.210359801</v>
      </c>
      <c r="G33" s="102">
        <f t="shared" si="78"/>
        <v>-6.9858868305245791E-2</v>
      </c>
      <c r="H33" s="134"/>
      <c r="I33" s="121">
        <f>IFERROR(VLOOKUP(_xlfn.CONCAT($I$3,"_",B33,"_",$I$2,"_",Parámetros!$C$6),DATA_KPI!$A:$H,6,FALSE),0)</f>
        <v>11433379.209999997</v>
      </c>
      <c r="J33" s="121">
        <f>IFERROR(VLOOKUP(_xlfn.CONCAT($J$3,"_",B33,"_",$I$2,"_",Parámetros!$C$6),DATA_KPI!$A:$H,6,FALSE),0)</f>
        <v>10095201.379999992</v>
      </c>
      <c r="K33" s="122">
        <f t="shared" ref="K33" si="84">IFERROR(+(J33/I33)-1,0)</f>
        <v>-0.11704132307879656</v>
      </c>
      <c r="L33" s="123">
        <f>IFERROR(VLOOKUP(_xlfn.CONCAT($J$3,"_",B33,"_",$I$2,"_",Parámetros!$C$6),DATA_KPI_PRE!A:F,6,FALSE),0)</f>
        <v>10054692.959213505</v>
      </c>
      <c r="M33" s="102">
        <f>IFERROR(+(J33/L33)-1,0)</f>
        <v>4.0288073391010482E-3</v>
      </c>
      <c r="N33" s="4"/>
      <c r="O33" s="121">
        <f>IFERROR(VLOOKUP(_xlfn.CONCAT($O$3,"_",B33,"_",$O$2,"_",Parámetros!$C$6),DATA_KPI!$A:$H,6,FALSE),0)</f>
        <v>7896721.6000000006</v>
      </c>
      <c r="P33" s="121">
        <f>IFERROR(VLOOKUP(_xlfn.CONCAT($P$3,"_",B33,"_",$O$2,"_",Parámetros!$C$6),DATA_KPI!$A:$H,6,FALSE),0)</f>
        <v>7253177.1299999971</v>
      </c>
      <c r="Q33" s="122">
        <f t="shared" ref="Q33" si="85">IFERROR(+(P33/O33)-1,0)</f>
        <v>-8.1495144769951566E-2</v>
      </c>
      <c r="R33" s="123">
        <f>IFERROR(VLOOKUP(_xlfn.CONCAT($P$3,"_",B33,"_",$O$2,"_",Parámetros!$C$6),DATA_KPI_PRE!A:F,6,FALSE),0)</f>
        <v>7587503.5003996985</v>
      </c>
      <c r="S33" s="102">
        <f>IFERROR(+(P33/R33)-1,0)</f>
        <v>-4.4062763250401038E-2</v>
      </c>
      <c r="U33" s="121">
        <f>IFERROR(VLOOKUP(_xlfn.CONCAT($U$3,"_",B33,"_",$U$2,"_",Parámetros!$C$6),DATA_KPI!$A:$H,6,FALSE),0)</f>
        <v>1407968.5499999998</v>
      </c>
      <c r="V33" s="121">
        <f>IFERROR(VLOOKUP(_xlfn.CONCAT($V$3,"_",B33,"_",$U$2,"_",Parámetros!$C$6),DATA_KPI!$A:$H,6,FALSE),0)</f>
        <v>1241475.22</v>
      </c>
      <c r="W33" s="122">
        <f t="shared" ref="W33" si="86">IFERROR(+(V33/U33)-1,0)</f>
        <v>-0.1182507450184167</v>
      </c>
      <c r="X33" s="123">
        <f>IFERROR(VLOOKUP(_xlfn.CONCAT($V$3,"_",B33,"_",$U$2,"_",Parámetros!$C$6),DATA_KPI_PRE!A:F,6,FALSE),0)</f>
        <v>1337923.789204068</v>
      </c>
      <c r="Y33" s="102">
        <f>IFERROR(+(V33/X33)-1,0)</f>
        <v>-7.2088238494843804E-2</v>
      </c>
      <c r="Z33" s="5"/>
      <c r="AA33" s="121">
        <f>IFERROR(VLOOKUP(_xlfn.CONCAT($AA$3,"_",B33,"_",$AA$2,"_",Parámetros!$C$6),DATA_KPI!$A:$H,6,FALSE),0)</f>
        <v>0</v>
      </c>
      <c r="AB33" s="121">
        <f>IFERROR(VLOOKUP(_xlfn.CONCAT($AB$3,"_",B33,"_",$AA$2,"_",Parámetros!$C$6),DATA_KPI!$A:$H,6,FALSE),0)</f>
        <v>0</v>
      </c>
      <c r="AC33" s="122">
        <f t="shared" ref="AC33" si="87">IFERROR(+(AB33/AA33)-1,0)</f>
        <v>0</v>
      </c>
      <c r="AD33" s="123">
        <f>IFERROR(VLOOKUP(_xlfn.CONCAT($AB$3,"_",B33,"_",$AA$2,"_",Parámetros!$C$6),DATA_KPI_PRE!A:F,6,FALSE),0)</f>
        <v>0</v>
      </c>
      <c r="AE33" s="102">
        <f>IFERROR(+(AB33/AD33)-1,0)</f>
        <v>0</v>
      </c>
      <c r="AF33" s="4"/>
      <c r="AG33" s="121">
        <f>IFERROR(VLOOKUP(_xlfn.CONCAT($AG$3,"_",B33,"_",$AG$2,"_",Parámetros!$C$6),DATA_KPI!$A:$H,6,FALSE),0)</f>
        <v>443617.91000000003</v>
      </c>
      <c r="AH33" s="121">
        <f>IFERROR(VLOOKUP(_xlfn.CONCAT($AH$3,"_",B33,"_",$AG$2,"_",Parámetros!$C$6),DATA_KPI!$A:$H,6,FALSE),0)</f>
        <v>118902.76</v>
      </c>
      <c r="AI33" s="122">
        <f t="shared" ref="AI33" si="88">IFERROR(+(AH33/AG33)-1,0)</f>
        <v>-0.73197033456110916</v>
      </c>
      <c r="AJ33" s="123">
        <f>IFERROR(VLOOKUP(_xlfn.CONCAT($AH$3,"_",B33,"_",$AG$2,"_",Parámetros!$C$6),DATA_KPI_PRE!A:F,6,FALSE),0)</f>
        <v>1106018.2103007371</v>
      </c>
      <c r="AK33" s="102">
        <f>IFERROR(+(AH33/AJ33)-1,0)</f>
        <v>-0.89249475380005794</v>
      </c>
      <c r="AL33" s="5"/>
      <c r="AM33" s="121">
        <f>IFERROR(VLOOKUP(_xlfn.CONCAT($AM$3,"_",B33,"_",$AM$2,"_",Parámetros!$C$6),DATA_KPI!$A:$H,6,FALSE),0)</f>
        <v>32769.93</v>
      </c>
      <c r="AN33" s="121">
        <f>IFERROR(VLOOKUP(_xlfn.CONCAT($AN$3,"_",B33,"_",$AM$2,"_",Parámetros!$C$6),DATA_KPI!$A:$H,6,FALSE),0)</f>
        <v>19817.699999999997</v>
      </c>
      <c r="AO33" s="122">
        <f>IFERROR(+AN33/AM33,0)</f>
        <v>0.60475258872997273</v>
      </c>
      <c r="AP33" s="123">
        <f>IFERROR(VLOOKUP(_xlfn.CONCAT($AN$3,"_",B33,"_",$AM$2,"_",Parámetros!$C$6),DATA_KPI_PRE!A:F,6,FALSE),0)</f>
        <v>49057.751241791193</v>
      </c>
      <c r="AQ33" s="102">
        <f>IFERROR(+(AN33/AP33)-1,0)</f>
        <v>-0.59603325675642171</v>
      </c>
      <c r="AS33" s="121">
        <f t="shared" si="81"/>
        <v>476387.84000000003</v>
      </c>
      <c r="AT33" s="121">
        <f t="shared" si="82"/>
        <v>138720.46</v>
      </c>
      <c r="AU33" s="122">
        <f>IFERROR(+AT33/AS33,0)</f>
        <v>0.29119227728398772</v>
      </c>
      <c r="AV33" s="121">
        <f t="shared" si="80"/>
        <v>1155075.9615425284</v>
      </c>
      <c r="AW33" s="102">
        <f>IFERROR(+(AT33/AV33)-1,0)</f>
        <v>-0.87990360407574586</v>
      </c>
      <c r="AX33" s="132"/>
    </row>
    <row r="34" spans="1:50" ht="14.4" hidden="1" outlineLevel="1" x14ac:dyDescent="0.3">
      <c r="A34" s="100" t="s">
        <v>11</v>
      </c>
      <c r="B34" s="100" t="str">
        <f>IF(IFERROR(VLOOKUP(A34,DATA_KPI!$D:$H,5,FALSE),"")="",VLOOKUP(A34,DATA_KPI_PRE!$D:$H,5,FALSE),VLOOKUP(A34,DATA_KPI!$D:$H,5,FALSE))</f>
        <v>S09</v>
      </c>
      <c r="C34" s="101">
        <f>IFERROR(VLOOKUP(_xlfn.CONCAT($C$3,"_",B34,"_",$C$2,"_",Parámetros!$C$6),DATA_KPI!$A:$H,6,FALSE),0)</f>
        <v>20528583.619999979</v>
      </c>
      <c r="D34" s="101">
        <f>IFERROR(VLOOKUP(_xlfn.CONCAT($D$3,"_",B34,"_",$C$2,"_",Parámetros!$C$6),DATA_KPI!A:H,6,FALSE),0)</f>
        <v>18410077.659999993</v>
      </c>
      <c r="E34" s="102">
        <f t="shared" ref="E34:E36" si="89">IFERROR(+(D34/C34)-1,0)</f>
        <v>-0.10319786299996025</v>
      </c>
      <c r="F34" s="101">
        <f>IFERROR(VLOOKUP(_xlfn.CONCAT($D$3,"_",B34,"_",$C$2,"_",Parámetros!$C$6),DATA_KPI_PRE!$A:$F,6,FALSE),0)</f>
        <v>20662414.559560739</v>
      </c>
      <c r="G34" s="102">
        <f t="shared" si="78"/>
        <v>-0.10900647129444818</v>
      </c>
      <c r="H34" s="134"/>
      <c r="I34" s="121">
        <f>IFERROR(VLOOKUP(_xlfn.CONCAT($I$3,"_",B34,"_",$I$2,"_",Parámetros!$C$6),DATA_KPI!$A:$H,6,FALSE),0)</f>
        <v>12079309.069999989</v>
      </c>
      <c r="J34" s="121">
        <f>IFERROR(VLOOKUP(_xlfn.CONCAT($J$3,"_",B34,"_",$I$2,"_",Parámetros!$C$6),DATA_KPI!$A:$H,6,FALSE),0)</f>
        <v>9158915.4899999909</v>
      </c>
      <c r="K34" s="122">
        <f t="shared" ref="K34" si="90">IFERROR(+(J34/I34)-1,0)</f>
        <v>-0.24176826365450399</v>
      </c>
      <c r="L34" s="123">
        <f>IFERROR(VLOOKUP(_xlfn.CONCAT($J$3,"_",B34,"_",$I$2,"_",Parámetros!$C$6),DATA_KPI_PRE!A:F,6,FALSE),0)</f>
        <v>10984028.454158764</v>
      </c>
      <c r="M34" s="102">
        <f>IFERROR(+(J34/L34)-1,0)</f>
        <v>-0.16616061873617516</v>
      </c>
      <c r="N34" s="4"/>
      <c r="O34" s="121">
        <f>IFERROR(VLOOKUP(_xlfn.CONCAT($O$3,"_",B34,"_",$O$2,"_",Parámetros!$C$6),DATA_KPI!$A:$H,6,FALSE),0)</f>
        <v>6745334.0599999921</v>
      </c>
      <c r="P34" s="121">
        <f>IFERROR(VLOOKUP(_xlfn.CONCAT($P$3,"_",B34,"_",$O$2,"_",Parámetros!$C$6),DATA_KPI!$A:$H,6,FALSE),0)</f>
        <v>6700753.5100000026</v>
      </c>
      <c r="Q34" s="122">
        <f t="shared" ref="Q34" si="91">IFERROR(+(P34/O34)-1,0)</f>
        <v>-6.6090944649210837E-3</v>
      </c>
      <c r="R34" s="123">
        <f>IFERROR(VLOOKUP(_xlfn.CONCAT($P$3,"_",B34,"_",$O$2,"_",Parámetros!$C$6),DATA_KPI_PRE!A:F,6,FALSE),0)</f>
        <v>6931984.5121399974</v>
      </c>
      <c r="S34" s="102">
        <f>IFERROR(+(P34/R34)-1,0)</f>
        <v>-3.3357114652382669E-2</v>
      </c>
      <c r="U34" s="121">
        <f>IFERROR(VLOOKUP(_xlfn.CONCAT($U$3,"_",B34,"_",$U$2,"_",Parámetros!$C$6),DATA_KPI!$A:$H,6,FALSE),0)</f>
        <v>1211329.33</v>
      </c>
      <c r="V34" s="121">
        <f>IFERROR(VLOOKUP(_xlfn.CONCAT($V$3,"_",B34,"_",$U$2,"_",Parámetros!$C$6),DATA_KPI!$A:$H,6,FALSE),0)</f>
        <v>2077609.4300000004</v>
      </c>
      <c r="W34" s="122">
        <f t="shared" ref="W34" si="92">IFERROR(+(V34/U34)-1,0)</f>
        <v>0.71514829084506704</v>
      </c>
      <c r="X34" s="123">
        <f>IFERROR(VLOOKUP(_xlfn.CONCAT($V$3,"_",B34,"_",$U$2,"_",Parámetros!$C$6),DATA_KPI_PRE!A:F,6,FALSE),0)</f>
        <v>1909851.177069565</v>
      </c>
      <c r="Y34" s="102">
        <f>IFERROR(+(V34/X34)-1,0)</f>
        <v>8.7838390207890527E-2</v>
      </c>
      <c r="Z34" s="5"/>
      <c r="AA34" s="121">
        <f>IFERROR(VLOOKUP(_xlfn.CONCAT($AA$3,"_",B34,"_",$AA$2,"_",Parámetros!$C$6),DATA_KPI!$A:$H,6,FALSE),0)</f>
        <v>0</v>
      </c>
      <c r="AB34" s="121">
        <f>IFERROR(VLOOKUP(_xlfn.CONCAT($AB$3,"_",B34,"_",$AA$2,"_",Parámetros!$C$6),DATA_KPI!$A:$H,6,FALSE),0)</f>
        <v>0</v>
      </c>
      <c r="AC34" s="122">
        <f t="shared" ref="AC34" si="93">IFERROR(+(AB34/AA34)-1,0)</f>
        <v>0</v>
      </c>
      <c r="AD34" s="123">
        <f>IFERROR(VLOOKUP(_xlfn.CONCAT($AB$3,"_",B34,"_",$AA$2,"_",Parámetros!$C$6),DATA_KPI_PRE!A:F,6,FALSE),0)</f>
        <v>0</v>
      </c>
      <c r="AE34" s="102">
        <f>IFERROR(+(AB34/AD34)-1,0)</f>
        <v>0</v>
      </c>
      <c r="AF34" s="5"/>
      <c r="AG34" s="121">
        <f>IFERROR(VLOOKUP(_xlfn.CONCAT($AG$3,"_",B34,"_",$AG$2,"_",Parámetros!$C$6),DATA_KPI!$A:$H,6,FALSE),0)</f>
        <v>391701.01999999996</v>
      </c>
      <c r="AH34" s="121">
        <f>IFERROR(VLOOKUP(_xlfn.CONCAT($AH$3,"_",B34,"_",$AG$2,"_",Parámetros!$C$6),DATA_KPI!$A:$H,6,FALSE),0)</f>
        <v>410642.58999999991</v>
      </c>
      <c r="AI34" s="122">
        <f t="shared" ref="AI34" si="94">IFERROR(+(AH34/AG34)-1,0)</f>
        <v>4.8357213877053384E-2</v>
      </c>
      <c r="AJ34" s="123">
        <f>IFERROR(VLOOKUP(_xlfn.CONCAT($AH$3,"_",B34,"_",$AG$2,"_",Parámetros!$C$6),DATA_KPI_PRE!A:F,6,FALSE),0)</f>
        <v>762686.99321855558</v>
      </c>
      <c r="AK34" s="102">
        <f>IFERROR(+(AH34/AJ34)-1,0)</f>
        <v>-0.46158438041918182</v>
      </c>
      <c r="AL34" s="5"/>
      <c r="AM34" s="121">
        <f>IFERROR(VLOOKUP(_xlfn.CONCAT($AM$3,"_",B34,"_",$AM$2,"_",Parámetros!$C$6),DATA_KPI!$A:$H,6,FALSE),0)</f>
        <v>100910.14</v>
      </c>
      <c r="AN34" s="121">
        <f>IFERROR(VLOOKUP(_xlfn.CONCAT($AN$3,"_",B34,"_",$AM$2,"_",Parámetros!$C$6),DATA_KPI!$A:$H,6,FALSE),0)</f>
        <v>62156.639999999999</v>
      </c>
      <c r="AO34" s="122">
        <f>IFERROR(+AN34/AM34,0)</f>
        <v>0.61596029893527049</v>
      </c>
      <c r="AP34" s="123">
        <f>IFERROR(VLOOKUP(_xlfn.CONCAT($AN$3,"_",B34,"_",$AM$2,"_",Parámetros!$C$6),DATA_KPI_PRE!A:F,6,FALSE),0)</f>
        <v>73863.422973856621</v>
      </c>
      <c r="AQ34" s="102">
        <f>IFERROR(+(AN34/AP34)-1,0)</f>
        <v>-0.15849228891003531</v>
      </c>
      <c r="AS34" s="121">
        <f t="shared" si="81"/>
        <v>492611.16</v>
      </c>
      <c r="AT34" s="121">
        <f t="shared" si="82"/>
        <v>472799.22999999992</v>
      </c>
      <c r="AU34" s="122">
        <f>IFERROR(+AT34/AS34,0)</f>
        <v>0.95978180843487171</v>
      </c>
      <c r="AV34" s="121">
        <f t="shared" si="80"/>
        <v>836550.41619241214</v>
      </c>
      <c r="AW34" s="102">
        <f>IFERROR(+(AT34/AV34)-1,0)</f>
        <v>-0.43482279029641535</v>
      </c>
      <c r="AX34" s="132"/>
    </row>
    <row r="35" spans="1:50" ht="14.4" hidden="1" outlineLevel="1" x14ac:dyDescent="0.3">
      <c r="A35" s="100" t="s">
        <v>112</v>
      </c>
      <c r="B35" s="100" t="s">
        <v>108</v>
      </c>
      <c r="C35" s="101">
        <f>IFERROR(VLOOKUP(_xlfn.CONCAT($C$3,"_",B35,"_",$C$2,"_",Parámetros!$C$6),DATA_KPI!$A:$H,6,FALSE),0)</f>
        <v>11619683.920000024</v>
      </c>
      <c r="D35" s="101">
        <f>IFERROR(VLOOKUP(_xlfn.CONCAT($D$3,"_",B35,"_",$C$2,"_",Parámetros!$C$6),DATA_KPI!A:H,6,FALSE),0)</f>
        <v>10407270.919999992</v>
      </c>
      <c r="E35" s="102">
        <f t="shared" si="89"/>
        <v>-0.10434130638555517</v>
      </c>
      <c r="F35" s="101">
        <f>IFERROR(VLOOKUP(_xlfn.CONCAT($D$3,"_",B35,"_",$C$2,"_",Parámetros!$C$6),DATA_KPI_PRE!$A:$F,6,FALSE),0)</f>
        <v>13351500.047179954</v>
      </c>
      <c r="G35" s="102">
        <f t="shared" si="78"/>
        <v>-0.22051672971396419</v>
      </c>
      <c r="H35" s="113"/>
      <c r="I35" s="121">
        <f>IFERROR(VLOOKUP(_xlfn.CONCAT($I$3,"_",B35,"_",$I$2,"_",Parámetros!$C$6),DATA_KPI!$A:$H,6,FALSE),0)</f>
        <v>10210466.210000025</v>
      </c>
      <c r="J35" s="121">
        <f>IFERROR(VLOOKUP(_xlfn.CONCAT($J$3,"_",B35,"_",$I$2,"_",Parámetros!$C$6),DATA_KPI!$A:$H,6,FALSE),0)</f>
        <v>9166486.0399999935</v>
      </c>
      <c r="K35" s="122">
        <f>IFERROR(+J35/I35,0)</f>
        <v>0.89775391754613831</v>
      </c>
      <c r="L35" s="123">
        <f>IFERROR(VLOOKUP(_xlfn.CONCAT($J$3,"_",B35,"_",$I$2,"_",Parámetros!$C$6),DATA_KPI_PRE!A:F,6,FALSE),0)</f>
        <v>11416505.779959532</v>
      </c>
      <c r="M35" s="102">
        <f t="shared" ref="M35" si="95">IFERROR(+(J35/L35)-1,0)</f>
        <v>-0.19708479838981996</v>
      </c>
      <c r="O35" s="121">
        <f>IFERROR(VLOOKUP(_xlfn.CONCAT($O$3,"_",B35,"_",$O$2,"_",Parámetros!$C$6),DATA_KPI!$A:$H,6,FALSE),0)</f>
        <v>0</v>
      </c>
      <c r="P35" s="121">
        <f>IFERROR(VLOOKUP(_xlfn.CONCAT($P$3,"_",B35,"_",$O$2,"_",Parámetros!$C$6),DATA_KPI!$A:$H,6,FALSE),0)</f>
        <v>0</v>
      </c>
      <c r="Q35" s="122">
        <f>IFERROR(+P35/O35,0)</f>
        <v>0</v>
      </c>
      <c r="R35" s="124">
        <f>IFERROR(VLOOKUP(_xlfn.CONCAT($P$3,"_",B35,"_",$O$2,"_",Parámetros!$C$6),DATA_KPI_PRE!A:F,6,FALSE),0)</f>
        <v>0</v>
      </c>
      <c r="S35" s="102">
        <f t="shared" ref="S35" si="96">IFERROR(+(P35/R35)-1,0)</f>
        <v>0</v>
      </c>
      <c r="U35" s="121">
        <f>IFERROR(VLOOKUP(_xlfn.CONCAT($U$3,"_",B35,"_",$U$2,"_",Parámetros!$C$6),DATA_KPI!$A:$H,6,FALSE),0)</f>
        <v>1405686.7299999995</v>
      </c>
      <c r="V35" s="121">
        <f>IFERROR(VLOOKUP(_xlfn.CONCAT($V$3,"_",B35,"_",$U$2,"_",Parámetros!$C$6),DATA_KPI!$A:$H,6,FALSE),0)</f>
        <v>1222280.4499999988</v>
      </c>
      <c r="W35" s="122">
        <f>IFERROR(+V35/U35,0)</f>
        <v>0.86952549520048417</v>
      </c>
      <c r="X35" s="124">
        <f>IFERROR(VLOOKUP(_xlfn.CONCAT($V$3,"_",B35,"_",$U$2,"_",Parámetros!$C$6),DATA_KPI_PRE!A:F,6,FALSE),0)</f>
        <v>1934994.2672204222</v>
      </c>
      <c r="Y35" s="102">
        <f t="shared" ref="Y35" si="97">IFERROR(+(V35/X35)-1,0)</f>
        <v>-0.36832864535780852</v>
      </c>
      <c r="AA35" s="121">
        <f>IFERROR(VLOOKUP(_xlfn.CONCAT($AA$3,"_",B35,"_",$AA$2,"_",Parámetros!$C$6),DATA_KPI!$A:$H,6,FALSE),0)</f>
        <v>0</v>
      </c>
      <c r="AB35" s="121">
        <f>IFERROR(VLOOKUP(_xlfn.CONCAT($AB$3,"_",B35,"_",$AA$2,"_",Parámetros!$C$6),DATA_KPI!$A:$H,6,FALSE),0)</f>
        <v>0</v>
      </c>
      <c r="AC35" s="122">
        <f>IFERROR(+AB35/AA35,0)</f>
        <v>0</v>
      </c>
      <c r="AD35" s="124">
        <f>IFERROR(VLOOKUP(_xlfn.CONCAT($AB$3,"_",B35,"_",$AA$2,"_",Parámetros!$C$6),DATA_KPI_PRE!A:F,6,FALSE),0)</f>
        <v>0</v>
      </c>
      <c r="AE35" s="102">
        <f t="shared" ref="AE35" si="98">IFERROR(+(AB35/AD35)-1,0)</f>
        <v>0</v>
      </c>
      <c r="AG35" s="121">
        <f>IFERROR(VLOOKUP(_xlfn.CONCAT($AG$3,"_",B35,"_",$AG$2,"_",Parámetros!$C$6),DATA_KPI!$A:$H,6,FALSE),0)</f>
        <v>3530.9799999999996</v>
      </c>
      <c r="AH35" s="121">
        <f>IFERROR(VLOOKUP(_xlfn.CONCAT($AH$3,"_",B35,"_",$AG$2,"_",Parámetros!$C$6),DATA_KPI!$A:$H,6,FALSE),0)</f>
        <v>18504.43</v>
      </c>
      <c r="AI35" s="122">
        <f>IFERROR(+AH35/AG35,0)</f>
        <v>5.2405932630601146</v>
      </c>
      <c r="AJ35" s="124">
        <f>IFERROR(VLOOKUP(_xlfn.CONCAT($AH$3,"_",B35,"_",$AG$2,"_",Parámetros!$C$6),DATA_KPI_PRE!A:F,6,FALSE),0)</f>
        <v>0</v>
      </c>
      <c r="AK35" s="102">
        <f t="shared" ref="AK35" si="99">IFERROR(+(AH35/AJ35)-1,0)</f>
        <v>0</v>
      </c>
      <c r="AM35" s="121">
        <f>IFERROR(VLOOKUP(_xlfn.CONCAT($AM$3,"_",B35,"_",$AM$2,"_",Parámetros!$C$6),DATA_KPI!$A:$H,6,FALSE),0)</f>
        <v>0</v>
      </c>
      <c r="AN35" s="121">
        <f>IFERROR(VLOOKUP(_xlfn.CONCAT($AN$3,"_",B35,"_",$AM$2,"_",Parámetros!$C$6),DATA_KPI!$A:$H,6,FALSE),0)</f>
        <v>0</v>
      </c>
      <c r="AO35" s="122">
        <f t="shared" ref="AO35" si="100">IFERROR(+AN35/AM35,0)</f>
        <v>0</v>
      </c>
      <c r="AP35" s="124">
        <f>IFERROR(VLOOKUP(_xlfn.CONCAT($AN$3,"_",B35,"_",$AM$2,"_",Parámetros!$C$6),DATA_KPI_PRE!A:F,6,FALSE),0)</f>
        <v>0</v>
      </c>
      <c r="AQ35" s="102">
        <f t="shared" ref="AQ35" si="101">IFERROR(+(AN35/AP35)-1,0)</f>
        <v>0</v>
      </c>
      <c r="AS35" s="121">
        <f t="shared" si="81"/>
        <v>3530.9799999999996</v>
      </c>
      <c r="AT35" s="121">
        <f t="shared" si="82"/>
        <v>18504.43</v>
      </c>
      <c r="AU35" s="122">
        <f t="shared" ref="AU35" si="102">IFERROR(+AT35/AS35,0)</f>
        <v>5.2405932630601146</v>
      </c>
      <c r="AV35" s="121">
        <f t="shared" si="80"/>
        <v>0</v>
      </c>
      <c r="AW35" s="102">
        <f t="shared" ref="AW35" si="103">IFERROR(+(AT35/AV35)-1,0)</f>
        <v>0</v>
      </c>
      <c r="AX35" s="132"/>
    </row>
    <row r="36" spans="1:50" ht="14.4" collapsed="1" x14ac:dyDescent="0.3">
      <c r="A36" s="104" t="s">
        <v>2192</v>
      </c>
      <c r="B36" s="105"/>
      <c r="C36" s="106">
        <f>+C35+C34+C33+C32+C31</f>
        <v>112803733.64999995</v>
      </c>
      <c r="D36" s="106">
        <f t="shared" ref="D36:F36" si="104">+D35+D34+D33+D32+D31</f>
        <v>105900091.41999999</v>
      </c>
      <c r="E36" s="102">
        <f t="shared" si="89"/>
        <v>-6.1200476319517305E-2</v>
      </c>
      <c r="F36" s="106">
        <f t="shared" si="104"/>
        <v>113128325.43704541</v>
      </c>
      <c r="G36" s="102">
        <f t="shared" si="78"/>
        <v>-6.3894113071335523E-2</v>
      </c>
      <c r="H36" s="134"/>
      <c r="I36" s="106">
        <f>+I35+I34+I33+I32+I31</f>
        <v>80241532.879999965</v>
      </c>
      <c r="J36" s="106">
        <f t="shared" ref="J36" si="105">+J35+J34+J33+J32+J31</f>
        <v>74313561.659999996</v>
      </c>
      <c r="K36" s="102">
        <f t="shared" ref="K36" si="106">IFERROR(+(J36/I36)-1,0)</f>
        <v>-7.3876594915816995E-2</v>
      </c>
      <c r="L36" s="106">
        <f t="shared" ref="L36" si="107">+L35+L34+L33+L32+L31</f>
        <v>76652862.48732622</v>
      </c>
      <c r="M36" s="102">
        <f>IFERROR(+(J36/L36)-1,0)</f>
        <v>-3.0518114411095865E-2</v>
      </c>
      <c r="N36" s="4"/>
      <c r="O36" s="106">
        <f>+O35+O34+O33+O32+O31</f>
        <v>24225416.919999976</v>
      </c>
      <c r="P36" s="106">
        <f t="shared" ref="P36" si="108">+P35+P34+P33+P32+P31</f>
        <v>23846732.25999999</v>
      </c>
      <c r="Q36" s="102">
        <f t="shared" ref="Q36" si="109">IFERROR(+(P36/O36)-1,0)</f>
        <v>-1.5631708682270484E-2</v>
      </c>
      <c r="R36" s="106">
        <f t="shared" ref="R36" si="110">+R35+R34+R33+R32+R31</f>
        <v>24925943.512665585</v>
      </c>
      <c r="S36" s="102">
        <f>IFERROR(+(P36/R36)-1,0)</f>
        <v>-4.3296706185553813E-2</v>
      </c>
      <c r="U36" s="106">
        <f>+U35+U34+U33+U32+U31</f>
        <v>6910355.4800000004</v>
      </c>
      <c r="V36" s="106">
        <f t="shared" ref="V36" si="111">+V35+V34+V33+V32+V31</f>
        <v>6567689.0999999996</v>
      </c>
      <c r="W36" s="102">
        <f t="shared" ref="W36" si="112">IFERROR(+(V36/U36)-1,0)</f>
        <v>-4.9587373759822917E-2</v>
      </c>
      <c r="X36" s="106">
        <f t="shared" ref="X36" si="113">+X35+X34+X33+X32+X31</f>
        <v>8533733.7089428511</v>
      </c>
      <c r="Y36" s="102">
        <f>IFERROR(+(V36/X36)-1,0)</f>
        <v>-0.23038504317079311</v>
      </c>
      <c r="Z36" s="5"/>
      <c r="AA36" s="106">
        <f>+AA35+AA34+AA33+AA32+AA31</f>
        <v>0</v>
      </c>
      <c r="AB36" s="106">
        <f t="shared" ref="AB36" si="114">+AB35+AB34+AB33+AB32+AB31</f>
        <v>0</v>
      </c>
      <c r="AC36" s="102">
        <f t="shared" ref="AC36" si="115">IFERROR(+(AB36/AA36)-1,0)</f>
        <v>0</v>
      </c>
      <c r="AD36" s="106">
        <f t="shared" ref="AD36" si="116">+AD35+AD34+AD33+AD32+AD31</f>
        <v>0</v>
      </c>
      <c r="AE36" s="102">
        <f>IFERROR(+(AB36/AD36)-1,0)</f>
        <v>0</v>
      </c>
      <c r="AF36" s="4"/>
      <c r="AG36" s="106">
        <f>+AG35+AG34+AG33+AG32+AG31</f>
        <v>1286031.4899999998</v>
      </c>
      <c r="AH36" s="106">
        <f t="shared" ref="AH36" si="117">+AH35+AH34+AH33+AH32+AH31</f>
        <v>1058399.5499999998</v>
      </c>
      <c r="AI36" s="102">
        <f t="shared" ref="AI36" si="118">IFERROR(+(AH36/AG36)-1,0)</f>
        <v>-0.17700339515014518</v>
      </c>
      <c r="AJ36" s="106">
        <f t="shared" ref="AJ36" si="119">+AJ35+AJ34+AJ33+AJ32+AJ31</f>
        <v>2823333.0767955515</v>
      </c>
      <c r="AK36" s="102">
        <f>IFERROR(+(AH36/AJ36)-1,0)</f>
        <v>-0.62512409226570242</v>
      </c>
      <c r="AL36" s="5"/>
      <c r="AM36" s="106">
        <f>+AM35+AM34+AM33+AM32+AM31</f>
        <v>140396.88</v>
      </c>
      <c r="AN36" s="106">
        <f t="shared" ref="AN36" si="120">+AN35+AN34+AN33+AN32+AN31</f>
        <v>113708.85</v>
      </c>
      <c r="AO36" s="102">
        <f t="shared" ref="AO36" si="121">IFERROR(+(AN36/AM36)-1,0)</f>
        <v>-0.19008990798086112</v>
      </c>
      <c r="AP36" s="106">
        <f t="shared" ref="AP36" si="122">+AP35+AP34+AP33+AP32+AP31</f>
        <v>192452.65131519205</v>
      </c>
      <c r="AQ36" s="102">
        <f>IFERROR(+(AN36/AP36)-1,0)</f>
        <v>-0.40915934790749264</v>
      </c>
      <c r="AS36" s="106">
        <f>+AS35+AS34+AS33+AS32+AS31</f>
        <v>1426428.3699999999</v>
      </c>
      <c r="AT36" s="106">
        <f t="shared" ref="AT36" si="123">+AT35+AT34+AT33+AT32+AT31</f>
        <v>1172108.3999999999</v>
      </c>
      <c r="AU36" s="102">
        <f t="shared" ref="AU36" si="124">IFERROR(+(AT36/AS36)-1,0)</f>
        <v>-0.1782914413010448</v>
      </c>
      <c r="AV36" s="106">
        <f t="shared" ref="AV36" si="125">+AV35+AV34+AV33+AV32+AV31</f>
        <v>3015785.7281107437</v>
      </c>
      <c r="AW36" s="102">
        <f>IFERROR(+(AT36/AV36)-1,0)</f>
        <v>-0.61134228168979565</v>
      </c>
      <c r="AX36" s="132"/>
    </row>
    <row r="37" spans="1:50" ht="14.4" hidden="1" outlineLevel="1" x14ac:dyDescent="0.3">
      <c r="A37" s="1"/>
      <c r="B37" s="1"/>
      <c r="C37" s="68"/>
      <c r="D37" s="68"/>
      <c r="E37" s="34"/>
      <c r="F37" s="68"/>
      <c r="G37" s="34"/>
      <c r="H37" s="134"/>
      <c r="I37" s="73"/>
      <c r="J37" s="73"/>
      <c r="K37" s="22"/>
      <c r="L37" s="29"/>
      <c r="M37" s="34"/>
      <c r="N37" s="5"/>
      <c r="O37" s="73"/>
      <c r="P37" s="73"/>
      <c r="Q37" s="22"/>
      <c r="R37" s="29"/>
      <c r="S37" s="34"/>
      <c r="U37" s="73"/>
      <c r="V37" s="73"/>
      <c r="W37" s="22"/>
      <c r="X37" s="29"/>
      <c r="Y37" s="34"/>
      <c r="Z37" s="5"/>
      <c r="AA37" s="73"/>
      <c r="AB37" s="73"/>
      <c r="AC37" s="22"/>
      <c r="AD37" s="29"/>
      <c r="AE37" s="34"/>
      <c r="AF37" s="5"/>
      <c r="AG37" s="73"/>
      <c r="AH37" s="73"/>
      <c r="AI37" s="22"/>
      <c r="AJ37" s="29"/>
      <c r="AK37" s="34"/>
      <c r="AL37" s="5"/>
      <c r="AM37" s="73"/>
      <c r="AN37" s="73"/>
      <c r="AO37" s="22"/>
      <c r="AP37" s="29"/>
      <c r="AQ37" s="34"/>
      <c r="AS37" s="73"/>
      <c r="AT37" s="73"/>
      <c r="AU37" s="22"/>
      <c r="AV37" s="29"/>
      <c r="AW37" s="34"/>
      <c r="AX37" s="132"/>
    </row>
    <row r="38" spans="1:50" ht="14.4" hidden="1" outlineLevel="1" x14ac:dyDescent="0.3">
      <c r="A38" s="100" t="s">
        <v>6</v>
      </c>
      <c r="B38" s="100" t="str">
        <f>IF(IFERROR(VLOOKUP(A38,DATA_KPI!$D:$H,5,FALSE),"")="",VLOOKUP(A38,DATA_KPI_PRE!$D:$H,5,FALSE),VLOOKUP(A38,DATA_KPI!$D:$H,5,FALSE))</f>
        <v>S08</v>
      </c>
      <c r="C38" s="101">
        <f>IFERROR(VLOOKUP(_xlfn.CONCAT($C$3,"_",B38,"_",$C$2,"_",Parámetros!$C$6),DATA_KPI!$A:$H,6,FALSE),0)</f>
        <v>25392157.280000001</v>
      </c>
      <c r="D38" s="101">
        <f>IFERROR(VLOOKUP(_xlfn.CONCAT($D$3,"_",B38,"_",$C$2,"_",Parámetros!$C$6),DATA_KPI!A:H,6,FALSE),0)</f>
        <v>24211254.320000034</v>
      </c>
      <c r="E38" s="102">
        <f>IFERROR(+(D38/C38)-1,0)</f>
        <v>-4.6506602293697186E-2</v>
      </c>
      <c r="F38" s="101">
        <f>IFERROR(VLOOKUP(_xlfn.CONCAT($D$3,"_",B38,"_",$C$2,"_",Parámetros!$C$6),DATA_KPI_PRE!$A:$F,6,FALSE),0)</f>
        <v>24973716.010469642</v>
      </c>
      <c r="G38" s="102">
        <f>IFERROR(+(D38/F38)-1,0)</f>
        <v>-3.0530566222101818E-2</v>
      </c>
      <c r="H38" s="134"/>
      <c r="I38" s="121">
        <f>IFERROR(VLOOKUP(_xlfn.CONCAT($I$3,"_",B38,"_",$I$2,"_",Parámetros!$C$6),DATA_KPI!$A:$H,6,FALSE),0)</f>
        <v>21575021.43</v>
      </c>
      <c r="J38" s="121">
        <f>IFERROR(VLOOKUP(_xlfn.CONCAT($J$3,"_",B38,"_",$I$2,"_",Parámetros!$C$6),DATA_KPI!$A:$H,6,FALSE),0)</f>
        <v>21431430.320000034</v>
      </c>
      <c r="K38" s="122">
        <f>IFERROR(+(J38/I38)-1,0)</f>
        <v>-6.6554330184953603E-3</v>
      </c>
      <c r="L38" s="123">
        <f>IFERROR(VLOOKUP(_xlfn.CONCAT($J$3,"_",B38,"_",$I$2,"_",Parámetros!$C$6),DATA_KPI_PRE!A:F,6,FALSE),0)</f>
        <v>19937031.03341173</v>
      </c>
      <c r="M38" s="102">
        <f>IFERROR(+(J38/L38)-1,0)</f>
        <v>7.4955959294234598E-2</v>
      </c>
      <c r="N38" s="4"/>
      <c r="O38" s="121">
        <f>IFERROR(VLOOKUP(_xlfn.CONCAT($O$3,"_",B38,"_",$O$2,"_",Parámetros!$C$6),DATA_KPI!$A:$H,6,FALSE),0)</f>
        <v>1624335.9300000004</v>
      </c>
      <c r="P38" s="121">
        <f>IFERROR(VLOOKUP(_xlfn.CONCAT($P$3,"_",B38,"_",$O$2,"_",Parámetros!$C$6),DATA_KPI!$A:$H,6,FALSE),0)</f>
        <v>1493348.09</v>
      </c>
      <c r="Q38" s="122">
        <f>IFERROR(+(P38/O38)-1,0)</f>
        <v>-8.064085610665539E-2</v>
      </c>
      <c r="R38" s="124">
        <f>IFERROR(VLOOKUP(_xlfn.CONCAT($P$3,"_",B38,"_",$O$2,"_",Parámetros!$C$6),DATA_KPI_PRE!A:F,6,FALSE),0)</f>
        <v>1664044.3780813469</v>
      </c>
      <c r="S38" s="102">
        <f>IFERROR(+(P38/R38)-1,0)</f>
        <v>-0.10257916815785928</v>
      </c>
      <c r="U38" s="121">
        <f>IFERROR(VLOOKUP(_xlfn.CONCAT($U$3,"_",B38,"_",$U$2,"_",Parámetros!$C$6),DATA_KPI!$A:$H,6,FALSE),0)</f>
        <v>1294851.6400000001</v>
      </c>
      <c r="V38" s="121">
        <f>IFERROR(VLOOKUP(_xlfn.CONCAT($V$3,"_",B38,"_",$U$2,"_",Parámetros!$C$6),DATA_KPI!$A:$H,6,FALSE),0)</f>
        <v>576962.28</v>
      </c>
      <c r="W38" s="122">
        <f>IFERROR(+(V38/U38)-1,0)</f>
        <v>-0.55441823435463233</v>
      </c>
      <c r="X38" s="124">
        <f>IFERROR(VLOOKUP(_xlfn.CONCAT($V$3,"_",B38,"_",$U$2,"_",Parámetros!$C$6),DATA_KPI_PRE!A:F,6,FALSE),0)</f>
        <v>1663129.7479706954</v>
      </c>
      <c r="Y38" s="102">
        <f>IFERROR(+(V38/X38)-1,0)</f>
        <v>-0.6530864289427849</v>
      </c>
      <c r="Z38" s="5"/>
      <c r="AA38" s="121">
        <f>IFERROR(VLOOKUP(_xlfn.CONCAT($AA$3,"_",B38,"_",$AA$2,"_",Parámetros!$C$6),DATA_KPI!$A:$H,6,FALSE),0)</f>
        <v>557132.87999999989</v>
      </c>
      <c r="AB38" s="121">
        <f>IFERROR(VLOOKUP(_xlfn.CONCAT($AB$3,"_",B38,"_",$AA$2,"_",Parámetros!$C$6),DATA_KPI!$A:$H,6,FALSE),0)</f>
        <v>289283.39</v>
      </c>
      <c r="AC38" s="122">
        <f>IFERROR(+(AB38/AA38)-1,0)</f>
        <v>-0.4807641042474462</v>
      </c>
      <c r="AD38" s="124">
        <f>IFERROR(VLOOKUP(_xlfn.CONCAT($AB$3,"_",B38,"_",$AA$2,"_",Parámetros!$C$6),DATA_KPI_PRE!A:F,6,FALSE),0)</f>
        <v>574400.89912399685</v>
      </c>
      <c r="AE38" s="102">
        <f>IFERROR(+(AB38/AD38)-1,0)</f>
        <v>-0.49637371661294716</v>
      </c>
      <c r="AF38" s="5"/>
      <c r="AG38" s="121">
        <f>IFERROR(VLOOKUP(_xlfn.CONCAT($AG$3,"_",B38,"_",$AG$2,"_",Parámetros!$C$6),DATA_KPI!$A:$H,6,FALSE),0)</f>
        <v>154931.93</v>
      </c>
      <c r="AH38" s="121">
        <f>IFERROR(VLOOKUP(_xlfn.CONCAT($AH$3,"_",B38,"_",$AG$2,"_",Parámetros!$C$6),DATA_KPI!$A:$H,6,FALSE),0)</f>
        <v>334495.71000000002</v>
      </c>
      <c r="AI38" s="122">
        <f>IFERROR(+(AH38/AG38)-1,0)</f>
        <v>1.15898498133987</v>
      </c>
      <c r="AJ38" s="124">
        <f>IFERROR(VLOOKUP(_xlfn.CONCAT($AH$3,"_",B38,"_",$AG$2,"_",Parámetros!$C$6),DATA_KPI_PRE!A:F,6,FALSE),0)</f>
        <v>886938.17639550671</v>
      </c>
      <c r="AK38" s="102">
        <f>IFERROR(+(AH38/AJ38)-1,0)</f>
        <v>-0.62286468335438916</v>
      </c>
      <c r="AL38" s="5"/>
      <c r="AM38" s="121">
        <f>IFERROR(VLOOKUP(_xlfn.CONCAT($AM$3,"_",B38,"_",$AM$2,"_",Parámetros!$C$6),DATA_KPI!$A:$H,6,FALSE),0)</f>
        <v>185883.47</v>
      </c>
      <c r="AN38" s="121">
        <f>IFERROR(VLOOKUP(_xlfn.CONCAT($AN$3,"_",B38,"_",$AM$2,"_",Parámetros!$C$6),DATA_KPI!$A:$H,6,FALSE),0)</f>
        <v>85734.53</v>
      </c>
      <c r="AO38" s="122">
        <f>IFERROR(+AN38/AM38,0)</f>
        <v>0.4612272947131878</v>
      </c>
      <c r="AP38" s="124">
        <f>IFERROR(VLOOKUP(_xlfn.CONCAT($AN$3,"_",B38,"_",$AM$2,"_",Parámetros!$C$6),DATA_KPI_PRE!A:F,6,FALSE),0)</f>
        <v>248171.77548636647</v>
      </c>
      <c r="AQ38" s="102">
        <f>IFERROR(+(AN38/AP38)-1,0)</f>
        <v>-0.65453553357557415</v>
      </c>
      <c r="AS38" s="121">
        <f t="shared" ref="AS38" si="126">+AM38+AG38</f>
        <v>340815.4</v>
      </c>
      <c r="AT38" s="121">
        <f t="shared" ref="AT38" si="127">+AN38+AH38</f>
        <v>420230.24</v>
      </c>
      <c r="AU38" s="122">
        <f>IFERROR(+AT38/AS38,0)</f>
        <v>1.2330142358590603</v>
      </c>
      <c r="AV38" s="121">
        <f t="shared" ref="AV38:AV41" si="128">+AP38+AJ38</f>
        <v>1135109.9518818732</v>
      </c>
      <c r="AW38" s="102">
        <f>IFERROR(+(AT38/AV38)-1,0)</f>
        <v>-0.62978895630039211</v>
      </c>
      <c r="AX38" s="132"/>
    </row>
    <row r="39" spans="1:50" ht="14.4" hidden="1" outlineLevel="1" x14ac:dyDescent="0.3">
      <c r="A39" s="100" t="s">
        <v>7</v>
      </c>
      <c r="B39" s="100" t="str">
        <f>IF(IFERROR(VLOOKUP(A39,DATA_KPI!$D:$H,5,FALSE),"")="",VLOOKUP(A39,DATA_KPI_PRE!$D:$H,5,FALSE),VLOOKUP(A39,DATA_KPI!$D:$H,5,FALSE))</f>
        <v>S38</v>
      </c>
      <c r="C39" s="101">
        <f>IFERROR(VLOOKUP(_xlfn.CONCAT($C$3,"_",B39,"_",$C$2,"_",Parámetros!$C$6),DATA_KPI!$A:$H,6,FALSE),0)</f>
        <v>16382347.37999999</v>
      </c>
      <c r="D39" s="101">
        <f>IFERROR(VLOOKUP(_xlfn.CONCAT($D$3,"_",B39,"_",$C$2,"_",Parámetros!$C$6),DATA_KPI!A:H,6,FALSE),0)</f>
        <v>13768825.690000005</v>
      </c>
      <c r="E39" s="102">
        <f>IFERROR(+(D39/C39)-1,0)</f>
        <v>-0.1595327964532508</v>
      </c>
      <c r="F39" s="101">
        <f>IFERROR(VLOOKUP(_xlfn.CONCAT($D$3,"_",B39,"_",$C$2,"_",Parámetros!$C$6),DATA_KPI_PRE!$A:$F,6,FALSE),0)</f>
        <v>15466879.59518644</v>
      </c>
      <c r="G39" s="102">
        <f>IFERROR(+(D39/F39)-1,0)</f>
        <v>-0.10978645658526354</v>
      </c>
      <c r="H39" s="134"/>
      <c r="I39" s="121">
        <f>IFERROR(VLOOKUP(_xlfn.CONCAT($I$3,"_",B39,"_",$I$2,"_",Parámetros!$C$6),DATA_KPI!$A:$H,6,FALSE),0)</f>
        <v>15581771.87999999</v>
      </c>
      <c r="J39" s="121">
        <f>IFERROR(VLOOKUP(_xlfn.CONCAT($J$3,"_",B39,"_",$I$2,"_",Parámetros!$C$6),DATA_KPI!$A:$H,6,FALSE),0)</f>
        <v>13647490.590000005</v>
      </c>
      <c r="K39" s="122">
        <f>IFERROR(+(J39/I39)-1,0)</f>
        <v>-0.12413744116500214</v>
      </c>
      <c r="L39" s="123">
        <f>IFERROR(VLOOKUP(_xlfn.CONCAT($J$3,"_",B39,"_",$I$2,"_",Parámetros!$C$6),DATA_KPI_PRE!A:F,6,FALSE),0)</f>
        <v>15120404.972976409</v>
      </c>
      <c r="M39" s="102">
        <f>IFERROR(+(J39/L39)-1,0)</f>
        <v>-9.7412363333444829E-2</v>
      </c>
      <c r="N39" s="5"/>
      <c r="O39" s="121">
        <f>IFERROR(VLOOKUP(_xlfn.CONCAT($O$3,"_",B39,"_",$O$2,"_",Parámetros!$C$6),DATA_KPI!$A:$H,6,FALSE),0)</f>
        <v>589660.6</v>
      </c>
      <c r="P39" s="121">
        <f>IFERROR(VLOOKUP(_xlfn.CONCAT($P$3,"_",B39,"_",$O$2,"_",Parámetros!$C$6),DATA_KPI!$A:$H,6,FALSE),0)</f>
        <v>0</v>
      </c>
      <c r="Q39" s="122">
        <f>IFERROR(+(P39/O39)-1,0)</f>
        <v>-1</v>
      </c>
      <c r="R39" s="124">
        <f>IFERROR(VLOOKUP(_xlfn.CONCAT($P$3,"_",B39,"_",$O$2,"_",Parámetros!$C$6),DATA_KPI_PRE!A:F,6,FALSE),0)</f>
        <v>0</v>
      </c>
      <c r="S39" s="102">
        <f>IFERROR(+(P39/R39)-1,0)</f>
        <v>0</v>
      </c>
      <c r="U39" s="121">
        <f>IFERROR(VLOOKUP(_xlfn.CONCAT($U$3,"_",B39,"_",$U$2,"_",Parámetros!$C$6),DATA_KPI!$A:$H,6,FALSE),0)</f>
        <v>210914.90000000005</v>
      </c>
      <c r="V39" s="121">
        <f>IFERROR(VLOOKUP(_xlfn.CONCAT($V$3,"_",B39,"_",$U$2,"_",Parámetros!$C$6),DATA_KPI!$A:$H,6,FALSE),0)</f>
        <v>121335.10000000002</v>
      </c>
      <c r="W39" s="122">
        <f>IFERROR(+(V39/U39)-1,0)</f>
        <v>-0.42472011223483974</v>
      </c>
      <c r="X39" s="124">
        <f>IFERROR(VLOOKUP(_xlfn.CONCAT($V$3,"_",B39,"_",$U$2,"_",Parámetros!$C$6),DATA_KPI_PRE!A:F,6,FALSE),0)</f>
        <v>346474.62221003079</v>
      </c>
      <c r="Y39" s="102">
        <f>IFERROR(+(V39/X39)-1,0)</f>
        <v>-0.64980090251329448</v>
      </c>
      <c r="Z39" s="4"/>
      <c r="AA39" s="121">
        <f>IFERROR(VLOOKUP(_xlfn.CONCAT($AA$3,"_",B39,"_",$AA$2,"_",Parámetros!$C$6),DATA_KPI!$A:$H,6,FALSE),0)</f>
        <v>0</v>
      </c>
      <c r="AB39" s="121">
        <f>IFERROR(VLOOKUP(_xlfn.CONCAT($AB$3,"_",B39,"_",$AA$2,"_",Parámetros!$C$6),DATA_KPI!$A:$H,6,FALSE),0)</f>
        <v>0</v>
      </c>
      <c r="AC39" s="122">
        <f>IFERROR(+(AB39/AA39)-1,0)</f>
        <v>0</v>
      </c>
      <c r="AD39" s="124">
        <f>IFERROR(VLOOKUP(_xlfn.CONCAT($AB$3,"_",B39,"_",$AA$2,"_",Parámetros!$C$6),DATA_KPI_PRE!A:F,6,FALSE),0)</f>
        <v>0</v>
      </c>
      <c r="AE39" s="102">
        <f>IFERROR(+(AB39/AD39)-1,0)</f>
        <v>0</v>
      </c>
      <c r="AF39" s="5"/>
      <c r="AG39" s="121">
        <f>IFERROR(VLOOKUP(_xlfn.CONCAT($AG$3,"_",B39,"_",$AG$2,"_",Parámetros!$C$6),DATA_KPI!$A:$H,6,FALSE),0)</f>
        <v>0</v>
      </c>
      <c r="AH39" s="121">
        <f>IFERROR(VLOOKUP(_xlfn.CONCAT($AH$3,"_",B39,"_",$AG$2,"_",Parámetros!$C$6),DATA_KPI!$A:$H,6,FALSE),0)</f>
        <v>0</v>
      </c>
      <c r="AI39" s="122">
        <f>IFERROR(+(AH39/AG39)-1,0)</f>
        <v>0</v>
      </c>
      <c r="AJ39" s="124">
        <f>IFERROR(VLOOKUP(_xlfn.CONCAT($AH$3,"_",B39,"_",$AG$2,"_",Parámetros!$C$6),DATA_KPI_PRE!A:F,6,FALSE),0)</f>
        <v>0</v>
      </c>
      <c r="AK39" s="102">
        <f>IFERROR(+(AH39/AJ39)-1,0)</f>
        <v>0</v>
      </c>
      <c r="AL39" s="5"/>
      <c r="AM39" s="121">
        <f>IFERROR(VLOOKUP(_xlfn.CONCAT($AM$3,"_",B39,"_",$AM$2,"_",Parámetros!$C$6),DATA_KPI!$A:$H,6,FALSE),0)</f>
        <v>0</v>
      </c>
      <c r="AN39" s="121">
        <f>IFERROR(VLOOKUP(_xlfn.CONCAT($AN$3,"_",B39,"_",$AM$2,"_",Parámetros!$C$6),DATA_KPI!$A:$H,6,FALSE),0)</f>
        <v>0</v>
      </c>
      <c r="AO39" s="122">
        <f>IFERROR(+AN39/AM39,0)</f>
        <v>0</v>
      </c>
      <c r="AP39" s="124">
        <f>IFERROR(VLOOKUP(_xlfn.CONCAT($AN$3,"_",B39,"_",$AM$2,"_",Parámetros!$C$6),DATA_KPI_PRE!A:F,6,FALSE),0)</f>
        <v>0</v>
      </c>
      <c r="AQ39" s="102">
        <f>IFERROR(+(AN39/AP39)-1,0)</f>
        <v>0</v>
      </c>
      <c r="AS39" s="121">
        <f t="shared" ref="AS39:AS41" si="129">+AM39+AG39</f>
        <v>0</v>
      </c>
      <c r="AT39" s="121">
        <f t="shared" ref="AT39:AT41" si="130">+AN39+AH39</f>
        <v>0</v>
      </c>
      <c r="AU39" s="122">
        <f>IFERROR(+AT39/AS39,0)</f>
        <v>0</v>
      </c>
      <c r="AV39" s="121">
        <f t="shared" si="128"/>
        <v>0</v>
      </c>
      <c r="AW39" s="102">
        <f>IFERROR(+(AT39/AV39)-1,0)</f>
        <v>0</v>
      </c>
      <c r="AX39" s="132"/>
    </row>
    <row r="40" spans="1:50" ht="14.4" hidden="1" outlineLevel="1" x14ac:dyDescent="0.3">
      <c r="A40" s="100" t="s">
        <v>17</v>
      </c>
      <c r="B40" s="100" t="str">
        <f>IF(IFERROR(VLOOKUP(A40,DATA_KPI!$D:$H,5,FALSE),"")="",VLOOKUP(A40,DATA_KPI_PRE!$D:$H,5,FALSE),VLOOKUP(A40,DATA_KPI!$D:$H,5,FALSE))</f>
        <v>S39</v>
      </c>
      <c r="C40" s="101">
        <f>IFERROR(VLOOKUP(_xlfn.CONCAT($C$3,"_",B40,"_",$C$2,"_",Parámetros!$C$6),DATA_KPI!$A:$H,6,FALSE),0)</f>
        <v>13723675.609999992</v>
      </c>
      <c r="D40" s="101">
        <f>IFERROR(VLOOKUP(_xlfn.CONCAT($D$3,"_",B40,"_",$C$2,"_",Parámetros!$C$6),DATA_KPI!A:H,6,FALSE),0)</f>
        <v>13686424.279999992</v>
      </c>
      <c r="E40" s="102">
        <f>IFERROR(+(D40/C40)-1,0)</f>
        <v>-2.714384328120989E-3</v>
      </c>
      <c r="F40" s="101">
        <f>IFERROR(VLOOKUP(_xlfn.CONCAT($D$3,"_",B40,"_",$C$2,"_",Parámetros!$C$6),DATA_KPI_PRE!$A:$F,6,FALSE),0)</f>
        <v>12747347.784145249</v>
      </c>
      <c r="G40" s="102">
        <f>IFERROR(+(D40/F40)-1,0)</f>
        <v>7.3668382769217056E-2</v>
      </c>
      <c r="H40" s="134"/>
      <c r="I40" s="121">
        <f>IFERROR(VLOOKUP(_xlfn.CONCAT($I$3,"_",B40,"_",$I$2,"_",Parámetros!$C$6),DATA_KPI!$A:$H,6,FALSE),0)</f>
        <v>9520082.4399999939</v>
      </c>
      <c r="J40" s="121">
        <f>IFERROR(VLOOKUP(_xlfn.CONCAT($J$3,"_",B40,"_",$I$2,"_",Parámetros!$C$6),DATA_KPI!$A:$H,6,FALSE),0)</f>
        <v>9699979.6199999936</v>
      </c>
      <c r="K40" s="122">
        <f>IFERROR(+(J40/I40)-1,0)</f>
        <v>1.8896598966846812E-2</v>
      </c>
      <c r="L40" s="123">
        <f>IFERROR(VLOOKUP(_xlfn.CONCAT($J$3,"_",B40,"_",$I$2,"_",Parámetros!$C$6),DATA_KPI_PRE!A:F,6,FALSE),0)</f>
        <v>9001810.5935910381</v>
      </c>
      <c r="M40" s="102">
        <f>IFERROR(+(J40/L40)-1,0)</f>
        <v>7.7558733229293519E-2</v>
      </c>
      <c r="N40" s="4"/>
      <c r="O40" s="121">
        <f>IFERROR(VLOOKUP(_xlfn.CONCAT($O$3,"_",B40,"_",$O$2,"_",Parámetros!$C$6),DATA_KPI!$A:$H,6,FALSE),0)</f>
        <v>3328182.0799999987</v>
      </c>
      <c r="P40" s="121">
        <f>IFERROR(VLOOKUP(_xlfn.CONCAT($P$3,"_",B40,"_",$O$2,"_",Parámetros!$C$6),DATA_KPI!$A:$H,6,FALSE),0)</f>
        <v>3116462.1099999971</v>
      </c>
      <c r="Q40" s="122">
        <f>IFERROR(+(P40/O40)-1,0)</f>
        <v>-6.3614299010948838E-2</v>
      </c>
      <c r="R40" s="123">
        <f>IFERROR(VLOOKUP(_xlfn.CONCAT($P$3,"_",B40,"_",$O$2,"_",Parámetros!$C$6),DATA_KPI_PRE!A:F,6,FALSE),0)</f>
        <v>3030562.0833268785</v>
      </c>
      <c r="S40" s="102">
        <f>IFERROR(+(P40/R40)-1,0)</f>
        <v>2.8344585694419999E-2</v>
      </c>
      <c r="U40" s="121">
        <f>IFERROR(VLOOKUP(_xlfn.CONCAT($U$3,"_",B40,"_",$U$2,"_",Parámetros!$C$6),DATA_KPI!$A:$H,6,FALSE),0)</f>
        <v>875411.09000000032</v>
      </c>
      <c r="V40" s="121">
        <f>IFERROR(VLOOKUP(_xlfn.CONCAT($V$3,"_",B40,"_",$U$2,"_",Parámetros!$C$6),DATA_KPI!$A:$H,6,FALSE),0)</f>
        <v>869982.55</v>
      </c>
      <c r="W40" s="122">
        <f>IFERROR(+(V40/U40)-1,0)</f>
        <v>-6.2011323160188203E-3</v>
      </c>
      <c r="X40" s="123">
        <f>IFERROR(VLOOKUP(_xlfn.CONCAT($V$3,"_",B40,"_",$U$2,"_",Parámetros!$C$6),DATA_KPI_PRE!A:F,6,FALSE),0)</f>
        <v>712915.54691910371</v>
      </c>
      <c r="Y40" s="102">
        <f>IFERROR(+(V40/X40)-1,0)</f>
        <v>0.22031642283531117</v>
      </c>
      <c r="Z40" s="5"/>
      <c r="AA40" s="121">
        <f>IFERROR(VLOOKUP(_xlfn.CONCAT($AA$3,"_",B40,"_",$AA$2,"_",Parámetros!$C$6),DATA_KPI!$A:$H,6,FALSE),0)</f>
        <v>0</v>
      </c>
      <c r="AB40" s="121">
        <f>IFERROR(VLOOKUP(_xlfn.CONCAT($AB$3,"_",B40,"_",$AA$2,"_",Parámetros!$C$6),DATA_KPI!$A:$H,6,FALSE),0)</f>
        <v>0</v>
      </c>
      <c r="AC40" s="122">
        <f>IFERROR(+(AB40/AA40)-1,0)</f>
        <v>0</v>
      </c>
      <c r="AD40" s="123">
        <f>IFERROR(VLOOKUP(_xlfn.CONCAT($AB$3,"_",B40,"_",$AA$2,"_",Parámetros!$C$6),DATA_KPI_PRE!A:F,6,FALSE),0)</f>
        <v>0</v>
      </c>
      <c r="AE40" s="102">
        <f>IFERROR(+(AB40/AD40)-1,0)</f>
        <v>0</v>
      </c>
      <c r="AF40" s="4"/>
      <c r="AG40" s="121">
        <f>IFERROR(VLOOKUP(_xlfn.CONCAT($AG$3,"_",B40,"_",$AG$2,"_",Parámetros!$C$6),DATA_KPI!$A:$H,6,FALSE),0)</f>
        <v>0</v>
      </c>
      <c r="AH40" s="121">
        <f>IFERROR(VLOOKUP(_xlfn.CONCAT($AH$3,"_",B40,"_",$AG$2,"_",Parámetros!$C$6),DATA_KPI!$A:$H,6,FALSE),0)</f>
        <v>0</v>
      </c>
      <c r="AI40" s="122">
        <f>IFERROR(+(AH40/AG40)-1,0)</f>
        <v>0</v>
      </c>
      <c r="AJ40" s="123">
        <f>IFERROR(VLOOKUP(_xlfn.CONCAT($AH$3,"_",B40,"_",$AG$2,"_",Parámetros!$C$6),DATA_KPI_PRE!A:F,6,FALSE),0)</f>
        <v>0</v>
      </c>
      <c r="AK40" s="102">
        <f>IFERROR(+(AH40/AJ40)-1,0)</f>
        <v>0</v>
      </c>
      <c r="AL40" s="5"/>
      <c r="AM40" s="121">
        <f>IFERROR(VLOOKUP(_xlfn.CONCAT($AM$3,"_",B40,"_",$AM$2,"_",Parámetros!$C$6),DATA_KPI!$A:$H,6,FALSE),0)</f>
        <v>0</v>
      </c>
      <c r="AN40" s="121">
        <f>IFERROR(VLOOKUP(_xlfn.CONCAT($AN$3,"_",B40,"_",$AM$2,"_",Parámetros!$C$6),DATA_KPI!$A:$H,6,FALSE),0)</f>
        <v>0</v>
      </c>
      <c r="AO40" s="122">
        <f>IFERROR(+AN40/AM40,0)</f>
        <v>0</v>
      </c>
      <c r="AP40" s="123">
        <f>IFERROR(VLOOKUP(_xlfn.CONCAT($AN$3,"_",B40,"_",$AM$2,"_",Parámetros!$C$6),DATA_KPI_PRE!A:F,6,FALSE),0)</f>
        <v>2059.5603082287244</v>
      </c>
      <c r="AQ40" s="102">
        <f>IFERROR(+(AN40/AP40)-1,0)</f>
        <v>-1</v>
      </c>
      <c r="AS40" s="121">
        <f t="shared" si="129"/>
        <v>0</v>
      </c>
      <c r="AT40" s="121">
        <f t="shared" si="130"/>
        <v>0</v>
      </c>
      <c r="AU40" s="122">
        <f>IFERROR(+AT40/AS40,0)</f>
        <v>0</v>
      </c>
      <c r="AV40" s="121">
        <f t="shared" si="128"/>
        <v>2059.5603082287244</v>
      </c>
      <c r="AW40" s="102">
        <f>IFERROR(+(AT40/AV40)-1,0)</f>
        <v>-1</v>
      </c>
      <c r="AX40" s="132"/>
    </row>
    <row r="41" spans="1:50" ht="14.4" hidden="1" outlineLevel="1" x14ac:dyDescent="0.3">
      <c r="A41" s="100" t="s">
        <v>113</v>
      </c>
      <c r="B41" s="100" t="s">
        <v>114</v>
      </c>
      <c r="C41" s="101">
        <f>IFERROR(VLOOKUP(_xlfn.CONCAT($C$3,"_",B41,"_",$C$2,"_",Parámetros!$C$6),DATA_KPI!$A:$H,6,FALSE),0)</f>
        <v>9300473.1199999936</v>
      </c>
      <c r="D41" s="101">
        <f>IFERROR(VLOOKUP(_xlfn.CONCAT($D$3,"_",B41,"_",$C$2,"_",Parámetros!$C$6),DATA_KPI!A:H,6,FALSE),0)</f>
        <v>9776510.0799999963</v>
      </c>
      <c r="E41" s="102">
        <f>IFERROR(+(D41/C41)-1,0)</f>
        <v>5.1184165994342834E-2</v>
      </c>
      <c r="F41" s="101">
        <f>IFERROR(VLOOKUP(_xlfn.CONCAT($D$3,"_",B41,"_",$C$2,"_",Parámetros!$C$6),DATA_KPI_PRE!$A:$F,6,FALSE),0)</f>
        <v>9996843.0704637393</v>
      </c>
      <c r="G41" s="102">
        <f>IFERROR(+(D41/F41)-1,0)</f>
        <v>-2.2040257000205399E-2</v>
      </c>
      <c r="H41" s="113"/>
      <c r="I41" s="121">
        <f>IFERROR(VLOOKUP(_xlfn.CONCAT($I$3,"_",B41,"_",$I$2,"_",Parámetros!$C$6),DATA_KPI!$A:$H,6,FALSE),0)</f>
        <v>6590534.1599999946</v>
      </c>
      <c r="J41" s="121">
        <f>IFERROR(VLOOKUP(_xlfn.CONCAT($J$3,"_",B41,"_",$I$2,"_",Parámetros!$C$6),DATA_KPI!$A:$H,6,FALSE),0)</f>
        <v>6680235.5999999978</v>
      </c>
      <c r="K41" s="122">
        <f>IFERROR(+J41/I41,0)</f>
        <v>1.0136106479114286</v>
      </c>
      <c r="L41" s="123">
        <f>IFERROR(VLOOKUP(_xlfn.CONCAT($J$3,"_",B41,"_",$I$2,"_",Parámetros!$C$6),DATA_KPI_PRE!A:F,6,FALSE),0)</f>
        <v>7079792.1992498003</v>
      </c>
      <c r="M41" s="102">
        <f>IFERROR(+(J41/L41)-1,0)</f>
        <v>-5.6436204341158591E-2</v>
      </c>
      <c r="N41" s="4"/>
      <c r="O41" s="121">
        <f>IFERROR(VLOOKUP(_xlfn.CONCAT($O$3,"_",B41,"_",$O$2,"_",Parámetros!$C$6),DATA_KPI!$A:$H,6,FALSE),0)</f>
        <v>2146447.4299999992</v>
      </c>
      <c r="P41" s="121">
        <f>IFERROR(VLOOKUP(_xlfn.CONCAT($P$3,"_",B41,"_",$O$2,"_",Parámetros!$C$6),DATA_KPI!$A:$H,6,FALSE),0)</f>
        <v>2761031.6799999992</v>
      </c>
      <c r="Q41" s="122">
        <f>IFERROR(+P41/O41,0)</f>
        <v>1.2863262530496731</v>
      </c>
      <c r="R41" s="123">
        <f>IFERROR(VLOOKUP(_xlfn.CONCAT($P$3,"_",B41,"_",$O$2,"_",Parámetros!$C$6),DATA_KPI_PRE!A:F,6,FALSE),0)</f>
        <v>2357683.2152534355</v>
      </c>
      <c r="S41" s="102">
        <f>IFERROR(+(P41/R41)-1,0)</f>
        <v>0.17107831202132306</v>
      </c>
      <c r="U41" s="121">
        <f>IFERROR(VLOOKUP(_xlfn.CONCAT($U$3,"_",B41,"_",$U$2,"_",Parámetros!$C$6),DATA_KPI!$A:$H,6,FALSE),0)</f>
        <v>551119.85</v>
      </c>
      <c r="V41" s="121">
        <f>IFERROR(VLOOKUP(_xlfn.CONCAT($V$3,"_",B41,"_",$U$2,"_",Parámetros!$C$6),DATA_KPI!$A:$H,6,FALSE),0)</f>
        <v>335242.79999999993</v>
      </c>
      <c r="W41" s="122">
        <f>IFERROR(+V41/U41,0)</f>
        <v>0.60829382211509886</v>
      </c>
      <c r="X41" s="123">
        <f>IFERROR(VLOOKUP(_xlfn.CONCAT($V$3,"_",B41,"_",$U$2,"_",Parámetros!$C$6),DATA_KPI_PRE!A:F,6,FALSE),0)</f>
        <v>559367.65596050303</v>
      </c>
      <c r="Y41" s="102">
        <f>IFERROR(+(V41/X41)-1,0)</f>
        <v>-0.40067539403159302</v>
      </c>
      <c r="Z41" s="5"/>
      <c r="AA41" s="121">
        <f>IFERROR(VLOOKUP(_xlfn.CONCAT($AA$3,"_",B41,"_",$AA$2,"_",Parámetros!$C$6),DATA_KPI!$A:$H,6,FALSE),0)</f>
        <v>0</v>
      </c>
      <c r="AB41" s="121">
        <f>IFERROR(VLOOKUP(_xlfn.CONCAT($AB$3,"_",B41,"_",$AA$2,"_",Parámetros!$C$6),DATA_KPI!$A:$H,6,FALSE),0)</f>
        <v>0</v>
      </c>
      <c r="AC41" s="122">
        <f>IFERROR(+AB41/AA41,0)</f>
        <v>0</v>
      </c>
      <c r="AD41" s="123">
        <f>IFERROR(VLOOKUP(_xlfn.CONCAT($AB$3,"_",B41,"_",$AA$2,"_",Parámetros!$C$6),DATA_KPI_PRE!A:F,6,FALSE),0)</f>
        <v>0</v>
      </c>
      <c r="AE41" s="102">
        <f>IFERROR(+(AB41/AD41)-1,0)</f>
        <v>0</v>
      </c>
      <c r="AF41" s="4"/>
      <c r="AG41" s="121">
        <f>IFERROR(VLOOKUP(_xlfn.CONCAT($AG$3,"_",B41,"_",$AG$2,"_",Parámetros!$C$6),DATA_KPI!$A:$H,6,FALSE),0)</f>
        <v>12371.68</v>
      </c>
      <c r="AH41" s="121">
        <f>IFERROR(VLOOKUP(_xlfn.CONCAT($AH$3,"_",B41,"_",$AG$2,"_",Parámetros!$C$6),DATA_KPI!$A:$H,6,FALSE),0)</f>
        <v>0</v>
      </c>
      <c r="AI41" s="122">
        <f>IFERROR(+AH41/AG41,0)</f>
        <v>0</v>
      </c>
      <c r="AJ41" s="123">
        <f>IFERROR(VLOOKUP(_xlfn.CONCAT($AH$3,"_",B41,"_",$AG$2,"_",Parámetros!$C$6),DATA_KPI_PRE!A:F,6,FALSE),0)</f>
        <v>0</v>
      </c>
      <c r="AK41" s="102">
        <f>IFERROR(+(AH41/AJ41)-1,0)</f>
        <v>0</v>
      </c>
      <c r="AL41" s="5"/>
      <c r="AM41" s="121">
        <f>IFERROR(VLOOKUP(_xlfn.CONCAT($AM$3,"_",B41,"_",$AM$2,"_",Parámetros!$C$6),DATA_KPI!$A:$H,6,FALSE),0)</f>
        <v>0</v>
      </c>
      <c r="AN41" s="121">
        <f>IFERROR(VLOOKUP(_xlfn.CONCAT($AN$3,"_",B41,"_",$AM$2,"_",Parámetros!$C$6),DATA_KPI!$A:$H,6,FALSE),0)</f>
        <v>0</v>
      </c>
      <c r="AO41" s="122">
        <f>IFERROR(+AN41/AM41,0)</f>
        <v>0</v>
      </c>
      <c r="AP41" s="123">
        <f>IFERROR(VLOOKUP(_xlfn.CONCAT($AN$3,"_",B41,"_",$AM$2,"_",Parámetros!$C$6),DATA_KPI_PRE!A:F,6,FALSE),0)</f>
        <v>0</v>
      </c>
      <c r="AQ41" s="102">
        <f>IFERROR(+(AN41/AP41)-1,0)</f>
        <v>0</v>
      </c>
      <c r="AS41" s="121">
        <f t="shared" si="129"/>
        <v>12371.68</v>
      </c>
      <c r="AT41" s="121">
        <f t="shared" si="130"/>
        <v>0</v>
      </c>
      <c r="AU41" s="122">
        <f>IFERROR(+AT41/AS41,0)</f>
        <v>0</v>
      </c>
      <c r="AV41" s="121">
        <f t="shared" si="128"/>
        <v>0</v>
      </c>
      <c r="AW41" s="102">
        <f>IFERROR(+(AT41/AV41)-1,0)</f>
        <v>0</v>
      </c>
      <c r="AX41" s="132"/>
    </row>
    <row r="42" spans="1:50" ht="14.4" collapsed="1" x14ac:dyDescent="0.3">
      <c r="A42" s="104" t="s">
        <v>6</v>
      </c>
      <c r="B42" s="105"/>
      <c r="C42" s="106">
        <f>+C41+C40+C39+C38</f>
        <v>64798653.389999978</v>
      </c>
      <c r="D42" s="106">
        <f t="shared" ref="D42:F42" si="131">+D41+D40+D39+D38</f>
        <v>61443014.370000035</v>
      </c>
      <c r="E42" s="102">
        <f>IFERROR(+(D42/C42)-1,0)</f>
        <v>-5.1785628935890782E-2</v>
      </c>
      <c r="F42" s="106">
        <f t="shared" si="131"/>
        <v>63184786.46026507</v>
      </c>
      <c r="G42" s="102">
        <f>IFERROR(+(D42/F42)-1,0)</f>
        <v>-2.7566320752866358E-2</v>
      </c>
      <c r="H42" s="134"/>
      <c r="I42" s="106">
        <f>+I41+I40+I39+I38</f>
        <v>53267409.909999982</v>
      </c>
      <c r="J42" s="106">
        <f t="shared" ref="J42" si="132">+J41+J40+J39+J38</f>
        <v>51459136.130000025</v>
      </c>
      <c r="K42" s="102">
        <f>IFERROR(+(J42/I42)-1,0)</f>
        <v>-3.3947094162362967E-2</v>
      </c>
      <c r="L42" s="106">
        <f t="shared" ref="L42" si="133">+L41+L40+L39+L38</f>
        <v>51139038.799228981</v>
      </c>
      <c r="M42" s="102">
        <f>IFERROR(+(J42/L42)-1,0)</f>
        <v>6.2593536813966288E-3</v>
      </c>
      <c r="N42" s="5"/>
      <c r="O42" s="106">
        <f>+O41+O40+O39+O38</f>
        <v>7688626.0399999982</v>
      </c>
      <c r="P42" s="106">
        <f t="shared" ref="P42" si="134">+P41+P40+P39+P38</f>
        <v>7370841.8799999962</v>
      </c>
      <c r="Q42" s="102">
        <f>IFERROR(+(P42/O42)-1,0)</f>
        <v>-4.1331722774229473E-2</v>
      </c>
      <c r="R42" s="106">
        <f t="shared" ref="R42" si="135">+R41+R40+R39+R38</f>
        <v>7052289.6766616609</v>
      </c>
      <c r="S42" s="102">
        <f>IFERROR(+(P42/R42)-1,0)</f>
        <v>4.5170039511072346E-2</v>
      </c>
      <c r="U42" s="106">
        <f>+U41+U40+U39+U38</f>
        <v>2932297.4800000004</v>
      </c>
      <c r="V42" s="106">
        <f t="shared" ref="V42" si="136">+V41+V40+V39+V38</f>
        <v>1903522.7300000002</v>
      </c>
      <c r="W42" s="102">
        <f>IFERROR(+(V42/U42)-1,0)</f>
        <v>-0.35084255844328593</v>
      </c>
      <c r="X42" s="106">
        <f t="shared" ref="X42" si="137">+X41+X40+X39+X38</f>
        <v>3281887.5730603328</v>
      </c>
      <c r="Y42" s="102">
        <f>IFERROR(+(V42/X42)-1,0)</f>
        <v>-0.41999148733026792</v>
      </c>
      <c r="Z42" s="5"/>
      <c r="AA42" s="106">
        <f>+AA41+AA40+AA39+AA38</f>
        <v>557132.87999999989</v>
      </c>
      <c r="AB42" s="106">
        <f t="shared" ref="AB42" si="138">+AB41+AB40+AB39+AB38</f>
        <v>289283.39</v>
      </c>
      <c r="AC42" s="102">
        <f>IFERROR(+(AB42/AA42)-1,0)</f>
        <v>-0.4807641042474462</v>
      </c>
      <c r="AD42" s="106">
        <f t="shared" ref="AD42" si="139">+AD41+AD40+AD39+AD38</f>
        <v>574400.89912399685</v>
      </c>
      <c r="AE42" s="102">
        <f>IFERROR(+(AB42/AD42)-1,0)</f>
        <v>-0.49637371661294716</v>
      </c>
      <c r="AF42" s="5"/>
      <c r="AG42" s="106">
        <f>+AG41+AG40+AG39+AG38</f>
        <v>167303.60999999999</v>
      </c>
      <c r="AH42" s="106">
        <f t="shared" ref="AH42" si="140">+AH41+AH40+AH39+AH38</f>
        <v>334495.71000000002</v>
      </c>
      <c r="AI42" s="102">
        <f>IFERROR(+(AH42/AG42)-1,0)</f>
        <v>0.99933348718536341</v>
      </c>
      <c r="AJ42" s="106">
        <f t="shared" ref="AJ42" si="141">+AJ41+AJ40+AJ39+AJ38</f>
        <v>886938.17639550671</v>
      </c>
      <c r="AK42" s="102">
        <f>IFERROR(+(AH42/AJ42)-1,0)</f>
        <v>-0.62286468335438916</v>
      </c>
      <c r="AL42" s="5"/>
      <c r="AM42" s="106">
        <f>+AM41+AM40+AM39+AM38</f>
        <v>185883.47</v>
      </c>
      <c r="AN42" s="106">
        <f t="shared" ref="AN42" si="142">+AN41+AN40+AN39+AN38</f>
        <v>85734.53</v>
      </c>
      <c r="AO42" s="102">
        <f>IFERROR(+(AN42/AM42)-1,0)</f>
        <v>-0.5387727052868122</v>
      </c>
      <c r="AP42" s="106">
        <f t="shared" ref="AP42" si="143">+AP41+AP40+AP39+AP38</f>
        <v>250231.33579459519</v>
      </c>
      <c r="AQ42" s="102">
        <f>IFERROR(+(AN42/AP42)-1,0)</f>
        <v>-0.65737892207722526</v>
      </c>
      <c r="AS42" s="106">
        <f>+AS41+AS40+AS39+AS38</f>
        <v>353187.08</v>
      </c>
      <c r="AT42" s="106">
        <f t="shared" ref="AT42" si="144">+AT41+AT40+AT39+AT38</f>
        <v>420230.24</v>
      </c>
      <c r="AU42" s="102">
        <f>IFERROR(+(AT42/AS42)-1,0)</f>
        <v>0.18982336499964836</v>
      </c>
      <c r="AV42" s="106">
        <f t="shared" ref="AV42" si="145">+AV41+AV40+AV39+AV38</f>
        <v>1137169.5121901019</v>
      </c>
      <c r="AW42" s="102">
        <f>IFERROR(+(AT42/AV42)-1,0)</f>
        <v>-0.63045945613625487</v>
      </c>
      <c r="AX42" s="132"/>
    </row>
    <row r="43" spans="1:50" ht="14.4" hidden="1" outlineLevel="1" x14ac:dyDescent="0.3">
      <c r="A43" s="1"/>
      <c r="B43" s="1"/>
      <c r="C43" s="68"/>
      <c r="D43" s="68"/>
      <c r="E43" s="34"/>
      <c r="F43" s="68"/>
      <c r="G43" s="34"/>
      <c r="H43" s="134"/>
      <c r="I43" s="73"/>
      <c r="J43" s="73"/>
      <c r="K43" s="22"/>
      <c r="L43" s="29"/>
      <c r="M43" s="34"/>
      <c r="N43" s="5"/>
      <c r="O43" s="73"/>
      <c r="P43" s="73"/>
      <c r="Q43" s="22"/>
      <c r="R43" s="29"/>
      <c r="S43" s="34"/>
      <c r="U43" s="73"/>
      <c r="V43" s="73"/>
      <c r="W43" s="22"/>
      <c r="X43" s="29"/>
      <c r="Y43" s="34"/>
      <c r="Z43" s="5"/>
      <c r="AA43" s="73"/>
      <c r="AB43" s="73"/>
      <c r="AC43" s="22"/>
      <c r="AD43" s="29"/>
      <c r="AE43" s="34"/>
      <c r="AF43" s="5"/>
      <c r="AG43" s="73"/>
      <c r="AH43" s="73"/>
      <c r="AI43" s="22"/>
      <c r="AJ43" s="29"/>
      <c r="AK43" s="34"/>
      <c r="AL43" s="5"/>
      <c r="AM43" s="73"/>
      <c r="AN43" s="73"/>
      <c r="AO43" s="22"/>
      <c r="AP43" s="29"/>
      <c r="AQ43" s="34"/>
      <c r="AS43" s="73"/>
      <c r="AT43" s="73"/>
      <c r="AU43" s="22"/>
      <c r="AV43" s="29"/>
      <c r="AW43" s="34"/>
      <c r="AX43" s="132"/>
    </row>
    <row r="44" spans="1:50" ht="14.4" hidden="1" outlineLevel="1" x14ac:dyDescent="0.3">
      <c r="A44" s="100" t="s">
        <v>9</v>
      </c>
      <c r="B44" s="100" t="str">
        <f>IF(IFERROR(VLOOKUP(A44,DATA_KPI!$D:$H,5,FALSE),"")="",VLOOKUP(A44,DATA_KPI_PRE!$D:$H,5,FALSE),VLOOKUP(A44,DATA_KPI!$D:$H,5,FALSE))</f>
        <v>S12</v>
      </c>
      <c r="C44" s="101">
        <f>IFERROR(VLOOKUP(_xlfn.CONCAT($C$3,"_",B44,"_",$C$2,"_",Parámetros!$C$6),DATA_KPI!$A:$H,6,FALSE),0)</f>
        <v>24447374.670000009</v>
      </c>
      <c r="D44" s="101">
        <f>IFERROR(VLOOKUP(_xlfn.CONCAT($D$3,"_",B44,"_",$C$2,"_",Parámetros!$C$6),DATA_KPI!A:H,6,FALSE),0)</f>
        <v>21786622.780000005</v>
      </c>
      <c r="E44" s="102">
        <f>IFERROR(+(D44/C44)-1,0)</f>
        <v>-0.10883589448420738</v>
      </c>
      <c r="F44" s="101">
        <f>IFERROR(VLOOKUP(_xlfn.CONCAT($D$3,"_",B44,"_",$C$2,"_",Parámetros!$C$6),DATA_KPI_PRE!$A:$F,6,FALSE),0)</f>
        <v>22970474.829578836</v>
      </c>
      <c r="G44" s="102">
        <f>IFERROR(+(D44/F44)-1,0)</f>
        <v>-5.1537987715186362E-2</v>
      </c>
      <c r="H44" s="134"/>
      <c r="I44" s="121">
        <f>IFERROR(VLOOKUP(_xlfn.CONCAT($I$3,"_",B44,"_",$I$2,"_",Parámetros!$C$6),DATA_KPI!$A:$H,6,FALSE),0)</f>
        <v>14872712.05000001</v>
      </c>
      <c r="J44" s="121">
        <f>IFERROR(VLOOKUP(_xlfn.CONCAT($J$3,"_",B44,"_",$I$2,"_",Parámetros!$C$6),DATA_KPI!$A:$H,6,FALSE),0)</f>
        <v>13225496.160000002</v>
      </c>
      <c r="K44" s="122">
        <f>IFERROR(+(J44/I44)-1,0)</f>
        <v>-0.11075423799387063</v>
      </c>
      <c r="L44" s="123">
        <f>IFERROR(VLOOKUP(_xlfn.CONCAT($J$3,"_",B44,"_",$I$2,"_",Parámetros!$C$6),DATA_KPI_PRE!A:F,6,FALSE),0)</f>
        <v>13579794.327954855</v>
      </c>
      <c r="M44" s="102">
        <f>IFERROR(+(J44/L44)-1,0)</f>
        <v>-2.6090098229654912E-2</v>
      </c>
      <c r="N44" s="4"/>
      <c r="O44" s="121">
        <f>IFERROR(VLOOKUP(_xlfn.CONCAT($O$3,"_",B44,"_",$O$2,"_",Parámetros!$C$6),DATA_KPI!$A:$H,6,FALSE),0)</f>
        <v>6320125.9300000016</v>
      </c>
      <c r="P44" s="121">
        <f>IFERROR(VLOOKUP(_xlfn.CONCAT($P$3,"_",B44,"_",$O$2,"_",Parámetros!$C$6),DATA_KPI!$A:$H,6,FALSE),0)</f>
        <v>6048879.1300000036</v>
      </c>
      <c r="Q44" s="122">
        <f>IFERROR(+(P44/O44)-1,0)</f>
        <v>-4.2917942301190504E-2</v>
      </c>
      <c r="R44" s="123">
        <f>IFERROR(VLOOKUP(_xlfn.CONCAT($P$3,"_",B44,"_",$O$2,"_",Parámetros!$C$6),DATA_KPI_PRE!A:F,6,FALSE),0)</f>
        <v>5933870.1513937637</v>
      </c>
      <c r="S44" s="102">
        <f>IFERROR(+(P44/R44)-1,0)</f>
        <v>1.9381782154303862E-2</v>
      </c>
      <c r="U44" s="121">
        <f>IFERROR(VLOOKUP(_xlfn.CONCAT($U$3,"_",B44,"_",$U$2,"_",Parámetros!$C$6),DATA_KPI!$A:$H,6,FALSE),0)</f>
        <v>2205356.62</v>
      </c>
      <c r="V44" s="121">
        <f>IFERROR(VLOOKUP(_xlfn.CONCAT($V$3,"_",B44,"_",$U$2,"_",Parámetros!$C$6),DATA_KPI!$A:$H,6,FALSE),0)</f>
        <v>1727867.4900000002</v>
      </c>
      <c r="W44" s="122">
        <f>IFERROR(+(V44/U44)-1,0)</f>
        <v>-0.21651334104866893</v>
      </c>
      <c r="X44" s="123">
        <f>IFERROR(VLOOKUP(_xlfn.CONCAT($V$3,"_",B44,"_",$U$2,"_",Parámetros!$C$6),DATA_KPI_PRE!A:F,6,FALSE),0)</f>
        <v>2152914.8440660294</v>
      </c>
      <c r="Y44" s="102">
        <f>IFERROR(+(V44/X44)-1,0)</f>
        <v>-0.19742878137403608</v>
      </c>
      <c r="Z44" s="4"/>
      <c r="AA44" s="121">
        <f>IFERROR(VLOOKUP(_xlfn.CONCAT($AA$3,"_",B44,"_",$AA$2,"_",Parámetros!$C$6),DATA_KPI!$A:$H,6,FALSE),0)</f>
        <v>0</v>
      </c>
      <c r="AB44" s="121">
        <f>IFERROR(VLOOKUP(_xlfn.CONCAT($AB$3,"_",B44,"_",$AA$2,"_",Parámetros!$C$6),DATA_KPI!$A:$H,6,FALSE),0)</f>
        <v>0</v>
      </c>
      <c r="AC44" s="122">
        <f>IFERROR(+(AB44/AA44)-1,0)</f>
        <v>0</v>
      </c>
      <c r="AD44" s="123">
        <f>IFERROR(VLOOKUP(_xlfn.CONCAT($AB$3,"_",B44,"_",$AA$2,"_",Parámetros!$C$6),DATA_KPI_PRE!A:F,6,FALSE),0)</f>
        <v>0</v>
      </c>
      <c r="AE44" s="102">
        <f>IFERROR(+(AB44/AD44)-1,0)</f>
        <v>0</v>
      </c>
      <c r="AF44" s="5"/>
      <c r="AG44" s="121">
        <f>IFERROR(VLOOKUP(_xlfn.CONCAT($AG$3,"_",B44,"_",$AG$2,"_",Parámetros!$C$6),DATA_KPI!$A:$H,6,FALSE),0)</f>
        <v>1017596</v>
      </c>
      <c r="AH44" s="121">
        <f>IFERROR(VLOOKUP(_xlfn.CONCAT($AH$3,"_",B44,"_",$AG$2,"_",Parámetros!$C$6),DATA_KPI!$A:$H,6,FALSE),0)</f>
        <v>646981.67999999993</v>
      </c>
      <c r="AI44" s="122">
        <f>IFERROR(+(AH44/AG44)-1,0)</f>
        <v>-0.36420575552576862</v>
      </c>
      <c r="AJ44" s="123">
        <f>IFERROR(VLOOKUP(_xlfn.CONCAT($AH$3,"_",B44,"_",$AG$2,"_",Parámetros!$C$6),DATA_KPI_PRE!A:F,6,FALSE),0)</f>
        <v>1247389.5424574732</v>
      </c>
      <c r="AK44" s="102">
        <f>IFERROR(+(AH44/AJ44)-1,0)</f>
        <v>-0.48133148629305811</v>
      </c>
      <c r="AL44" s="5"/>
      <c r="AM44" s="121">
        <f>IFERROR(VLOOKUP(_xlfn.CONCAT($AM$3,"_",B44,"_",$AM$2,"_",Parámetros!$C$6),DATA_KPI!$A:$H,6,FALSE),0)</f>
        <v>31584.07</v>
      </c>
      <c r="AN44" s="121">
        <f>IFERROR(VLOOKUP(_xlfn.CONCAT($AN$3,"_",B44,"_",$AM$2,"_",Parámetros!$C$6),DATA_KPI!$A:$H,6,FALSE),0)</f>
        <v>137398.32</v>
      </c>
      <c r="AO44" s="122">
        <f>IFERROR(+AN44/AM44,0)</f>
        <v>4.3502411183865792</v>
      </c>
      <c r="AP44" s="123">
        <f>IFERROR(VLOOKUP(_xlfn.CONCAT($AN$3,"_",B44,"_",$AM$2,"_",Parámetros!$C$6),DATA_KPI_PRE!A:F,6,FALSE),0)</f>
        <v>56505.963706714712</v>
      </c>
      <c r="AQ44" s="102">
        <f>IFERROR(+(AN44/AP44)-1,0)</f>
        <v>1.4315720144716813</v>
      </c>
      <c r="AS44" s="121">
        <f t="shared" ref="AS44" si="146">+AM44+AG44</f>
        <v>1049180.07</v>
      </c>
      <c r="AT44" s="121">
        <f t="shared" ref="AT44" si="147">+AN44+AH44</f>
        <v>784380</v>
      </c>
      <c r="AU44" s="122">
        <f>IFERROR(+AT44/AS44,0)</f>
        <v>0.74761237124910307</v>
      </c>
      <c r="AV44" s="121">
        <f t="shared" ref="AV44:AV45" si="148">+AP44+AJ44</f>
        <v>1303895.506164188</v>
      </c>
      <c r="AW44" s="102">
        <f>IFERROR(+(AT44/AV44)-1,0)</f>
        <v>-0.39843338956854268</v>
      </c>
      <c r="AX44" s="132"/>
    </row>
    <row r="45" spans="1:50" ht="14.4" hidden="1" outlineLevel="1" x14ac:dyDescent="0.3">
      <c r="A45" s="100" t="s">
        <v>16</v>
      </c>
      <c r="B45" s="100" t="str">
        <f>IF(IFERROR(VLOOKUP(A45,DATA_KPI!$D:$H,5,FALSE),"")="",VLOOKUP(A45,DATA_KPI_PRE!$D:$H,5,FALSE),VLOOKUP(A45,DATA_KPI!$D:$H,5,FALSE))</f>
        <v>S67</v>
      </c>
      <c r="C45" s="101">
        <f>IFERROR(VLOOKUP(_xlfn.CONCAT($C$3,"_",B45,"_",$C$2,"_",Parámetros!$C$6),DATA_KPI!$A:$H,6,FALSE),0)</f>
        <v>19320579.510000002</v>
      </c>
      <c r="D45" s="101">
        <f>IFERROR(VLOOKUP(_xlfn.CONCAT($D$3,"_",B45,"_",$C$2,"_",Parámetros!$C$6),DATA_KPI!A:H,6,FALSE),0)</f>
        <v>18079547.339999996</v>
      </c>
      <c r="E45" s="102">
        <f>IFERROR(+(D45/C45)-1,0)</f>
        <v>-6.423369285365732E-2</v>
      </c>
      <c r="F45" s="101">
        <f>IFERROR(VLOOKUP(_xlfn.CONCAT($D$3,"_",B45,"_",$C$2,"_",Parámetros!$C$6),DATA_KPI_PRE!$A:$F,6,FALSE),0)</f>
        <v>18041671.937593214</v>
      </c>
      <c r="G45" s="102">
        <f>IFERROR(+(D45/F45)-1,0)</f>
        <v>2.099328850330151E-3</v>
      </c>
      <c r="H45" s="134"/>
      <c r="I45" s="121">
        <f>IFERROR(VLOOKUP(_xlfn.CONCAT($I$3,"_",B45,"_",$I$2,"_",Parámetros!$C$6),DATA_KPI!$A:$H,6,FALSE),0)</f>
        <v>10013002.870000003</v>
      </c>
      <c r="J45" s="121">
        <f>IFERROR(VLOOKUP(_xlfn.CONCAT($J$3,"_",B45,"_",$I$2,"_",Parámetros!$C$6),DATA_KPI!$A:$H,6,FALSE),0)</f>
        <v>9468990.5399999917</v>
      </c>
      <c r="K45" s="122">
        <f>IFERROR(+(J45/I45)-1,0)</f>
        <v>-5.4330587643186323E-2</v>
      </c>
      <c r="L45" s="123">
        <f>IFERROR(VLOOKUP(_xlfn.CONCAT($J$3,"_",B45,"_",$I$2,"_",Parámetros!$C$6),DATA_KPI_PRE!A:F,6,FALSE),0)</f>
        <v>9191049.9811692014</v>
      </c>
      <c r="M45" s="102">
        <f>IFERROR(+(J45/L45)-1,0)</f>
        <v>3.0240348969947872E-2</v>
      </c>
      <c r="N45" s="4"/>
      <c r="O45" s="121">
        <f>IFERROR(VLOOKUP(_xlfn.CONCAT($O$3,"_",B45,"_",$O$2,"_",Parámetros!$C$6),DATA_KPI!$A:$H,6,FALSE),0)</f>
        <v>7462701.169999999</v>
      </c>
      <c r="P45" s="121">
        <f>IFERROR(VLOOKUP(_xlfn.CONCAT($P$3,"_",B45,"_",$O$2,"_",Parámetros!$C$6),DATA_KPI!$A:$H,6,FALSE),0)</f>
        <v>7212804.7100000037</v>
      </c>
      <c r="Q45" s="122">
        <f>IFERROR(+(P45/O45)-1,0)</f>
        <v>-3.3486060115146654E-2</v>
      </c>
      <c r="R45" s="123">
        <f>IFERROR(VLOOKUP(_xlfn.CONCAT($P$3,"_",B45,"_",$O$2,"_",Parámetros!$C$6),DATA_KPI_PRE!A:F,6,FALSE),0)</f>
        <v>6829387.4524599314</v>
      </c>
      <c r="S45" s="102">
        <f>IFERROR(+(P45/R45)-1,0)</f>
        <v>5.6142261690243611E-2</v>
      </c>
      <c r="U45" s="121">
        <f>IFERROR(VLOOKUP(_xlfn.CONCAT($U$3,"_",B45,"_",$U$2,"_",Parámetros!$C$6),DATA_KPI!$A:$H,6,FALSE),0)</f>
        <v>1385450.5900000003</v>
      </c>
      <c r="V45" s="121">
        <f>IFERROR(VLOOKUP(_xlfn.CONCAT($V$3,"_",B45,"_",$U$2,"_",Parámetros!$C$6),DATA_KPI!$A:$H,6,FALSE),0)</f>
        <v>1119129.8600000001</v>
      </c>
      <c r="W45" s="122">
        <f>IFERROR(+(V45/U45)-1,0)</f>
        <v>-0.19222679749264837</v>
      </c>
      <c r="X45" s="123">
        <f>IFERROR(VLOOKUP(_xlfn.CONCAT($V$3,"_",B45,"_",$U$2,"_",Parámetros!$C$6),DATA_KPI_PRE!A:F,6,FALSE),0)</f>
        <v>1421691.5269245445</v>
      </c>
      <c r="Y45" s="102">
        <f>IFERROR(+(V45/X45)-1,0)</f>
        <v>-0.21281808408822478</v>
      </c>
      <c r="Z45" s="4"/>
      <c r="AA45" s="121">
        <f>IFERROR(VLOOKUP(_xlfn.CONCAT($AA$3,"_",B45,"_",$AA$2,"_",Parámetros!$C$6),DATA_KPI!$A:$H,6,FALSE),0)</f>
        <v>0</v>
      </c>
      <c r="AB45" s="121">
        <f>IFERROR(VLOOKUP(_xlfn.CONCAT($AB$3,"_",B45,"_",$AA$2,"_",Parámetros!$C$6),DATA_KPI!$A:$H,6,FALSE),0)</f>
        <v>0</v>
      </c>
      <c r="AC45" s="122">
        <f>IFERROR(+(AB45/AA45)-1,0)</f>
        <v>0</v>
      </c>
      <c r="AD45" s="123">
        <f>IFERROR(VLOOKUP(_xlfn.CONCAT($AB$3,"_",B45,"_",$AA$2,"_",Parámetros!$C$6),DATA_KPI_PRE!A:F,6,FALSE),0)</f>
        <v>0</v>
      </c>
      <c r="AE45" s="102">
        <f>IFERROR(+(AB45/AD45)-1,0)</f>
        <v>0</v>
      </c>
      <c r="AF45" s="4"/>
      <c r="AG45" s="121">
        <f>IFERROR(VLOOKUP(_xlfn.CONCAT($AG$3,"_",B45,"_",$AG$2,"_",Parámetros!$C$6),DATA_KPI!$A:$H,6,FALSE),0)</f>
        <v>392752.32000000007</v>
      </c>
      <c r="AH45" s="121">
        <f>IFERROR(VLOOKUP(_xlfn.CONCAT($AH$3,"_",B45,"_",$AG$2,"_",Parámetros!$C$6),DATA_KPI!$A:$H,6,FALSE),0)</f>
        <v>257604.51999999996</v>
      </c>
      <c r="AI45" s="122">
        <f>IFERROR(+(AH45/AG45)-1,0)</f>
        <v>-0.34410439637886825</v>
      </c>
      <c r="AJ45" s="123">
        <f>IFERROR(VLOOKUP(_xlfn.CONCAT($AH$3,"_",B45,"_",$AG$2,"_",Parámetros!$C$6),DATA_KPI_PRE!A:F,6,FALSE),0)</f>
        <v>545513.09339573944</v>
      </c>
      <c r="AK45" s="102">
        <f>IFERROR(+(AH45/AJ45)-1,0)</f>
        <v>-0.52777573422399571</v>
      </c>
      <c r="AL45" s="4"/>
      <c r="AM45" s="121">
        <f>IFERROR(VLOOKUP(_xlfn.CONCAT($AM$3,"_",B45,"_",$AM$2,"_",Parámetros!$C$6),DATA_KPI!$A:$H,6,FALSE),0)</f>
        <v>66672.56</v>
      </c>
      <c r="AN45" s="121">
        <f>IFERROR(VLOOKUP(_xlfn.CONCAT($AN$3,"_",B45,"_",$AM$2,"_",Parámetros!$C$6),DATA_KPI!$A:$H,6,FALSE),0)</f>
        <v>21017.71</v>
      </c>
      <c r="AO45" s="122">
        <f>IFERROR(+AN45/AM45,0)</f>
        <v>0.31523778297998456</v>
      </c>
      <c r="AP45" s="123">
        <f>IFERROR(VLOOKUP(_xlfn.CONCAT($AN$3,"_",B45,"_",$AM$2,"_",Parámetros!$C$6),DATA_KPI_PRE!A:F,6,FALSE),0)</f>
        <v>54029.883643795947</v>
      </c>
      <c r="AQ45" s="102">
        <f>IFERROR(+(AN45/AP45)-1,0)</f>
        <v>-0.61099842193694265</v>
      </c>
      <c r="AS45" s="121">
        <f t="shared" ref="AS45" si="149">+AM45+AG45</f>
        <v>459424.88000000006</v>
      </c>
      <c r="AT45" s="121">
        <f t="shared" ref="AT45" si="150">+AN45+AH45</f>
        <v>278622.23</v>
      </c>
      <c r="AU45" s="122">
        <f>IFERROR(+AT45/AS45,0)</f>
        <v>0.60645873162115194</v>
      </c>
      <c r="AV45" s="121">
        <f t="shared" si="148"/>
        <v>599542.97703953541</v>
      </c>
      <c r="AW45" s="102">
        <f>IFERROR(+(AT45/AV45)-1,0)</f>
        <v>-0.53527563382395038</v>
      </c>
      <c r="AX45" s="132"/>
    </row>
    <row r="46" spans="1:50" ht="14.4" collapsed="1" x14ac:dyDescent="0.3">
      <c r="A46" s="104" t="s">
        <v>2191</v>
      </c>
      <c r="B46" s="105"/>
      <c r="C46" s="106">
        <f>+C45+C44</f>
        <v>43767954.180000007</v>
      </c>
      <c r="D46" s="106">
        <f t="shared" ref="D46:F46" si="151">+D45+D44</f>
        <v>39866170.120000005</v>
      </c>
      <c r="E46" s="102">
        <f>IFERROR(+(D46/C46)-1,0)</f>
        <v>-8.9147051378127729E-2</v>
      </c>
      <c r="F46" s="106">
        <f t="shared" si="151"/>
        <v>41012146.767172053</v>
      </c>
      <c r="G46" s="102">
        <f>IFERROR(+(D46/F46)-1,0)</f>
        <v>-2.7942371650960252E-2</v>
      </c>
      <c r="H46" s="134"/>
      <c r="I46" s="106">
        <f>+I45+I44</f>
        <v>24885714.920000013</v>
      </c>
      <c r="J46" s="106">
        <f t="shared" ref="J46" si="152">+J45+J44</f>
        <v>22694486.699999996</v>
      </c>
      <c r="K46" s="102">
        <f>IFERROR(+(J46/I46)-1,0)</f>
        <v>-8.8051648387203141E-2</v>
      </c>
      <c r="L46" s="106">
        <f t="shared" ref="L46" si="153">+L45+L44</f>
        <v>22770844.309124056</v>
      </c>
      <c r="M46" s="102">
        <f>IFERROR(+(J46/L46)-1,0)</f>
        <v>-3.3533060121738734E-3</v>
      </c>
      <c r="N46" s="4"/>
      <c r="O46" s="106">
        <f>+O45+O44</f>
        <v>13782827.100000001</v>
      </c>
      <c r="P46" s="106">
        <f t="shared" ref="P46" si="154">+P45+P44</f>
        <v>13261683.840000007</v>
      </c>
      <c r="Q46" s="102">
        <f>IFERROR(+(P46/O46)-1,0)</f>
        <v>-3.781105692024489E-2</v>
      </c>
      <c r="R46" s="106">
        <f t="shared" ref="R46" si="155">+R45+R44</f>
        <v>12763257.603853695</v>
      </c>
      <c r="S46" s="102">
        <f>IFERROR(+(P46/R46)-1,0)</f>
        <v>3.9051647441153303E-2</v>
      </c>
      <c r="U46" s="106">
        <f>+U45+U44</f>
        <v>3590807.2100000004</v>
      </c>
      <c r="V46" s="106">
        <f t="shared" ref="V46" si="156">+V45+V44</f>
        <v>2846997.3500000006</v>
      </c>
      <c r="W46" s="102">
        <f>IFERROR(+(V46/U46)-1,0)</f>
        <v>-0.20714280007252184</v>
      </c>
      <c r="X46" s="106">
        <f t="shared" ref="X46" si="157">+X45+X44</f>
        <v>3574606.3709905739</v>
      </c>
      <c r="Y46" s="102">
        <f>IFERROR(+(V46/X46)-1,0)</f>
        <v>-0.20354941089330136</v>
      </c>
      <c r="Z46" s="4"/>
      <c r="AA46" s="106">
        <f>+AA45+AA44</f>
        <v>0</v>
      </c>
      <c r="AB46" s="106">
        <f t="shared" ref="AB46" si="158">+AB45+AB44</f>
        <v>0</v>
      </c>
      <c r="AC46" s="102">
        <f>IFERROR(+(AB46/AA46)-1,0)</f>
        <v>0</v>
      </c>
      <c r="AD46" s="106">
        <f t="shared" ref="AD46" si="159">+AD45+AD44</f>
        <v>0</v>
      </c>
      <c r="AE46" s="102">
        <f>IFERROR(+(AB46/AD46)-1,0)</f>
        <v>0</v>
      </c>
      <c r="AF46" s="4"/>
      <c r="AG46" s="106">
        <f>+AG45+AG44</f>
        <v>1410348.32</v>
      </c>
      <c r="AH46" s="106">
        <f t="shared" ref="AH46" si="160">+AH45+AH44</f>
        <v>904586.2</v>
      </c>
      <c r="AI46" s="102">
        <f>IFERROR(+(AH46/AG46)-1,0)</f>
        <v>-0.35860795012681701</v>
      </c>
      <c r="AJ46" s="106">
        <f t="shared" ref="AJ46" si="161">+AJ45+AJ44</f>
        <v>1792902.6358532128</v>
      </c>
      <c r="AK46" s="102">
        <f>IFERROR(+(AH46/AJ46)-1,0)</f>
        <v>-0.49546273070789348</v>
      </c>
      <c r="AL46" s="4"/>
      <c r="AM46" s="106">
        <f>+AM45+AM44</f>
        <v>98256.63</v>
      </c>
      <c r="AN46" s="106">
        <f t="shared" ref="AN46" si="162">+AN45+AN44</f>
        <v>158416.03</v>
      </c>
      <c r="AO46" s="102">
        <f>IFERROR(+(AN46/AM46)-1,0)</f>
        <v>0.61226809834613705</v>
      </c>
      <c r="AP46" s="106">
        <f t="shared" ref="AP46" si="163">+AP45+AP44</f>
        <v>110535.84735051065</v>
      </c>
      <c r="AQ46" s="102">
        <f>IFERROR(+(AN46/AP46)-1,0)</f>
        <v>0.43316429734926309</v>
      </c>
      <c r="AS46" s="106">
        <f>+AS45+AS44</f>
        <v>1508604.9500000002</v>
      </c>
      <c r="AT46" s="106">
        <f t="shared" ref="AT46" si="164">+AT45+AT44</f>
        <v>1063002.23</v>
      </c>
      <c r="AU46" s="102">
        <f>IFERROR(+(AT46/AS46)-1,0)</f>
        <v>-0.29537402750799679</v>
      </c>
      <c r="AV46" s="106">
        <f t="shared" ref="AV46" si="165">+AV45+AV44</f>
        <v>1903438.4832037236</v>
      </c>
      <c r="AW46" s="102">
        <f>IFERROR(+(AT46/AV46)-1,0)</f>
        <v>-0.44153581038729706</v>
      </c>
      <c r="AX46" s="132"/>
    </row>
    <row r="47" spans="1:50" ht="14.4" hidden="1" outlineLevel="1" x14ac:dyDescent="0.3">
      <c r="A47" s="95"/>
      <c r="B47" s="1"/>
      <c r="C47" s="96"/>
      <c r="D47" s="96"/>
      <c r="E47" s="96"/>
      <c r="F47" s="96"/>
      <c r="G47" s="34"/>
      <c r="H47" s="134"/>
      <c r="I47" s="73"/>
      <c r="J47" s="73"/>
      <c r="K47" s="22"/>
      <c r="L47" s="75"/>
      <c r="M47" s="34"/>
      <c r="N47" s="4"/>
      <c r="O47" s="73"/>
      <c r="P47" s="73"/>
      <c r="Q47" s="22"/>
      <c r="R47" s="75"/>
      <c r="S47" s="34"/>
      <c r="U47" s="73"/>
      <c r="V47" s="73"/>
      <c r="W47" s="22"/>
      <c r="X47" s="75"/>
      <c r="Y47" s="34"/>
      <c r="Z47" s="4"/>
      <c r="AA47" s="73"/>
      <c r="AB47" s="73"/>
      <c r="AC47" s="22"/>
      <c r="AD47" s="75"/>
      <c r="AE47" s="34"/>
      <c r="AF47" s="4"/>
      <c r="AG47" s="73"/>
      <c r="AH47" s="73"/>
      <c r="AI47" s="22"/>
      <c r="AJ47" s="75"/>
      <c r="AK47" s="34"/>
      <c r="AL47" s="4"/>
      <c r="AM47" s="73"/>
      <c r="AN47" s="73"/>
      <c r="AO47" s="22"/>
      <c r="AP47" s="75"/>
      <c r="AQ47" s="34"/>
      <c r="AS47" s="73"/>
      <c r="AT47" s="73"/>
      <c r="AU47" s="22"/>
      <c r="AV47" s="75"/>
      <c r="AW47" s="34"/>
      <c r="AX47" s="132"/>
    </row>
    <row r="48" spans="1:50" ht="14.4" hidden="1" outlineLevel="1" x14ac:dyDescent="0.3">
      <c r="A48" s="100" t="s">
        <v>26</v>
      </c>
      <c r="B48" s="100" t="str">
        <f>IF(IFERROR(VLOOKUP(A48,DATA_KPI!$D:$H,5,FALSE),"")="",VLOOKUP(A48,DATA_KPI_PRE!$D:$H,5,FALSE),VLOOKUP(A48,DATA_KPI!$D:$H,5,FALSE))</f>
        <v>S42</v>
      </c>
      <c r="C48" s="101">
        <f>IFERROR(VLOOKUP(_xlfn.CONCAT($C$3,"_",B48,"_",$C$2,"_",Parámetros!$C$6),DATA_KPI!$A:$H,6,FALSE),0)</f>
        <v>17205595.029999994</v>
      </c>
      <c r="D48" s="101">
        <f>IFERROR(VLOOKUP(_xlfn.CONCAT($D$3,"_",B48,"_",$C$2,"_",Parámetros!$C$6),DATA_KPI!A:H,6,FALSE),0)</f>
        <v>16537087.040000005</v>
      </c>
      <c r="E48" s="102">
        <f>IFERROR(+(D48/C48)-1,0)</f>
        <v>-3.8854104658070043E-2</v>
      </c>
      <c r="F48" s="101">
        <f>IFERROR(VLOOKUP(_xlfn.CONCAT($D$3,"_",B48,"_",$C$2,"_",Parámetros!$C$6),DATA_KPI_PRE!$A:$F,6,FALSE),0)</f>
        <v>17173290.56588728</v>
      </c>
      <c r="G48" s="102">
        <f>IFERROR(+(D48/F48)-1,0)</f>
        <v>-3.7046105022587761E-2</v>
      </c>
      <c r="H48" s="134"/>
      <c r="I48" s="121">
        <f>IFERROR(VLOOKUP(_xlfn.CONCAT($I$3,"_",B48,"_",$I$2,"_",Parámetros!$C$6),DATA_KPI!$A:$H,6,FALSE),0)</f>
        <v>9360675.2999999933</v>
      </c>
      <c r="J48" s="121">
        <f>IFERROR(VLOOKUP(_xlfn.CONCAT($J$3,"_",B48,"_",$I$2,"_",Parámetros!$C$6),DATA_KPI!$A:$H,6,FALSE),0)</f>
        <v>8251107.7400000049</v>
      </c>
      <c r="K48" s="122">
        <f>IFERROR(+(J48/I48)-1,0)</f>
        <v>-0.11853499073939566</v>
      </c>
      <c r="L48" s="123">
        <f>IFERROR(VLOOKUP(_xlfn.CONCAT($J$3,"_",B48,"_",$I$2,"_",Parámetros!$C$6),DATA_KPI_PRE!A:F,6,FALSE),0)</f>
        <v>9165892.1177159566</v>
      </c>
      <c r="M48" s="102">
        <f>IFERROR(+(J48/L48)-1,0)</f>
        <v>-9.9803092374155744E-2</v>
      </c>
      <c r="N48" s="5"/>
      <c r="O48" s="121">
        <f>IFERROR(VLOOKUP(_xlfn.CONCAT($O$3,"_",B48,"_",$O$2,"_",Parámetros!$C$6),DATA_KPI!$A:$H,6,FALSE),0)</f>
        <v>6386731.9000000004</v>
      </c>
      <c r="P48" s="121">
        <f>IFERROR(VLOOKUP(_xlfn.CONCAT($P$3,"_",B48,"_",$O$2,"_",Parámetros!$C$6),DATA_KPI!$A:$H,6,FALSE),0)</f>
        <v>7232788.8100000005</v>
      </c>
      <c r="Q48" s="122">
        <f>IFERROR(+(P48/O48)-1,0)</f>
        <v>0.13247102324742954</v>
      </c>
      <c r="R48" s="124">
        <f>IFERROR(VLOOKUP(_xlfn.CONCAT($P$3,"_",B48,"_",$O$2,"_",Parámetros!$C$6),DATA_KPI_PRE!A:F,6,FALSE),0)</f>
        <v>6268588.6451475145</v>
      </c>
      <c r="S48" s="102">
        <f>IFERROR(+(P48/R48)-1,0)</f>
        <v>0.15381455371120412</v>
      </c>
      <c r="U48" s="121">
        <f>IFERROR(VLOOKUP(_xlfn.CONCAT($U$3,"_",B48,"_",$U$2,"_",Parámetros!$C$6),DATA_KPI!$A:$H,6,FALSE),0)</f>
        <v>1127047.0299999996</v>
      </c>
      <c r="V48" s="121">
        <f>IFERROR(VLOOKUP(_xlfn.CONCAT($V$3,"_",B48,"_",$U$2,"_",Parámetros!$C$6),DATA_KPI!$A:$H,6,FALSE),0)</f>
        <v>628475.61999999965</v>
      </c>
      <c r="W48" s="122">
        <f>IFERROR(+(V48/U48)-1,0)</f>
        <v>-0.44236965870004563</v>
      </c>
      <c r="X48" s="124">
        <f>IFERROR(VLOOKUP(_xlfn.CONCAT($V$3,"_",B48,"_",$U$2,"_",Parámetros!$C$6),DATA_KPI_PRE!A:F,6,FALSE),0)</f>
        <v>1584457.3353220322</v>
      </c>
      <c r="Y48" s="102">
        <f>IFERROR(+(V48/X48)-1,0)</f>
        <v>-0.60334960999611553</v>
      </c>
      <c r="Z48" s="5"/>
      <c r="AA48" s="121">
        <f>IFERROR(VLOOKUP(_xlfn.CONCAT($AA$3,"_",B48,"_",$AA$2,"_",Parámetros!$C$6),DATA_KPI!$A:$H,6,FALSE),0)</f>
        <v>0</v>
      </c>
      <c r="AB48" s="121">
        <f>IFERROR(VLOOKUP(_xlfn.CONCAT($AB$3,"_",B48,"_",$AA$2,"_",Parámetros!$C$6),DATA_KPI!$A:$H,6,FALSE),0)</f>
        <v>0</v>
      </c>
      <c r="AC48" s="122">
        <f>IFERROR(+(AB48/AA48)-1,0)</f>
        <v>0</v>
      </c>
      <c r="AD48" s="124">
        <f>IFERROR(VLOOKUP(_xlfn.CONCAT($AB$3,"_",B48,"_",$AA$2,"_",Parámetros!$C$6),DATA_KPI_PRE!A:F,6,FALSE),0)</f>
        <v>0</v>
      </c>
      <c r="AE48" s="102">
        <f>IFERROR(+(AB48/AD48)-1,0)</f>
        <v>0</v>
      </c>
      <c r="AF48" s="5"/>
      <c r="AG48" s="121">
        <f>IFERROR(VLOOKUP(_xlfn.CONCAT($AG$3,"_",B48,"_",$AG$2,"_",Parámetros!$C$6),DATA_KPI!$A:$H,6,FALSE),0)</f>
        <v>301657.59999999998</v>
      </c>
      <c r="AH48" s="121">
        <f>IFERROR(VLOOKUP(_xlfn.CONCAT($AH$3,"_",B48,"_",$AG$2,"_",Parámetros!$C$6),DATA_KPI!$A:$H,6,FALSE),0)</f>
        <v>397321.40000000008</v>
      </c>
      <c r="AI48" s="122">
        <f>IFERROR(+(AH48/AG48)-1,0)</f>
        <v>0.31712710039461989</v>
      </c>
      <c r="AJ48" s="124">
        <f>IFERROR(VLOOKUP(_xlfn.CONCAT($AH$3,"_",B48,"_",$AG$2,"_",Parámetros!$C$6),DATA_KPI_PRE!A:F,6,FALSE),0)</f>
        <v>103594.97109028713</v>
      </c>
      <c r="AK48" s="102">
        <f>IFERROR(+(AH48/AJ48)-1,0)</f>
        <v>2.8353348219356973</v>
      </c>
      <c r="AL48" s="5"/>
      <c r="AM48" s="121">
        <f>IFERROR(VLOOKUP(_xlfn.CONCAT($AM$3,"_",B48,"_",$AM$2,"_",Parámetros!$C$6),DATA_KPI!$A:$H,6,FALSE),0)</f>
        <v>29483.200000000001</v>
      </c>
      <c r="AN48" s="121">
        <f>IFERROR(VLOOKUP(_xlfn.CONCAT($AN$3,"_",B48,"_",$AM$2,"_",Parámetros!$C$6),DATA_KPI!$A:$H,6,FALSE),0)</f>
        <v>27393.47</v>
      </c>
      <c r="AO48" s="122">
        <f>IFERROR(+AN48/AM48,0)</f>
        <v>0.92912133011342057</v>
      </c>
      <c r="AP48" s="124">
        <f>IFERROR(VLOOKUP(_xlfn.CONCAT($AN$3,"_",B48,"_",$AM$2,"_",Parámetros!$C$6),DATA_KPI_PRE!A:F,6,FALSE),0)</f>
        <v>50757.496611491166</v>
      </c>
      <c r="AQ48" s="102">
        <f>IFERROR(+(AN48/AP48)-1,0)</f>
        <v>-0.46030691368261256</v>
      </c>
      <c r="AS48" s="121">
        <f t="shared" ref="AS48" si="166">+AM48+AG48</f>
        <v>331140.8</v>
      </c>
      <c r="AT48" s="121">
        <f t="shared" ref="AT48" si="167">+AN48+AH48</f>
        <v>424714.87000000011</v>
      </c>
      <c r="AU48" s="122">
        <f>IFERROR(+AT48/AS48,0)</f>
        <v>1.2825809142213829</v>
      </c>
      <c r="AV48" s="121">
        <f t="shared" ref="AV48:AV49" si="168">+AP48+AJ48</f>
        <v>154352.46770177828</v>
      </c>
      <c r="AW48" s="102">
        <f>IFERROR(+(AT48/AV48)-1,0)</f>
        <v>1.7515910585931436</v>
      </c>
      <c r="AX48" s="132"/>
    </row>
    <row r="49" spans="1:50" ht="14.4" hidden="1" outlineLevel="1" x14ac:dyDescent="0.3">
      <c r="A49" s="100" t="s">
        <v>22</v>
      </c>
      <c r="B49" s="100" t="str">
        <f>IF(IFERROR(VLOOKUP(A49,DATA_KPI!$D:$H,5,FALSE),"")="",VLOOKUP(A49,DATA_KPI_PRE!$D:$H,5,FALSE),VLOOKUP(A49,DATA_KPI!$D:$H,5,FALSE))</f>
        <v>S21</v>
      </c>
      <c r="C49" s="101">
        <f>IFERROR(VLOOKUP(_xlfn.CONCAT($C$3,"_",B49,"_",$C$2,"_",Parámetros!$C$6),DATA_KPI!$A:$H,6,FALSE),0)</f>
        <v>18082463.460000012</v>
      </c>
      <c r="D49" s="101">
        <f>IFERROR(VLOOKUP(_xlfn.CONCAT($D$3,"_",B49,"_",$C$2,"_",Parámetros!$C$6),DATA_KPI!A:H,6,FALSE),0)</f>
        <v>14768521.810000001</v>
      </c>
      <c r="E49" s="102">
        <f>IFERROR(+(D49/C49)-1,0)</f>
        <v>-0.18326826194510171</v>
      </c>
      <c r="F49" s="101">
        <f>IFERROR(VLOOKUP(_xlfn.CONCAT($D$3,"_",B49,"_",$C$2,"_",Parámetros!$C$6),DATA_KPI_PRE!$A:$F,6,FALSE),0)</f>
        <v>17317823.30522237</v>
      </c>
      <c r="G49" s="102">
        <f>IFERROR(+(D49/F49)-1,0)</f>
        <v>-0.14720680828598132</v>
      </c>
      <c r="H49" s="113"/>
      <c r="I49" s="121">
        <f>IFERROR(VLOOKUP(_xlfn.CONCAT($I$3,"_",B49,"_",$I$2,"_",Parámetros!$C$6),DATA_KPI!$A:$H,6,FALSE),0)</f>
        <v>15150638.45000001</v>
      </c>
      <c r="J49" s="121">
        <f>IFERROR(VLOOKUP(_xlfn.CONCAT($J$3,"_",B49,"_",$I$2,"_",Parámetros!$C$6),DATA_KPI!$A:$H,6,FALSE),0)</f>
        <v>11849654.549999999</v>
      </c>
      <c r="K49" s="122">
        <f>IFERROR(+(J49/I49)-1,0)</f>
        <v>-0.21787754429583195</v>
      </c>
      <c r="L49" s="123">
        <f>IFERROR(VLOOKUP(_xlfn.CONCAT($J$3,"_",B49,"_",$I$2,"_",Parámetros!$C$6),DATA_KPI_PRE!A:F,6,FALSE),0)</f>
        <v>14044565.168151481</v>
      </c>
      <c r="M49" s="102">
        <f>IFERROR(+(J49/L49)-1,0)</f>
        <v>-0.15628184937536038</v>
      </c>
      <c r="N49" s="4"/>
      <c r="O49" s="121">
        <f>IFERROR(VLOOKUP(_xlfn.CONCAT($O$3,"_",B49,"_",$O$2,"_",Parámetros!$C$6),DATA_KPI!$A:$H,6,FALSE),0)</f>
        <v>2616335.4200000009</v>
      </c>
      <c r="P49" s="121">
        <f>IFERROR(VLOOKUP(_xlfn.CONCAT($P$3,"_",B49,"_",$O$2,"_",Parámetros!$C$6),DATA_KPI!$A:$H,6,FALSE),0)</f>
        <v>2709951.6300000008</v>
      </c>
      <c r="Q49" s="122">
        <f>IFERROR(+(P49/O49)-1,0)</f>
        <v>3.578142515075533E-2</v>
      </c>
      <c r="R49" s="123">
        <f>IFERROR(VLOOKUP(_xlfn.CONCAT($P$3,"_",B49,"_",$O$2,"_",Parámetros!$C$6),DATA_KPI_PRE!A:F,6,FALSE),0)</f>
        <v>2505904.4102216996</v>
      </c>
      <c r="S49" s="102">
        <f>IFERROR(+(P49/R49)-1,0)</f>
        <v>8.1426577544611467E-2</v>
      </c>
      <c r="U49" s="121">
        <f>IFERROR(VLOOKUP(_xlfn.CONCAT($U$3,"_",B49,"_",$U$2,"_",Parámetros!$C$6),DATA_KPI!$A:$H,6,FALSE),0)</f>
        <v>315489.59000000008</v>
      </c>
      <c r="V49" s="121">
        <f>IFERROR(VLOOKUP(_xlfn.CONCAT($V$3,"_",B49,"_",$U$2,"_",Parámetros!$C$6),DATA_KPI!$A:$H,6,FALSE),0)</f>
        <v>208915.63000000006</v>
      </c>
      <c r="W49" s="122">
        <f>IFERROR(+(V49/U49)-1,0)</f>
        <v>-0.3378049969889656</v>
      </c>
      <c r="X49" s="123">
        <f>IFERROR(VLOOKUP(_xlfn.CONCAT($V$3,"_",B49,"_",$U$2,"_",Parámetros!$C$6),DATA_KPI_PRE!A:F,6,FALSE),0)</f>
        <v>767353.72684919136</v>
      </c>
      <c r="Y49" s="102">
        <f>IFERROR(+(V49/X49)-1,0)</f>
        <v>-0.72774533739762703</v>
      </c>
      <c r="Z49" s="5"/>
      <c r="AA49" s="121">
        <f>IFERROR(VLOOKUP(_xlfn.CONCAT($AA$3,"_",B49,"_",$AA$2,"_",Parámetros!$C$6),DATA_KPI!$A:$H,6,FALSE),0)</f>
        <v>0</v>
      </c>
      <c r="AB49" s="121">
        <f>IFERROR(VLOOKUP(_xlfn.CONCAT($AB$3,"_",B49,"_",$AA$2,"_",Parámetros!$C$6),DATA_KPI!$A:$H,6,FALSE),0)</f>
        <v>0</v>
      </c>
      <c r="AC49" s="122">
        <f>IFERROR(+(AB49/AA49)-1,0)</f>
        <v>0</v>
      </c>
      <c r="AD49" s="123">
        <f>IFERROR(VLOOKUP(_xlfn.CONCAT($AB$3,"_",B49,"_",$AA$2,"_",Parámetros!$C$6),DATA_KPI_PRE!A:F,6,FALSE),0)</f>
        <v>0</v>
      </c>
      <c r="AE49" s="102">
        <f>IFERROR(+(AB49/AD49)-1,0)</f>
        <v>0</v>
      </c>
      <c r="AF49" s="4"/>
      <c r="AG49" s="121">
        <f>IFERROR(VLOOKUP(_xlfn.CONCAT($AG$3,"_",B49,"_",$AG$2,"_",Parámetros!$C$6),DATA_KPI!$A:$H,6,FALSE),0)</f>
        <v>0</v>
      </c>
      <c r="AH49" s="121">
        <f>IFERROR(VLOOKUP(_xlfn.CONCAT($AH$3,"_",B49,"_",$AG$2,"_",Parámetros!$C$6),DATA_KPI!$A:$H,6,FALSE),0)</f>
        <v>0</v>
      </c>
      <c r="AI49" s="122">
        <f>IFERROR(+(AH49/AG49)-1,0)</f>
        <v>0</v>
      </c>
      <c r="AJ49" s="123">
        <f>IFERROR(VLOOKUP(_xlfn.CONCAT($AH$3,"_",B49,"_",$AG$2,"_",Parámetros!$C$6),DATA_KPI_PRE!A:F,6,FALSE),0)</f>
        <v>0</v>
      </c>
      <c r="AK49" s="102">
        <f>IFERROR(+(AH49/AJ49)-1,0)</f>
        <v>0</v>
      </c>
      <c r="AL49" s="5"/>
      <c r="AM49" s="121">
        <f>IFERROR(VLOOKUP(_xlfn.CONCAT($AM$3,"_",B49,"_",$AM$2,"_",Parámetros!$C$6),DATA_KPI!$A:$H,6,FALSE),0)</f>
        <v>0</v>
      </c>
      <c r="AN49" s="121">
        <f>IFERROR(VLOOKUP(_xlfn.CONCAT($AN$3,"_",B49,"_",$AM$2,"_",Parámetros!$C$6),DATA_KPI!$A:$H,6,FALSE),0)</f>
        <v>0</v>
      </c>
      <c r="AO49" s="122">
        <f>IFERROR(+AN49/AM49,0)</f>
        <v>0</v>
      </c>
      <c r="AP49" s="123">
        <f>IFERROR(VLOOKUP(_xlfn.CONCAT($AN$3,"_",B49,"_",$AM$2,"_",Parámetros!$C$6),DATA_KPI_PRE!A:F,6,FALSE),0)</f>
        <v>0</v>
      </c>
      <c r="AQ49" s="102">
        <f>IFERROR(+(AN49/AP49)-1,0)</f>
        <v>0</v>
      </c>
      <c r="AS49" s="121">
        <f t="shared" ref="AS49" si="169">+AM49+AG49</f>
        <v>0</v>
      </c>
      <c r="AT49" s="121">
        <f t="shared" ref="AT49" si="170">+AN49+AH49</f>
        <v>0</v>
      </c>
      <c r="AU49" s="122">
        <f>IFERROR(+AT49/AS49,0)</f>
        <v>0</v>
      </c>
      <c r="AV49" s="121">
        <f t="shared" si="168"/>
        <v>0</v>
      </c>
      <c r="AW49" s="102">
        <f>IFERROR(+(AT49/AV49)-1,0)</f>
        <v>0</v>
      </c>
      <c r="AX49" s="132"/>
    </row>
    <row r="50" spans="1:50" ht="14.4" collapsed="1" x14ac:dyDescent="0.3">
      <c r="A50" s="104" t="s">
        <v>26</v>
      </c>
      <c r="B50" s="105"/>
      <c r="C50" s="106">
        <f>+C49+C48</f>
        <v>35288058.49000001</v>
      </c>
      <c r="D50" s="106">
        <f t="shared" ref="D50:F50" si="171">+D49+D48</f>
        <v>31305608.850000005</v>
      </c>
      <c r="E50" s="102">
        <f>IFERROR(+(D50/C50)-1,0)</f>
        <v>-0.11285544771834244</v>
      </c>
      <c r="F50" s="106">
        <f t="shared" si="171"/>
        <v>34491113.87110965</v>
      </c>
      <c r="G50" s="102">
        <f>IFERROR(+(D50/F50)-1,0)</f>
        <v>-9.2357267237399343E-2</v>
      </c>
      <c r="H50" s="134"/>
      <c r="I50" s="106">
        <f>+I49+I48</f>
        <v>24511313.750000004</v>
      </c>
      <c r="J50" s="106">
        <f t="shared" ref="J50" si="172">+J49+J48</f>
        <v>20100762.290000003</v>
      </c>
      <c r="K50" s="102">
        <f>IFERROR(+(J50/I50)-1,0)</f>
        <v>-0.17993941512008915</v>
      </c>
      <c r="L50" s="106">
        <f t="shared" ref="L50" si="173">+L49+L48</f>
        <v>23210457.285867438</v>
      </c>
      <c r="M50" s="102">
        <f>IFERROR(+(J50/L50)-1,0)</f>
        <v>-0.13397818739921552</v>
      </c>
      <c r="N50" s="5"/>
      <c r="O50" s="106">
        <f>+O49+O48</f>
        <v>9003067.3200000003</v>
      </c>
      <c r="P50" s="106">
        <f t="shared" ref="P50" si="174">+P49+P48</f>
        <v>9942740.4400000013</v>
      </c>
      <c r="Q50" s="102">
        <f>IFERROR(+(P50/O50)-1,0)</f>
        <v>0.10437255288678671</v>
      </c>
      <c r="R50" s="106">
        <f t="shared" ref="R50" si="175">+R49+R48</f>
        <v>8774493.0553692132</v>
      </c>
      <c r="S50" s="102">
        <f>IFERROR(+(P50/R50)-1,0)</f>
        <v>0.13314129685428644</v>
      </c>
      <c r="U50" s="106">
        <f>+U49+U48</f>
        <v>1442536.6199999996</v>
      </c>
      <c r="V50" s="106">
        <f t="shared" ref="V50" si="176">+V49+V48</f>
        <v>837391.24999999977</v>
      </c>
      <c r="W50" s="102">
        <f>IFERROR(+(V50/U50)-1,0)</f>
        <v>-0.41950087201252473</v>
      </c>
      <c r="X50" s="106">
        <f t="shared" ref="X50" si="177">+X49+X48</f>
        <v>2351811.0621712236</v>
      </c>
      <c r="Y50" s="102">
        <f>IFERROR(+(V50/X50)-1,0)</f>
        <v>-0.6439377025351225</v>
      </c>
      <c r="Z50" s="5"/>
      <c r="AA50" s="106">
        <f>+AA49+AA48</f>
        <v>0</v>
      </c>
      <c r="AB50" s="106">
        <f t="shared" ref="AB50" si="178">+AB49+AB48</f>
        <v>0</v>
      </c>
      <c r="AC50" s="102">
        <f>IFERROR(+(AB50/AA50)-1,0)</f>
        <v>0</v>
      </c>
      <c r="AD50" s="106">
        <f t="shared" ref="AD50" si="179">+AD49+AD48</f>
        <v>0</v>
      </c>
      <c r="AE50" s="102">
        <f>IFERROR(+(AB50/AD50)-1,0)</f>
        <v>0</v>
      </c>
      <c r="AF50" s="5"/>
      <c r="AG50" s="106">
        <f>+AG49+AG48</f>
        <v>301657.59999999998</v>
      </c>
      <c r="AH50" s="106">
        <f t="shared" ref="AH50" si="180">+AH49+AH48</f>
        <v>397321.40000000008</v>
      </c>
      <c r="AI50" s="102">
        <f>IFERROR(+(AH50/AG50)-1,0)</f>
        <v>0.31712710039461989</v>
      </c>
      <c r="AJ50" s="106">
        <f t="shared" ref="AJ50" si="181">+AJ49+AJ48</f>
        <v>103594.97109028713</v>
      </c>
      <c r="AK50" s="102">
        <f>IFERROR(+(AH50/AJ50)-1,0)</f>
        <v>2.8353348219356973</v>
      </c>
      <c r="AL50" s="5"/>
      <c r="AM50" s="106">
        <f>+AM49+AM48</f>
        <v>29483.200000000001</v>
      </c>
      <c r="AN50" s="106">
        <f t="shared" ref="AN50" si="182">+AN49+AN48</f>
        <v>27393.47</v>
      </c>
      <c r="AO50" s="102">
        <f>IFERROR(+(AN50/AM50)-1,0)</f>
        <v>-7.0878669886579426E-2</v>
      </c>
      <c r="AP50" s="106">
        <f t="shared" ref="AP50" si="183">+AP49+AP48</f>
        <v>50757.496611491166</v>
      </c>
      <c r="AQ50" s="102">
        <f>IFERROR(+(AN50/AP50)-1,0)</f>
        <v>-0.46030691368261256</v>
      </c>
      <c r="AS50" s="106">
        <f>+AS49+AS48</f>
        <v>331140.8</v>
      </c>
      <c r="AT50" s="106">
        <f t="shared" ref="AT50" si="184">+AT49+AT48</f>
        <v>424714.87000000011</v>
      </c>
      <c r="AU50" s="102">
        <f>IFERROR(+(AT50/AS50)-1,0)</f>
        <v>0.28258091422138287</v>
      </c>
      <c r="AV50" s="106">
        <f t="shared" ref="AV50" si="185">+AV49+AV48</f>
        <v>154352.46770177828</v>
      </c>
      <c r="AW50" s="102">
        <f>IFERROR(+(AT50/AV50)-1,0)</f>
        <v>1.7515910585931436</v>
      </c>
      <c r="AX50" s="132"/>
    </row>
    <row r="51" spans="1:50" ht="15" hidden="1" customHeight="1" x14ac:dyDescent="0.3">
      <c r="C51" s="68"/>
      <c r="H51" s="132"/>
      <c r="R51" s="28"/>
      <c r="X51" s="28"/>
      <c r="AD51" s="28"/>
      <c r="AJ51" s="28"/>
      <c r="AP51" s="28"/>
      <c r="AV51" s="28"/>
      <c r="AX51" s="132"/>
    </row>
    <row r="52" spans="1:50" ht="15" customHeight="1" x14ac:dyDescent="0.3">
      <c r="A52" s="109" t="s">
        <v>802</v>
      </c>
      <c r="B52" s="110" t="s">
        <v>801</v>
      </c>
      <c r="C52" s="112">
        <f>+C50+C46+C42+C36</f>
        <v>256658399.70999995</v>
      </c>
      <c r="D52" s="112">
        <f>+D50+D46+D42+D36</f>
        <v>238514884.76000005</v>
      </c>
      <c r="E52" s="111">
        <f>IFERROR(+(D52/C52)-1,0)</f>
        <v>-7.0691296176163987E-2</v>
      </c>
      <c r="F52" s="112">
        <f>+F50+F46+F42+F36</f>
        <v>251816372.5355922</v>
      </c>
      <c r="G52" s="111">
        <f>IFERROR(+(D52/F52)-1,0)</f>
        <v>-5.2822172131449019E-2</v>
      </c>
      <c r="H52" s="134"/>
      <c r="I52" s="112">
        <f>+I50+I46+I42+I36</f>
        <v>182905971.45999998</v>
      </c>
      <c r="J52" s="112">
        <f>+J50+J46+J42+J36</f>
        <v>168567946.78000003</v>
      </c>
      <c r="K52" s="111">
        <f>IFERROR(+(J52/I52)-1,0)</f>
        <v>-7.8390139838247719E-2</v>
      </c>
      <c r="L52" s="112">
        <f>+L50+L46+L42+L36</f>
        <v>173773202.88154668</v>
      </c>
      <c r="M52" s="111">
        <f>IFERROR(+(J52/L52)-1,0)</f>
        <v>-2.9954308346925251E-2</v>
      </c>
      <c r="O52" s="112">
        <f>+O50+O46+O42+O36</f>
        <v>54699937.37999998</v>
      </c>
      <c r="P52" s="112">
        <f>+P50+P46+P42+P36</f>
        <v>54421998.419999994</v>
      </c>
      <c r="Q52" s="111">
        <f>IFERROR(+(P52/O52)-1,0)</f>
        <v>-5.0811568223405601E-3</v>
      </c>
      <c r="R52" s="112">
        <f>+R50+R46+R42+R36</f>
        <v>53515983.848550156</v>
      </c>
      <c r="S52" s="111">
        <f>IFERROR(+(P52/R52)-1,0)</f>
        <v>1.6929793797940018E-2</v>
      </c>
      <c r="U52" s="112">
        <f>+U50+U46+U42+U36</f>
        <v>14875996.790000001</v>
      </c>
      <c r="V52" s="112">
        <f>+V50+V46+V42+V36</f>
        <v>12155600.43</v>
      </c>
      <c r="W52" s="111">
        <f>IFERROR(+(V52/U52)-1,0)</f>
        <v>-0.18287153448626159</v>
      </c>
      <c r="X52" s="112">
        <f>+X50+X46+X42+X36</f>
        <v>17742038.715164982</v>
      </c>
      <c r="Y52" s="111">
        <f>IFERROR(+(V52/X52)-1,0)</f>
        <v>-0.31487014400379942</v>
      </c>
      <c r="AA52" s="112">
        <f>+AA50+AA46+AA42+AA36</f>
        <v>557132.87999999989</v>
      </c>
      <c r="AB52" s="112">
        <f>+AB50+AB46+AB42+AB36</f>
        <v>289283.39</v>
      </c>
      <c r="AC52" s="111">
        <f>IFERROR(+(AB52/AA52)-1,0)</f>
        <v>-0.4807641042474462</v>
      </c>
      <c r="AD52" s="112">
        <f>+AD50+AD46+AD42+AD36</f>
        <v>574400.89912399685</v>
      </c>
      <c r="AE52" s="111">
        <f>IFERROR(+(AB52/AD52)-1,0)</f>
        <v>-0.49637371661294716</v>
      </c>
      <c r="AG52" s="112">
        <f>+AG50+AG46+AG42+AG36</f>
        <v>3165341.0199999996</v>
      </c>
      <c r="AH52" s="112">
        <f>+AH50+AH46+AH42+AH36</f>
        <v>2694802.86</v>
      </c>
      <c r="AI52" s="111">
        <f>IFERROR(+(AH52/AG52)-1,0)</f>
        <v>-0.14865322789138202</v>
      </c>
      <c r="AJ52" s="112">
        <f>+AJ50+AJ46+AJ42+AJ36</f>
        <v>5606768.8601345588</v>
      </c>
      <c r="AK52" s="111">
        <f>IFERROR(+(AH52/AJ52)-1,0)</f>
        <v>-0.51936615772398254</v>
      </c>
      <c r="AM52" s="112">
        <f>+AM50+AM46+AM42+AM36</f>
        <v>454020.18</v>
      </c>
      <c r="AN52" s="112">
        <f>+AN50+AN46+AN42+AN36</f>
        <v>385252.88</v>
      </c>
      <c r="AO52" s="111">
        <f>IFERROR(+(AN52/AM52)-1,0)</f>
        <v>-0.15146309135422131</v>
      </c>
      <c r="AP52" s="112">
        <f>+AP50+AP46+AP42+AP36</f>
        <v>603977.33107178914</v>
      </c>
      <c r="AQ52" s="111">
        <f>IFERROR(+(AN52/AP52)-1,0)</f>
        <v>-0.36214016622718481</v>
      </c>
      <c r="AS52" s="112">
        <f>+AS50+AS46+AS42+AS36</f>
        <v>3619361.2</v>
      </c>
      <c r="AT52" s="112">
        <f>+AT50+AT46+AT42+AT36</f>
        <v>3080055.74</v>
      </c>
      <c r="AU52" s="111">
        <f>IFERROR(+(AT52/AS52)-1,0)</f>
        <v>-0.14900570299532412</v>
      </c>
      <c r="AV52" s="112">
        <f>+AV50+AV46+AV42+AV36</f>
        <v>6210746.1912063472</v>
      </c>
      <c r="AW52" s="111">
        <f>IFERROR(+(AT52/AV52)-1,0)</f>
        <v>-0.5040763790410594</v>
      </c>
      <c r="AX52" s="132"/>
    </row>
    <row r="53" spans="1:50" ht="14.4" x14ac:dyDescent="0.3">
      <c r="A53" s="1"/>
      <c r="B53" s="1"/>
      <c r="C53" s="96"/>
      <c r="D53" s="96"/>
      <c r="E53" s="68"/>
      <c r="F53" s="96"/>
      <c r="G53" s="68"/>
      <c r="H53" s="135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68"/>
      <c r="AK53" s="68"/>
      <c r="AL53" s="68"/>
      <c r="AM53" s="68"/>
      <c r="AN53" s="68"/>
      <c r="AO53" s="68"/>
      <c r="AP53" s="68"/>
      <c r="AQ53" s="68"/>
      <c r="AS53" s="68"/>
      <c r="AT53" s="68"/>
      <c r="AU53" s="68"/>
      <c r="AV53" s="68"/>
      <c r="AW53" s="68"/>
      <c r="AX53" s="132"/>
    </row>
    <row r="54" spans="1:50" ht="14.4" x14ac:dyDescent="0.3">
      <c r="A54" s="114" t="s">
        <v>2194</v>
      </c>
      <c r="B54" s="115"/>
      <c r="C54" s="117">
        <f>IFERROR(VLOOKUP(_xlfn.CONCAT($C$3,"_",$A$4,"_",$C$2,"_",Parámetros!$C$6),DATA_KPI!$A:$H,6,FALSE),0)</f>
        <v>479647022.05999994</v>
      </c>
      <c r="D54" s="117">
        <f>IFERROR(VLOOKUP(_xlfn.CONCAT($D$3,"_",$A$4,"_",$C$2,"_",Parámetros!$C$6),DATA_KPI!$A:$H,6,FALSE),0)</f>
        <v>440763922.29000014</v>
      </c>
      <c r="E54" s="116">
        <f t="shared" ref="E54" si="186">IFERROR(+(D54/C54)-1,0)</f>
        <v>-8.1066071468563927E-2</v>
      </c>
      <c r="F54" s="117">
        <f>IFERROR(VLOOKUP(_xlfn.CONCAT($D$3,"_",A4,"_",$C$2,"_",Parámetros!$C$6),DATA_KPI_PRE!$A:$F,6,FALSE),0)</f>
        <v>476181578.96580994</v>
      </c>
      <c r="G54" s="116">
        <f t="shared" ref="G54" si="187">IFERROR(+(D54/F54)-1,0)</f>
        <v>-7.4378468719288326E-2</v>
      </c>
      <c r="H54" s="113"/>
      <c r="I54" s="117">
        <f>IFERROR(VLOOKUP(_xlfn.CONCAT($I$3,"_",$A$4,"_",$I$2,"_",Parámetros!$C$6),DATA_KPI!$A:$H,6,FALSE),0)</f>
        <v>318679903.6500001</v>
      </c>
      <c r="J54" s="117">
        <f>IFERROR(VLOOKUP(_xlfn.CONCAT(J3,"_",$A$4,"_",$I$2,"_",Parámetros!$C$6),DATA_KPI!$A:$H,6,FALSE),0)</f>
        <v>296740680.25000006</v>
      </c>
      <c r="K54" s="116">
        <f t="shared" ref="K54" si="188">IFERROR(+(J54/I54)-1,0)</f>
        <v>-6.8844075665641769E-2</v>
      </c>
      <c r="L54" s="117">
        <f>IFERROR(VLOOKUP(_xlfn.CONCAT(J3,"_",A4,"_",I2,"_",Parámetros!$C$6),DATA_KPI_PRE!$A:$F,6,FALSE),0)</f>
        <v>306720075.75738156</v>
      </c>
      <c r="M54" s="116">
        <f t="shared" ref="M54" si="189">IFERROR(+(J54/L54)-1,0)</f>
        <v>-3.2535840644729364E-2</v>
      </c>
      <c r="N54" s="7"/>
      <c r="O54" s="117">
        <f>IFERROR(VLOOKUP(_xlfn.CONCAT(O3,"_",$A$4,"_",O2,"_",Parámetros!$C$6),DATA_KPI!$A:$H,6,FALSE),0)</f>
        <v>102942156.89999996</v>
      </c>
      <c r="P54" s="117">
        <f>IFERROR(VLOOKUP(_xlfn.CONCAT(P3,"_",$A$4,"_",O2,"_",Parámetros!$C$6),DATA_KPI!$A:$H,6,FALSE),0)</f>
        <v>99782784.279999986</v>
      </c>
      <c r="Q54" s="116">
        <f t="shared" ref="Q54" si="190">IFERROR(+(P54/O54)-1,0)</f>
        <v>-3.0690756004549735E-2</v>
      </c>
      <c r="R54" s="117">
        <f>IFERROR(VLOOKUP(_xlfn.CONCAT(P3,"_",A4,"_",O2,"_",Parámetros!$C$6),DATA_KPI_PRE!$A:$F,6,FALSE),0)</f>
        <v>102788508.78931764</v>
      </c>
      <c r="S54" s="116">
        <f t="shared" ref="S54" si="191">IFERROR(+(P54/R54)-1,0)</f>
        <v>-2.9241833982419085E-2</v>
      </c>
      <c r="U54" s="117">
        <f>IFERROR(VLOOKUP(_xlfn.CONCAT(U3,"_",$A$4,"_",U2,"_",Parámetros!$C$6),DATA_KPI!$A:$H,6,FALSE),0)</f>
        <v>49089944.080000006</v>
      </c>
      <c r="V54" s="117">
        <f>IFERROR(VLOOKUP(_xlfn.CONCAT(V3,"_",$A$4,"_",U2,"_",Parámetros!$C$6),DATA_KPI!$A:$H,6,FALSE),0)</f>
        <v>36862160.20000007</v>
      </c>
      <c r="W54" s="116">
        <f t="shared" ref="W54" si="192">IFERROR(+(V54/U54)-1,0)</f>
        <v>-0.2490893829512778</v>
      </c>
      <c r="X54" s="117">
        <f>IFERROR(VLOOKUP(_xlfn.CONCAT(V3,"_",A4,"_",U2,"_",Parámetros!$C$6),DATA_KPI_PRE!$A:$F,6,FALSE),0)</f>
        <v>52928980.809337102</v>
      </c>
      <c r="Y54" s="116">
        <f t="shared" ref="Y54" si="193">IFERROR(+(V54/X54)-1,0)</f>
        <v>-0.30355431681584</v>
      </c>
      <c r="Z54" s="7"/>
      <c r="AA54" s="117">
        <f>IFERROR(VLOOKUP(_xlfn.CONCAT(AA3,"_",$A$4,"_",AA2,"_",Parámetros!$C$6),DATA_KPI!$A:$H,6,FALSE),0)</f>
        <v>1402823.57</v>
      </c>
      <c r="AB54" s="117">
        <f>IFERROR(VLOOKUP(_xlfn.CONCAT(AB3,"_",$A$4,"_",AA2,"_",Parámetros!$C$6),DATA_KPI!$A:$H,6,FALSE),0)</f>
        <v>1678471.5399999996</v>
      </c>
      <c r="AC54" s="116">
        <f t="shared" ref="AC54" si="194">IFERROR(+(AB54/AA54)-1,0)</f>
        <v>0.19649510878976706</v>
      </c>
      <c r="AD54" s="117">
        <f>IFERROR(VLOOKUP(_xlfn.CONCAT(AB3,"_",A4,"_",AA2,"_",Parámetros!$C$6),DATA_KPI_PRE!$A:$F,6,FALSE),0)</f>
        <v>1688666.9438675442</v>
      </c>
      <c r="AE54" s="116">
        <f t="shared" ref="AE54" si="195">IFERROR(+(AB54/AD54)-1,0)</f>
        <v>-6.0375457129481225E-3</v>
      </c>
      <c r="AF54" s="7"/>
      <c r="AG54" s="117">
        <f>IFERROR(VLOOKUP(_xlfn.CONCAT(AG3,"_",$A$4,"_",AG2,"_",Parámetros!$C$6),DATA_KPI!$A:$H,6,FALSE),0)</f>
        <v>6881679.04</v>
      </c>
      <c r="AH54" s="117">
        <f>IFERROR(VLOOKUP(_xlfn.CONCAT(AH3,"_",$A$4,"_",AG2,"_",Parámetros!$C$6),DATA_KPI!$A:$H,6,FALSE),0)</f>
        <v>4766224.8</v>
      </c>
      <c r="AI54" s="116">
        <f t="shared" ref="AI54" si="196">IFERROR(+(AH54/AG54)-1,0)</f>
        <v>-0.30740379313011379</v>
      </c>
      <c r="AJ54" s="117">
        <f>IFERROR(VLOOKUP(_xlfn.CONCAT(AH3,"_",A4,"_",AG2,"_",Parámetros!$C$6),DATA_KPI_PRE!$A:$F,6,FALSE),0)</f>
        <v>11130302.018809425</v>
      </c>
      <c r="AK54" s="116">
        <f t="shared" ref="AK54" si="197">IFERROR(+(AH54/AJ54)-1,0)</f>
        <v>-0.57177938281050988</v>
      </c>
      <c r="AL54" s="8"/>
      <c r="AM54" s="117">
        <f>IFERROR(VLOOKUP(_xlfn.CONCAT($AM$3,"_",$A$4,"_",$AM$2,"_",Parámetros!$C$6),DATA_KPI!$A:$H,6,FALSE),0)</f>
        <v>650514.81999999995</v>
      </c>
      <c r="AN54" s="117">
        <f>IFERROR(VLOOKUP(_xlfn.CONCAT($AN$3,"_",$A$4,"_",$AM$2,"_",Parámetros!$C$6),DATA_KPI!$A:$H,6,FALSE),0)</f>
        <v>933601.22</v>
      </c>
      <c r="AO54" s="116">
        <f>IFERROR(AN54/AM54,0)</f>
        <v>1.4351728681600213</v>
      </c>
      <c r="AP54" s="117">
        <f>IFERROR(VLOOKUP(_xlfn.CONCAT($AN$3,"_",A4,"_",$AM$2,"_",Parámetros!$C$6),DATA_KPI_PRE!$A:$F,6,FALSE),0)</f>
        <v>925044.64709658525</v>
      </c>
      <c r="AQ54" s="116">
        <f t="shared" ref="AQ54" si="198">IFERROR(+(AN54/AP54)-1,0)</f>
        <v>9.2499026185071109E-3</v>
      </c>
      <c r="AS54" s="117">
        <f>+AS52+AS27</f>
        <v>7532193.8600000003</v>
      </c>
      <c r="AT54" s="117">
        <f>+AT52+AT27</f>
        <v>5699826.0199999996</v>
      </c>
      <c r="AU54" s="111">
        <f>IFERROR(+(AT54/AS54)-1,0)</f>
        <v>-0.24327146566564883</v>
      </c>
      <c r="AV54" s="117">
        <f>+AV52+AV27</f>
        <v>12055346.66590601</v>
      </c>
      <c r="AW54" s="116">
        <f t="shared" ref="AW54" si="199">IFERROR(+(AT54/AV54)-1,0)</f>
        <v>-0.52719517920460945</v>
      </c>
      <c r="AX54" s="132"/>
    </row>
    <row r="55" spans="1:50" s="78" customFormat="1" ht="14.4" hidden="1" x14ac:dyDescent="0.3">
      <c r="C55" s="78">
        <f>SUM(C38:C46)</f>
        <v>217133215.13999996</v>
      </c>
      <c r="D55" s="78">
        <f>SUM(D38:D46)</f>
        <v>202618368.98000008</v>
      </c>
      <c r="F55" s="78">
        <f>SUM(F38:F46)</f>
        <v>208393866.45487428</v>
      </c>
      <c r="H55" s="136"/>
      <c r="I55" s="78">
        <f>SUM(I38:I46)</f>
        <v>156306249.66</v>
      </c>
      <c r="J55" s="78">
        <f>SUM(J38:J46)</f>
        <v>148307245.66000003</v>
      </c>
      <c r="L55" s="78">
        <f>SUM(L38:L46)</f>
        <v>147819766.21670607</v>
      </c>
      <c r="O55" s="78">
        <f>SUM(O38:O46)</f>
        <v>42942906.280000001</v>
      </c>
      <c r="P55" s="78">
        <f>SUM(P38:P46)</f>
        <v>41265051.440000013</v>
      </c>
      <c r="R55" s="78">
        <f>SUM(R38:R46)</f>
        <v>39631094.561030716</v>
      </c>
      <c r="U55" s="78">
        <f>SUM(U38:U46)</f>
        <v>13046209.380000003</v>
      </c>
      <c r="V55" s="78">
        <f>SUM(V38:V46)</f>
        <v>9501040.1600000001</v>
      </c>
      <c r="X55" s="78">
        <f>SUM(X38:X46)</f>
        <v>13712987.888101814</v>
      </c>
      <c r="AA55" s="78">
        <f>SUM(AA38:AA46)</f>
        <v>1114265.7599999998</v>
      </c>
      <c r="AB55" s="78">
        <f>SUM(AB38:AB46)</f>
        <v>578566.78</v>
      </c>
      <c r="AD55" s="78">
        <f>SUM(AD38:AD46)</f>
        <v>1148801.7982479937</v>
      </c>
      <c r="AG55" s="78">
        <f>SUM(AG38:AG46)</f>
        <v>3155303.8600000003</v>
      </c>
      <c r="AH55" s="78">
        <f>SUM(AH38:AH46)</f>
        <v>2478163.8200000003</v>
      </c>
      <c r="AJ55" s="78">
        <f>SUM(AJ38:AJ46)</f>
        <v>5359681.6244974388</v>
      </c>
      <c r="AM55" s="78">
        <f>SUM(AM38:AM46)</f>
        <v>568280.19999999995</v>
      </c>
      <c r="AN55" s="78">
        <f>SUM(AN38:AN46)</f>
        <v>488301.12</v>
      </c>
      <c r="AP55" s="78">
        <f>SUM(AP38:AP46)</f>
        <v>721534.36629021168</v>
      </c>
      <c r="AS55" s="78">
        <f>SUM(AS38:AS46)</f>
        <v>3723584.06</v>
      </c>
      <c r="AT55" s="78">
        <f>SUM(AT38:AT46)</f>
        <v>2966464.94</v>
      </c>
      <c r="AV55" s="78">
        <f>SUM(AV38:AV46)</f>
        <v>6081215.9907876514</v>
      </c>
      <c r="AX55" s="136"/>
    </row>
    <row r="56" spans="1:50" s="78" customFormat="1" ht="14.4" x14ac:dyDescent="0.3">
      <c r="C56" s="96"/>
      <c r="D56" s="96"/>
      <c r="F56" s="96"/>
      <c r="H56" s="136"/>
      <c r="AX56" s="136"/>
    </row>
    <row r="57" spans="1:50" ht="14.4" x14ac:dyDescent="0.3">
      <c r="A57" s="109" t="s">
        <v>1359</v>
      </c>
      <c r="B57" s="110" t="str">
        <f>IF(IFERROR(VLOOKUP(A57,DATA_KPI!$D:$H,5,FALSE),"")="",VLOOKUP(A57,DATA_KPI_PRE!$D:$H,5,FALSE),VLOOKUP(A57,DATA_KPI!$D:$H,5,FALSE))</f>
        <v>G40</v>
      </c>
      <c r="C57" s="112">
        <f>IFERROR(VLOOKUP(_xlfn.CONCAT($C$3,"_",B57,"_",$C$2,"_",Parámetros!$C$6),DATA_KPI!$A:$H,6,FALSE),0)</f>
        <v>0</v>
      </c>
      <c r="D57" s="112">
        <f>IFERROR(VLOOKUP(_xlfn.CONCAT($D$3,"_",B57,"_",$C$2,"_",Parámetros!$C$6),DATA_KPI!A:H,6,FALSE),0)</f>
        <v>0</v>
      </c>
      <c r="E57" s="111">
        <f>IFERROR(+(D57/C57)-1,0)</f>
        <v>0</v>
      </c>
      <c r="F57" s="112">
        <f>IFERROR(VLOOKUP(_xlfn.CONCAT($D$3,"_",B57,"_",$C$2,"_",Parámetros!$C$6),DATA_KPI_PRE!$A:$F,6,FALSE),0)</f>
        <v>2912326.1533935489</v>
      </c>
      <c r="G57" s="111">
        <f>IFERROR(+(D57/F57)-1,0)</f>
        <v>-1</v>
      </c>
      <c r="H57" s="113"/>
      <c r="I57" s="112">
        <f>IFERROR(VLOOKUP(_xlfn.CONCAT($I$3,"_",B57,"_",$I$2,"_",Parámetros!$C$6),DATA_KPI!$A:$H,6,FALSE),0)</f>
        <v>0</v>
      </c>
      <c r="J57" s="112">
        <f>IFERROR(VLOOKUP(_xlfn.CONCAT($J$3,"_",B57,"_",$I$2,"_",Parámetros!$C$6),DATA_KPI!$A:$H,6,FALSE),0)</f>
        <v>0</v>
      </c>
      <c r="K57" s="111">
        <f>IFERROR(+(J57/I57)-1,0)</f>
        <v>0</v>
      </c>
      <c r="L57" s="112">
        <f>IFERROR(VLOOKUP(_xlfn.CONCAT($J$3,"_",B57,"_",$I$2,"_",Parámetros!$C$6),DATA_KPI_PRE!A:F,6,FALSE),0)</f>
        <v>2527056.4759741942</v>
      </c>
      <c r="M57" s="111">
        <f>IFERROR(+(J57/L57)-1,0)</f>
        <v>-1</v>
      </c>
      <c r="N57" s="4"/>
      <c r="O57" s="112">
        <f>IFERROR(VLOOKUP(_xlfn.CONCAT($O$3,"_",B57,"_",$O$2,"_",Parámetros!$C$6),DATA_KPI!$A:$H,6,FALSE),0)</f>
        <v>0</v>
      </c>
      <c r="P57" s="112">
        <f>IFERROR(VLOOKUP(_xlfn.CONCAT($P$3,"_",B57,"_",$O$2,"_",Parámetros!$C$6),DATA_KPI!$A:$H,6,FALSE),0)</f>
        <v>0</v>
      </c>
      <c r="Q57" s="111">
        <f>IFERROR(+(P57/O57)-1,0)</f>
        <v>0</v>
      </c>
      <c r="R57" s="112">
        <f>IFERROR(VLOOKUP(_xlfn.CONCAT($P$3,"_",B57,"_",$O$2,"_",Parámetros!$C$6),DATA_KPI_PRE!A:F,6,FALSE),0)</f>
        <v>0</v>
      </c>
      <c r="S57" s="111">
        <f>IFERROR(+(P57/R57)-1,0)</f>
        <v>0</v>
      </c>
      <c r="U57" s="112">
        <f>IFERROR(VLOOKUP(_xlfn.CONCAT($U$3,"_",B57,"_",$U$2,"_",Parámetros!$C$6),DATA_KPI!$A:$H,6,FALSE),0)</f>
        <v>0</v>
      </c>
      <c r="V57" s="112">
        <f>IFERROR(VLOOKUP(_xlfn.CONCAT($V$3,"_",B57,"_",$U$2,"_",Parámetros!$C$6),DATA_KPI!$A:$H,6,FALSE),0)</f>
        <v>0</v>
      </c>
      <c r="W57" s="111">
        <f>IFERROR(+(V57/U57)-1,0)</f>
        <v>0</v>
      </c>
      <c r="X57" s="112">
        <f>IFERROR(VLOOKUP(_xlfn.CONCAT($V$3,"_",B57,"_",$U$2,"_",Parámetros!$C$6),DATA_KPI_PRE!A:F,6,FALSE),0)</f>
        <v>385269.67741935485</v>
      </c>
      <c r="Y57" s="111">
        <f>IFERROR(+(V57/X57)-1,0)</f>
        <v>-1</v>
      </c>
      <c r="Z57" s="4"/>
      <c r="AA57" s="112">
        <f>IFERROR(VLOOKUP(_xlfn.CONCAT($AA$3,"_",B57,"_",$AA$2,"_",Parámetros!$C$6),DATA_KPI!$A:$H,6,FALSE),0)</f>
        <v>0</v>
      </c>
      <c r="AB57" s="112">
        <f>IFERROR(VLOOKUP(_xlfn.CONCAT($AB$3,"_",B57,"_",$AA$2,"_",Parámetros!$C$6),DATA_KPI!$A:$H,6,FALSE),0)</f>
        <v>0</v>
      </c>
      <c r="AC57" s="111">
        <f>IFERROR(+(AB57/AA57)-1,0)</f>
        <v>0</v>
      </c>
      <c r="AD57" s="112">
        <f>IFERROR(VLOOKUP(_xlfn.CONCAT($AB$3,"_",B57,"_",$AA$2,"_",Parámetros!$C$6),DATA_KPI_PRE!A:F,6,FALSE),0)</f>
        <v>0</v>
      </c>
      <c r="AE57" s="111">
        <f>IFERROR(+(AB57/AD57)-1,0)</f>
        <v>0</v>
      </c>
      <c r="AF57" s="4"/>
      <c r="AG57" s="112">
        <f>IFERROR(VLOOKUP(_xlfn.CONCAT($AG$3,"_",B57,"_",$AG$2,"_",Parámetros!$C$6),DATA_KPI!$A:$H,6,FALSE),0)</f>
        <v>0</v>
      </c>
      <c r="AH57" s="112">
        <f>IFERROR(VLOOKUP(_xlfn.CONCAT($AH$3,"_",B57,"_",$AG$2,"_",Parámetros!$C$6),DATA_KPI!$A:$H,6,FALSE),0)</f>
        <v>0</v>
      </c>
      <c r="AI57" s="111">
        <f>IFERROR(+(AH57/AG57)-1,0)</f>
        <v>0</v>
      </c>
      <c r="AJ57" s="112">
        <f>IFERROR(VLOOKUP(_xlfn.CONCAT($AH$3,"_",B57,"_",$AG$2,"_",Parámetros!$C$6),DATA_KPI_PRE!A:F,6,FALSE),0)</f>
        <v>0</v>
      </c>
      <c r="AK57" s="111">
        <f>IFERROR(+(AH57/AJ57)-1,0)</f>
        <v>0</v>
      </c>
      <c r="AL57" s="4"/>
      <c r="AM57" s="112">
        <f>IFERROR(VLOOKUP(_xlfn.CONCAT($AM$3,"_",B57,"_",$AM$2,"_",Parámetros!$C$6),DATA_KPI!$A:$H,6,FALSE),0)</f>
        <v>0</v>
      </c>
      <c r="AN57" s="112">
        <f>IFERROR(VLOOKUP(_xlfn.CONCAT($AN$3,"_",B57,"_",$AM$2,"_",Parámetros!$C$6),DATA_KPI!$A:$H,6,FALSE),0)</f>
        <v>0</v>
      </c>
      <c r="AO57" s="111">
        <f>IFERROR(+AN57/AM57,0)</f>
        <v>0</v>
      </c>
      <c r="AP57" s="112">
        <f>IFERROR(VLOOKUP(_xlfn.CONCAT($AN$3,"_",B57,"_",$AM$2,"_",Parámetros!$C$6),DATA_KPI_PRE!A:F,6,FALSE),0)</f>
        <v>0</v>
      </c>
      <c r="AQ57" s="111">
        <f>IFERROR(+(AN57/AP57)-1,0)</f>
        <v>0</v>
      </c>
      <c r="AS57" s="112">
        <f>IFERROR(VLOOKUP(_xlfn.CONCAT($AM$3,"_",H57,"_",$AM$2,"_",Parámetros!$C$6),DATA_KPI!$A:$H,6,FALSE),0)</f>
        <v>0</v>
      </c>
      <c r="AT57" s="112">
        <f>IFERROR(VLOOKUP(_xlfn.CONCAT($AN$3,"_",H57,"_",$AM$2,"_",Parámetros!$C$6),DATA_KPI!$A:$H,6,FALSE),0)</f>
        <v>0</v>
      </c>
      <c r="AU57" s="111">
        <f>IFERROR(+AT57/AS57,0)</f>
        <v>0</v>
      </c>
      <c r="AV57" s="112">
        <f>IFERROR(VLOOKUP(_xlfn.CONCAT($AN$3,"_",H57,"_",$AM$2,"_",Parámetros!$C$6),DATA_KPI_PRE!G:L,6,FALSE),0)</f>
        <v>0</v>
      </c>
      <c r="AW57" s="111">
        <f>IFERROR(+(AT57/AV57)-1,0)</f>
        <v>0</v>
      </c>
      <c r="AX57" s="132"/>
    </row>
    <row r="58" spans="1:50" thickBot="1" x14ac:dyDescent="0.35">
      <c r="A58" s="6"/>
      <c r="B58" s="1"/>
      <c r="D58" s="14"/>
      <c r="E58" s="22"/>
      <c r="F58" s="16"/>
      <c r="G58" s="22"/>
      <c r="H58" s="137"/>
      <c r="J58" s="14"/>
      <c r="K58" s="22"/>
      <c r="L58" s="30"/>
      <c r="M58" s="22"/>
      <c r="N58" s="7"/>
      <c r="P58" s="14"/>
      <c r="Q58" s="22"/>
      <c r="R58" s="30"/>
      <c r="S58" s="22"/>
      <c r="V58" s="14"/>
      <c r="W58" s="22"/>
      <c r="X58" s="30"/>
      <c r="Y58" s="22"/>
      <c r="Z58" s="7"/>
      <c r="AB58" s="14"/>
      <c r="AC58" s="22"/>
      <c r="AD58" s="30"/>
      <c r="AE58" s="22"/>
      <c r="AF58" s="7"/>
      <c r="AH58" s="14"/>
      <c r="AI58" s="22"/>
      <c r="AJ58" s="30"/>
      <c r="AK58" s="22"/>
      <c r="AL58" s="8"/>
      <c r="AN58" s="14"/>
      <c r="AO58" s="22"/>
      <c r="AP58" s="30"/>
      <c r="AQ58" s="22"/>
      <c r="AT58" s="14"/>
      <c r="AU58" s="22"/>
      <c r="AV58" s="30"/>
      <c r="AW58" s="22"/>
      <c r="AX58" s="132"/>
    </row>
    <row r="59" spans="1:50" ht="18.600000000000001" thickBot="1" x14ac:dyDescent="0.4">
      <c r="A59" s="103" t="s">
        <v>60</v>
      </c>
      <c r="B59" s="1"/>
      <c r="E59" s="22"/>
      <c r="F59" s="73"/>
      <c r="G59" s="22"/>
      <c r="H59" s="137"/>
      <c r="K59" s="22"/>
      <c r="L59" s="30"/>
      <c r="M59" s="22"/>
      <c r="Q59" s="22"/>
      <c r="R59" s="30"/>
      <c r="S59" s="22"/>
      <c r="W59" s="22"/>
      <c r="X59" s="30"/>
      <c r="Y59" s="22"/>
      <c r="AC59" s="22"/>
      <c r="AD59" s="30"/>
      <c r="AE59" s="22"/>
      <c r="AI59" s="22"/>
      <c r="AJ59" s="30"/>
      <c r="AK59" s="22"/>
      <c r="AO59" s="22"/>
      <c r="AP59" s="30"/>
      <c r="AQ59" s="22"/>
      <c r="AU59" s="22"/>
      <c r="AV59" s="30"/>
      <c r="AW59" s="22"/>
      <c r="AX59" s="132"/>
    </row>
    <row r="60" spans="1:50" ht="14.4" hidden="1" outlineLevel="1" x14ac:dyDescent="0.3">
      <c r="A60" s="100" t="s">
        <v>43</v>
      </c>
      <c r="B60" s="100" t="str">
        <f>IF(IFERROR(VLOOKUP(A60,DATA_KPI!$D:$H,5,FALSE),"")="",VLOOKUP(A60,DATA_KPI_PRE!$D:$H,5,FALSE),VLOOKUP(A60,DATA_KPI!$D:$H,5,FALSE))</f>
        <v>V11</v>
      </c>
      <c r="C60" s="101">
        <f>IFERROR(VLOOKUP(_xlfn.CONCAT($C$3,"_",B60,"_",$C$2,"_",Parámetros!$C$6),DATA_KPI!$A:$H,6,FALSE),0)</f>
        <v>3722361.4900000012</v>
      </c>
      <c r="D60" s="101">
        <f>IFERROR(VLOOKUP(_xlfn.CONCAT($D$3,"_",B60,"_",$C$2,"_",Parámetros!$C$6),DATA_KPI!A:H,6,FALSE),0)</f>
        <v>3320240.3500000034</v>
      </c>
      <c r="E60" s="102">
        <f t="shared" ref="E60:E93" si="200">IFERROR(+(D60/C60)-1,0)</f>
        <v>-0.10802850316399493</v>
      </c>
      <c r="F60" s="101">
        <f>IFERROR(VLOOKUP(_xlfn.CONCAT($D$3,"_",B60,"_",$C$2,"_",Parámetros!$C$6),DATA_KPI_PRE!$A:$F,6,FALSE),0)</f>
        <v>3826664.6311260285</v>
      </c>
      <c r="G60" s="102">
        <f t="shared" ref="G60:G74" si="201">IFERROR(+(D60/F60)-1,0)</f>
        <v>-0.13234091041236751</v>
      </c>
      <c r="H60" s="113"/>
      <c r="I60" s="121">
        <f>IFERROR(VLOOKUP(_xlfn.CONCAT($I$3,"_",B60,"_",$I$2,"_",Parámetros!$C$6),DATA_KPI!$A:$H,6,FALSE),0)</f>
        <v>2315637.8000000012</v>
      </c>
      <c r="J60" s="121">
        <f>IFERROR(VLOOKUP(_xlfn.CONCAT($J$3,"_",B60,"_",$I$2,"_",Parámetros!$C$6),DATA_KPI!$A:$H,6,FALSE),0)</f>
        <v>2155611.8500000029</v>
      </c>
      <c r="K60" s="122">
        <f t="shared" ref="K60:K93" si="202">IFERROR(+(J60/I60)-1,0)</f>
        <v>-6.9106640943587205E-2</v>
      </c>
      <c r="L60" s="121">
        <f>IFERROR(VLOOKUP(_xlfn.CONCAT($V$3,"_",B60,"_",$U$2,"_",Parámetros!$C$6),DATA_KPI_PRE!A:F,6,FALSE),0)</f>
        <v>2468910.0688443445</v>
      </c>
      <c r="M60" s="102">
        <f>IFERROR(+(J60/L60)-1,0)</f>
        <v>-0.12689737985919891</v>
      </c>
      <c r="O60" s="121">
        <f>IFERROR(VLOOKUP(_xlfn.CONCAT($O$3,"_",B60,"_",$O$2,"_",Parámetros!$C$6),DATA_KPI!$A:$H,6,FALSE),0)</f>
        <v>1406723.69</v>
      </c>
      <c r="P60" s="121">
        <f>IFERROR(VLOOKUP(_xlfn.CONCAT($P$3,"_",B60,"_",$O$2,"_",Parámetros!$C$6),DATA_KPI!$A:$H,6,FALSE),0)</f>
        <v>1126442.6300000006</v>
      </c>
      <c r="Q60" s="122">
        <f t="shared" ref="Q60:Q93" si="203">IFERROR(+(P60/O60)-1,0)</f>
        <v>-0.19924386145796646</v>
      </c>
      <c r="R60" s="121">
        <f>IFERROR(VLOOKUP(_xlfn.CONCAT($P$3,"_",B60,"_",$O$2,"_",Parámetros!$C$6),DATA_KPI_PRE!A:F,6,FALSE),0)</f>
        <v>1357754.562281684</v>
      </c>
      <c r="S60" s="102">
        <f t="shared" ref="S60:S93" si="204">IFERROR(+(P60/R60)-1,0)</f>
        <v>-0.17036358315966005</v>
      </c>
      <c r="U60" s="121">
        <f>IFERROR(VLOOKUP(_xlfn.CONCAT($U$3,"_",B60,"_",$U$2,"_",Parámetros!$C$6),DATA_KPI!$A:$H,6,FALSE),0)</f>
        <v>0</v>
      </c>
      <c r="V60" s="121">
        <f>IFERROR(VLOOKUP(_xlfn.CONCAT($V$3,"_",B60,"_",$U$2,"_",Parámetros!$C$6),DATA_KPI!$A:$H,6,FALSE),0)</f>
        <v>38185.869999999995</v>
      </c>
      <c r="W60" s="122">
        <f t="shared" ref="W60:W93" si="205">IFERROR(+(V60/U60)-1,0)</f>
        <v>0</v>
      </c>
      <c r="X60" s="121">
        <f>IFERROR(VLOOKUP(_xlfn.CONCAT($J$3,"_",B60,"_",$I$2,"_",Parámetros!$C$6),DATA_KPI_PRE!A:F,6,FALSE),0)</f>
        <v>0</v>
      </c>
      <c r="Y60" s="102">
        <f t="shared" ref="Y60:Y70" si="206">IFERROR(+(V60/L60)-1,0)</f>
        <v>-0.98453330865231792</v>
      </c>
      <c r="Z60" s="4"/>
      <c r="AA60" s="121">
        <f>IFERROR(VLOOKUP(_xlfn.CONCAT($AA$3,"_",B60,"_",$AA$2,"_",Parámetros!$C$6),DATA_KPI!$A:$H,6,FALSE),0)</f>
        <v>0</v>
      </c>
      <c r="AB60" s="121">
        <f>IFERROR(VLOOKUP(_xlfn.CONCAT($AB$3,"_",B60,"_",$AA$2,"_",Parámetros!$C$6),DATA_KPI!$A:$H,6,FALSE),0)</f>
        <v>0</v>
      </c>
      <c r="AC60" s="122">
        <f t="shared" ref="AC60:AC93" si="207">IFERROR(+(AB60/AA60)-1,0)</f>
        <v>0</v>
      </c>
      <c r="AD60" s="121">
        <f>IFERROR(VLOOKUP(_xlfn.CONCAT($AB$3,"_",B60,"_",$AA$2,"_",Parámetros!$C$6),DATA_KPI_PRE!A:F,6,FALSE),0)</f>
        <v>0</v>
      </c>
      <c r="AE60" s="102">
        <f t="shared" ref="AE60:AE93" si="208">IFERROR(+(AB60/AD60)-1,0)</f>
        <v>0</v>
      </c>
      <c r="AG60" s="121">
        <f>IFERROR(VLOOKUP(_xlfn.CONCAT($AG$3,"_",B60,"_",$AG$2,"_",Parámetros!$C$6),DATA_KPI!$A:$H,6,FALSE),0)</f>
        <v>0</v>
      </c>
      <c r="AH60" s="121">
        <f>IFERROR(VLOOKUP(_xlfn.CONCAT($AH$3,"_",B60,"_",$AG$2,"_",Parámetros!$C$6),DATA_KPI!$A:$H,6,FALSE),0)</f>
        <v>0</v>
      </c>
      <c r="AI60" s="122">
        <f t="shared" ref="AI60:AI93" si="209">IFERROR(+(AH60/AG60)-1,0)</f>
        <v>0</v>
      </c>
      <c r="AJ60" s="121">
        <f>IFERROR(VLOOKUP(_xlfn.CONCAT($AH$3,"_",B60,"_",$AG$2,"_",Parámetros!$C$6),DATA_KPI_PRE!A:F,6,FALSE),0)</f>
        <v>0</v>
      </c>
      <c r="AK60" s="102">
        <f t="shared" ref="AK60:AK93" si="210">IFERROR(+(AH60/AJ60)-1,0)</f>
        <v>0</v>
      </c>
      <c r="AM60" s="121">
        <f>IFERROR(VLOOKUP(_xlfn.CONCAT($AM$3,"_",B60,"_",$AM$2,"_",Parámetros!$C$6),DATA_KPI!$A:$H,6,FALSE),0)</f>
        <v>0</v>
      </c>
      <c r="AN60" s="121">
        <f>IFERROR(VLOOKUP(_xlfn.CONCAT($AN$3,"_",B60,"_",$AM$2,"_",Parámetros!$C$6),DATA_KPI!$A:$H,6,FALSE),0)</f>
        <v>0</v>
      </c>
      <c r="AO60" s="122">
        <f t="shared" ref="AO60:AO70" si="211">IFERROR(+AN60/AM60,0)</f>
        <v>0</v>
      </c>
      <c r="AP60" s="121">
        <f>IFERROR(VLOOKUP(_xlfn.CONCAT($AN$3,"_",B60,"_",$AM$2,"_",Parámetros!$C$6),DATA_KPI_PRE!A:F,6,FALSE),0)</f>
        <v>0</v>
      </c>
      <c r="AQ60" s="102">
        <f t="shared" ref="AQ60:AQ93" si="212">IFERROR(+(AN60/AP60)-1,0)</f>
        <v>0</v>
      </c>
      <c r="AS60" s="121">
        <f t="shared" ref="AS60" si="213">+AM60+AG60</f>
        <v>0</v>
      </c>
      <c r="AT60" s="121">
        <f t="shared" ref="AT60" si="214">+AN60+AH60</f>
        <v>0</v>
      </c>
      <c r="AU60" s="122">
        <f t="shared" ref="AU60:AU70" si="215">IFERROR(+AT60/AS60,0)</f>
        <v>0</v>
      </c>
      <c r="AV60" s="121">
        <f t="shared" ref="AV60:AV70" si="216">+AP60+AJ60</f>
        <v>0</v>
      </c>
      <c r="AW60" s="102">
        <f t="shared" ref="AW60:AW69" si="217">IFERROR(+(AT60/AV60)-1,0)</f>
        <v>0</v>
      </c>
      <c r="AX60" s="132"/>
    </row>
    <row r="61" spans="1:50" ht="14.4" hidden="1" outlineLevel="1" x14ac:dyDescent="0.3">
      <c r="A61" s="100" t="s">
        <v>50</v>
      </c>
      <c r="B61" s="100" t="str">
        <f>IF(IFERROR(VLOOKUP(A61,DATA_KPI!$D:$H,5,FALSE),"")="",VLOOKUP(A61,DATA_KPI_PRE!$D:$H,5,FALSE),VLOOKUP(A61,DATA_KPI!$D:$H,5,FALSE))</f>
        <v>V05</v>
      </c>
      <c r="C61" s="101">
        <f>IFERROR(VLOOKUP(_xlfn.CONCAT($C$3,"_",B61,"_",$C$2,"_",Parámetros!$C$6),DATA_KPI!$A:$H,6,FALSE),0)</f>
        <v>3480893.9400000013</v>
      </c>
      <c r="D61" s="101">
        <f>IFERROR(VLOOKUP(_xlfn.CONCAT($D$3,"_",B61,"_",$C$2,"_",Parámetros!$C$6),DATA_KPI!A:H,6,FALSE),0)</f>
        <v>3281948.3300000019</v>
      </c>
      <c r="E61" s="102">
        <f t="shared" si="200"/>
        <v>-5.7153597159010028E-2</v>
      </c>
      <c r="F61" s="101">
        <f>IFERROR(VLOOKUP(_xlfn.CONCAT($D$3,"_",B61,"_",$C$2,"_",Parámetros!$C$6),DATA_KPI_PRE!$A:$F,6,FALSE),0)</f>
        <v>3603754.5773852896</v>
      </c>
      <c r="G61" s="102">
        <f t="shared" si="201"/>
        <v>-8.9297492510928667E-2</v>
      </c>
      <c r="H61" s="113"/>
      <c r="I61" s="121">
        <f>IFERROR(VLOOKUP(_xlfn.CONCAT($I$3,"_",B61,"_",$I$2,"_",Parámetros!$C$6),DATA_KPI!$A:$H,6,FALSE),0)</f>
        <v>1782062.5600000012</v>
      </c>
      <c r="J61" s="121">
        <f>IFERROR(VLOOKUP(_xlfn.CONCAT($J$3,"_",B61,"_",$I$2,"_",Parámetros!$C$6),DATA_KPI!$A:$H,6,FALSE),0)</f>
        <v>1534345.9500000014</v>
      </c>
      <c r="K61" s="122">
        <f t="shared" si="202"/>
        <v>-0.13900556330637448</v>
      </c>
      <c r="L61" s="121">
        <f>IFERROR(VLOOKUP(_xlfn.CONCAT($V$3,"_",B61,"_",$U$2,"_",Parámetros!$C$6),DATA_KPI_PRE!A:F,6,FALSE),0)</f>
        <v>1857916.2379354837</v>
      </c>
      <c r="M61" s="102">
        <f t="shared" ref="M61:M71" si="218">IFERROR(+(J61/L61)-1,0)</f>
        <v>-0.17415762956839953</v>
      </c>
      <c r="O61" s="121">
        <f>IFERROR(VLOOKUP(_xlfn.CONCAT($O$3,"_",B61,"_",$O$2,"_",Parámetros!$C$6),DATA_KPI!$A:$H,6,FALSE),0)</f>
        <v>1698831.3800000004</v>
      </c>
      <c r="P61" s="121">
        <f>IFERROR(VLOOKUP(_xlfn.CONCAT($P$3,"_",B61,"_",$O$2,"_",Parámetros!$C$6),DATA_KPI!$A:$H,6,FALSE),0)</f>
        <v>1747602.3800000008</v>
      </c>
      <c r="Q61" s="122">
        <f t="shared" si="203"/>
        <v>2.8708558467998468E-2</v>
      </c>
      <c r="R61" s="121">
        <f>IFERROR(VLOOKUP(_xlfn.CONCAT($P$3,"_",B61,"_",$O$2,"_",Parámetros!$C$6),DATA_KPI_PRE!A:F,6,FALSE),0)</f>
        <v>1745838.3394498061</v>
      </c>
      <c r="S61" s="102">
        <f t="shared" si="204"/>
        <v>1.0104260574037571E-3</v>
      </c>
      <c r="U61" s="121">
        <f>IFERROR(VLOOKUP(_xlfn.CONCAT($U$3,"_",B61,"_",$U$2,"_",Parámetros!$C$6),DATA_KPI!$A:$H,6,FALSE),0)</f>
        <v>0</v>
      </c>
      <c r="V61" s="121">
        <f>IFERROR(VLOOKUP(_xlfn.CONCAT($V$3,"_",B61,"_",$U$2,"_",Parámetros!$C$6),DATA_KPI!$A:$H,6,FALSE),0)</f>
        <v>0</v>
      </c>
      <c r="W61" s="122">
        <f t="shared" si="205"/>
        <v>0</v>
      </c>
      <c r="X61" s="121">
        <f>IFERROR(VLOOKUP(_xlfn.CONCAT($J$3,"_",B61,"_",$I$2,"_",Parámetros!$C$6),DATA_KPI_PRE!A:F,6,FALSE),0)</f>
        <v>0</v>
      </c>
      <c r="Y61" s="102">
        <f t="shared" si="206"/>
        <v>-1</v>
      </c>
      <c r="Z61" s="5"/>
      <c r="AA61" s="121">
        <f>IFERROR(VLOOKUP(_xlfn.CONCAT($AA$3,"_",B61,"_",$AA$2,"_",Parámetros!$C$6),DATA_KPI!$A:$H,6,FALSE),0)</f>
        <v>0</v>
      </c>
      <c r="AB61" s="121">
        <f>IFERROR(VLOOKUP(_xlfn.CONCAT($AB$3,"_",B61,"_",$AA$2,"_",Parámetros!$C$6),DATA_KPI!$A:$H,6,FALSE),0)</f>
        <v>0</v>
      </c>
      <c r="AC61" s="122">
        <f t="shared" si="207"/>
        <v>0</v>
      </c>
      <c r="AD61" s="121">
        <f>IFERROR(VLOOKUP(_xlfn.CONCAT($AB$3,"_",B61,"_",$AA$2,"_",Parámetros!$C$6),DATA_KPI_PRE!A:F,6,FALSE),0)</f>
        <v>0</v>
      </c>
      <c r="AE61" s="102">
        <f t="shared" si="208"/>
        <v>0</v>
      </c>
      <c r="AG61" s="121">
        <f>IFERROR(VLOOKUP(_xlfn.CONCAT($AG$3,"_",B61,"_",$AG$2,"_",Parámetros!$C$6),DATA_KPI!$A:$H,6,FALSE),0)</f>
        <v>0</v>
      </c>
      <c r="AH61" s="121">
        <f>IFERROR(VLOOKUP(_xlfn.CONCAT($AH$3,"_",B61,"_",$AG$2,"_",Parámetros!$C$6),DATA_KPI!$A:$H,6,FALSE),0)</f>
        <v>0</v>
      </c>
      <c r="AI61" s="122">
        <f t="shared" si="209"/>
        <v>0</v>
      </c>
      <c r="AJ61" s="121">
        <f>IFERROR(VLOOKUP(_xlfn.CONCAT($AH$3,"_",B61,"_",$AG$2,"_",Parámetros!$C$6),DATA_KPI_PRE!A:F,6,FALSE),0)</f>
        <v>0</v>
      </c>
      <c r="AK61" s="102">
        <f t="shared" si="210"/>
        <v>0</v>
      </c>
      <c r="AM61" s="121">
        <f>IFERROR(VLOOKUP(_xlfn.CONCAT($AM$3,"_",B61,"_",$AM$2,"_",Parámetros!$C$6),DATA_KPI!$A:$H,6,FALSE),0)</f>
        <v>0</v>
      </c>
      <c r="AN61" s="121">
        <f>IFERROR(VLOOKUP(_xlfn.CONCAT($AN$3,"_",B61,"_",$AM$2,"_",Parámetros!$C$6),DATA_KPI!$A:$H,6,FALSE),0)</f>
        <v>0</v>
      </c>
      <c r="AO61" s="122">
        <f t="shared" si="211"/>
        <v>0</v>
      </c>
      <c r="AP61" s="121">
        <f>IFERROR(VLOOKUP(_xlfn.CONCAT($AN$3,"_",B61,"_",$AM$2,"_",Parámetros!$C$6),DATA_KPI_PRE!A:F,6,FALSE),0)</f>
        <v>0</v>
      </c>
      <c r="AQ61" s="102">
        <f t="shared" si="212"/>
        <v>0</v>
      </c>
      <c r="AS61" s="121">
        <f t="shared" ref="AS61:AS70" si="219">+AM61+AG61</f>
        <v>0</v>
      </c>
      <c r="AT61" s="121">
        <f t="shared" ref="AT61:AT70" si="220">+AN61+AH61</f>
        <v>0</v>
      </c>
      <c r="AU61" s="122">
        <f t="shared" si="215"/>
        <v>0</v>
      </c>
      <c r="AV61" s="121">
        <f t="shared" si="216"/>
        <v>0</v>
      </c>
      <c r="AW61" s="102">
        <f t="shared" si="217"/>
        <v>0</v>
      </c>
      <c r="AX61" s="132"/>
    </row>
    <row r="62" spans="1:50" ht="14.4" hidden="1" outlineLevel="1" x14ac:dyDescent="0.3">
      <c r="A62" s="100" t="s">
        <v>41</v>
      </c>
      <c r="B62" s="100" t="str">
        <f>IF(IFERROR(VLOOKUP(A62,DATA_KPI!$D:$H,5,FALSE),"")="",VLOOKUP(A62,DATA_KPI_PRE!$D:$H,5,FALSE),VLOOKUP(A62,DATA_KPI!$D:$H,5,FALSE))</f>
        <v>V13</v>
      </c>
      <c r="C62" s="101">
        <f>IFERROR(VLOOKUP(_xlfn.CONCAT($C$3,"_",B62,"_",$C$2,"_",Parámetros!$C$6),DATA_KPI!$A:$H,6,FALSE),0)</f>
        <v>4397403.150000005</v>
      </c>
      <c r="D62" s="101">
        <f>IFERROR(VLOOKUP(_xlfn.CONCAT($D$3,"_",B62,"_",$C$2,"_",Parámetros!$C$6),DATA_KPI!A:H,6,FALSE),0)</f>
        <v>4068718.2100000032</v>
      </c>
      <c r="E62" s="102">
        <f t="shared" si="200"/>
        <v>-7.4745236856439079E-2</v>
      </c>
      <c r="F62" s="101">
        <f>IFERROR(VLOOKUP(_xlfn.CONCAT($D$3,"_",B62,"_",$C$2,"_",Parámetros!$C$6),DATA_KPI_PRE!$A:$F,6,FALSE),0)</f>
        <v>4485495.2802585475</v>
      </c>
      <c r="G62" s="102">
        <f t="shared" si="201"/>
        <v>-9.2916622182806274E-2</v>
      </c>
      <c r="H62" s="113"/>
      <c r="I62" s="121">
        <f>IFERROR(VLOOKUP(_xlfn.CONCAT($I$3,"_",B62,"_",$I$2,"_",Parámetros!$C$6),DATA_KPI!$A:$H,6,FALSE),0)</f>
        <v>2758027.3100000033</v>
      </c>
      <c r="J62" s="121">
        <f>IFERROR(VLOOKUP(_xlfn.CONCAT($J$3,"_",B62,"_",$I$2,"_",Parámetros!$C$6),DATA_KPI!$A:$H,6,FALSE),0)</f>
        <v>2102868.430000002</v>
      </c>
      <c r="K62" s="122">
        <f t="shared" si="202"/>
        <v>-0.23754619021520873</v>
      </c>
      <c r="L62" s="121">
        <f>IFERROR(VLOOKUP(_xlfn.CONCAT($V$3,"_",B62,"_",$U$2,"_",Parámetros!$C$6),DATA_KPI_PRE!A:F,6,FALSE),0)</f>
        <v>2693124.1566219567</v>
      </c>
      <c r="M62" s="102">
        <f t="shared" si="218"/>
        <v>-0.2191713758055347</v>
      </c>
      <c r="O62" s="121">
        <f>IFERROR(VLOOKUP(_xlfn.CONCAT($O$3,"_",B62,"_",$O$2,"_",Parámetros!$C$6),DATA_KPI!$A:$H,6,FALSE),0)</f>
        <v>1639375.8400000017</v>
      </c>
      <c r="P62" s="121">
        <f>IFERROR(VLOOKUP(_xlfn.CONCAT($P$3,"_",B62,"_",$O$2,"_",Parámetros!$C$6),DATA_KPI!$A:$H,6,FALSE),0)</f>
        <v>1965849.7800000012</v>
      </c>
      <c r="Q62" s="122">
        <f t="shared" si="203"/>
        <v>0.19914526738420091</v>
      </c>
      <c r="R62" s="121">
        <f>IFERROR(VLOOKUP(_xlfn.CONCAT($P$3,"_",B62,"_",$O$2,"_",Parámetros!$C$6),DATA_KPI_PRE!A:F,6,FALSE),0)</f>
        <v>1792371.1236365905</v>
      </c>
      <c r="S62" s="102">
        <f t="shared" si="204"/>
        <v>9.6787241255837264E-2</v>
      </c>
      <c r="U62" s="121">
        <f>IFERROR(VLOOKUP(_xlfn.CONCAT($U$3,"_",B62,"_",$U$2,"_",Parámetros!$C$6),DATA_KPI!$A:$H,6,FALSE),0)</f>
        <v>0</v>
      </c>
      <c r="V62" s="121">
        <f>IFERROR(VLOOKUP(_xlfn.CONCAT($V$3,"_",B62,"_",$U$2,"_",Parámetros!$C$6),DATA_KPI!$A:$H,6,FALSE),0)</f>
        <v>0</v>
      </c>
      <c r="W62" s="122">
        <f t="shared" si="205"/>
        <v>0</v>
      </c>
      <c r="X62" s="121">
        <f>IFERROR(VLOOKUP(_xlfn.CONCAT($J$3,"_",B62,"_",$I$2,"_",Parámetros!$C$6),DATA_KPI_PRE!A:F,6,FALSE),0)</f>
        <v>0</v>
      </c>
      <c r="Y62" s="102">
        <f t="shared" si="206"/>
        <v>-1</v>
      </c>
      <c r="Z62" s="4"/>
      <c r="AA62" s="121">
        <f>IFERROR(VLOOKUP(_xlfn.CONCAT($AA$3,"_",B62,"_",$AA$2,"_",Parámetros!$C$6),DATA_KPI!$A:$H,6,FALSE),0)</f>
        <v>0</v>
      </c>
      <c r="AB62" s="121">
        <f>IFERROR(VLOOKUP(_xlfn.CONCAT($AB$3,"_",B62,"_",$AA$2,"_",Parámetros!$C$6),DATA_KPI!$A:$H,6,FALSE),0)</f>
        <v>0</v>
      </c>
      <c r="AC62" s="122">
        <f t="shared" si="207"/>
        <v>0</v>
      </c>
      <c r="AD62" s="121">
        <f>IFERROR(VLOOKUP(_xlfn.CONCAT($AB$3,"_",B62,"_",$AA$2,"_",Parámetros!$C$6),DATA_KPI_PRE!A:F,6,FALSE),0)</f>
        <v>0</v>
      </c>
      <c r="AE62" s="102">
        <f t="shared" si="208"/>
        <v>0</v>
      </c>
      <c r="AG62" s="121">
        <f>IFERROR(VLOOKUP(_xlfn.CONCAT($AG$3,"_",B62,"_",$AG$2,"_",Parámetros!$C$6),DATA_KPI!$A:$H,6,FALSE),0)</f>
        <v>0</v>
      </c>
      <c r="AH62" s="121">
        <f>IFERROR(VLOOKUP(_xlfn.CONCAT($AH$3,"_",B62,"_",$AG$2,"_",Parámetros!$C$6),DATA_KPI!$A:$H,6,FALSE),0)</f>
        <v>0</v>
      </c>
      <c r="AI62" s="122">
        <f t="shared" si="209"/>
        <v>0</v>
      </c>
      <c r="AJ62" s="121">
        <f>IFERROR(VLOOKUP(_xlfn.CONCAT($AH$3,"_",B62,"_",$AG$2,"_",Parámetros!$C$6),DATA_KPI_PRE!A:F,6,FALSE),0)</f>
        <v>0</v>
      </c>
      <c r="AK62" s="102">
        <f t="shared" si="210"/>
        <v>0</v>
      </c>
      <c r="AM62" s="121">
        <f>IFERROR(VLOOKUP(_xlfn.CONCAT($AM$3,"_",B62,"_",$AM$2,"_",Parámetros!$C$6),DATA_KPI!$A:$H,6,FALSE),0)</f>
        <v>0</v>
      </c>
      <c r="AN62" s="121">
        <f>IFERROR(VLOOKUP(_xlfn.CONCAT($AN$3,"_",B62,"_",$AM$2,"_",Parámetros!$C$6),DATA_KPI!$A:$H,6,FALSE),0)</f>
        <v>0</v>
      </c>
      <c r="AO62" s="122">
        <f t="shared" si="211"/>
        <v>0</v>
      </c>
      <c r="AP62" s="121">
        <f>IFERROR(VLOOKUP(_xlfn.CONCAT($AN$3,"_",B62,"_",$AM$2,"_",Parámetros!$C$6),DATA_KPI_PRE!A:F,6,FALSE),0)</f>
        <v>0</v>
      </c>
      <c r="AQ62" s="102">
        <f t="shared" si="212"/>
        <v>0</v>
      </c>
      <c r="AS62" s="121">
        <f t="shared" si="219"/>
        <v>0</v>
      </c>
      <c r="AT62" s="121">
        <f t="shared" si="220"/>
        <v>0</v>
      </c>
      <c r="AU62" s="122">
        <f t="shared" si="215"/>
        <v>0</v>
      </c>
      <c r="AV62" s="121">
        <f t="shared" si="216"/>
        <v>0</v>
      </c>
      <c r="AW62" s="102">
        <f t="shared" si="217"/>
        <v>0</v>
      </c>
      <c r="AX62" s="132"/>
    </row>
    <row r="63" spans="1:50" ht="14.4" hidden="1" outlineLevel="1" x14ac:dyDescent="0.3">
      <c r="A63" s="100" t="s">
        <v>40</v>
      </c>
      <c r="B63" s="100" t="str">
        <f>IF(IFERROR(VLOOKUP(A63,DATA_KPI!$D:$H,5,FALSE),"")="",VLOOKUP(A63,DATA_KPI_PRE!$D:$H,5,FALSE),VLOOKUP(A63,DATA_KPI!$D:$H,5,FALSE))</f>
        <v>V06</v>
      </c>
      <c r="C63" s="101">
        <f>IFERROR(VLOOKUP(_xlfn.CONCAT($C$3,"_",B63,"_",$C$2,"_",Parámetros!$C$6),DATA_KPI!$A:$H,6,FALSE),0)</f>
        <v>3528654.9800000032</v>
      </c>
      <c r="D63" s="101">
        <f>IFERROR(VLOOKUP(_xlfn.CONCAT($D$3,"_",B63,"_",$C$2,"_",Parámetros!$C$6),DATA_KPI!A:H,6,FALSE),0)</f>
        <v>3388605.4500000034</v>
      </c>
      <c r="E63" s="102">
        <f t="shared" si="200"/>
        <v>-3.9689210419772913E-2</v>
      </c>
      <c r="F63" s="101">
        <f>IFERROR(VLOOKUP(_xlfn.CONCAT($D$3,"_",B63,"_",$C$2,"_",Parámetros!$C$6),DATA_KPI_PRE!$A:$F,6,FALSE),0)</f>
        <v>3767760.6665465813</v>
      </c>
      <c r="G63" s="102">
        <f t="shared" si="201"/>
        <v>-0.10063144931498536</v>
      </c>
      <c r="H63" s="113"/>
      <c r="I63" s="121">
        <f>IFERROR(VLOOKUP(_xlfn.CONCAT($I$3,"_",B63,"_",$I$2,"_",Parámetros!$C$6),DATA_KPI!$A:$H,6,FALSE),0)</f>
        <v>1808876.5200000028</v>
      </c>
      <c r="J63" s="121">
        <f>IFERROR(VLOOKUP(_xlfn.CONCAT($J$3,"_",B63,"_",$I$2,"_",Parámetros!$C$6),DATA_KPI!$A:$H,6,FALSE),0)</f>
        <v>1442611.3900000018</v>
      </c>
      <c r="K63" s="122">
        <f t="shared" si="202"/>
        <v>-0.2024821075127895</v>
      </c>
      <c r="L63" s="121">
        <f>IFERROR(VLOOKUP(_xlfn.CONCAT($V$3,"_",B63,"_",$U$2,"_",Parámetros!$C$6),DATA_KPI_PRE!A:F,6,FALSE),0)</f>
        <v>1968687.5801806459</v>
      </c>
      <c r="M63" s="102">
        <f t="shared" si="218"/>
        <v>-0.26722177529680546</v>
      </c>
      <c r="O63" s="121">
        <f>IFERROR(VLOOKUP(_xlfn.CONCAT($O$3,"_",B63,"_",$O$2,"_",Parámetros!$C$6),DATA_KPI!$A:$H,6,FALSE),0)</f>
        <v>1719778.4600000007</v>
      </c>
      <c r="P63" s="121">
        <f>IFERROR(VLOOKUP(_xlfn.CONCAT($P$3,"_",B63,"_",$O$2,"_",Parámetros!$C$6),DATA_KPI!$A:$H,6,FALSE),0)</f>
        <v>1941932.1100000017</v>
      </c>
      <c r="Q63" s="122">
        <f t="shared" si="203"/>
        <v>0.12917573697254059</v>
      </c>
      <c r="R63" s="121">
        <f>IFERROR(VLOOKUP(_xlfn.CONCAT($P$3,"_",B63,"_",$O$2,"_",Parámetros!$C$6),DATA_KPI_PRE!A:F,6,FALSE),0)</f>
        <v>1799073.0863659354</v>
      </c>
      <c r="S63" s="102">
        <f t="shared" si="204"/>
        <v>7.9407015043861495E-2</v>
      </c>
      <c r="U63" s="121">
        <f>IFERROR(VLOOKUP(_xlfn.CONCAT($U$3,"_",B63,"_",$U$2,"_",Parámetros!$C$6),DATA_KPI!$A:$H,6,FALSE),0)</f>
        <v>0</v>
      </c>
      <c r="V63" s="121">
        <f>IFERROR(VLOOKUP(_xlfn.CONCAT($V$3,"_",B63,"_",$U$2,"_",Parámetros!$C$6),DATA_KPI!$A:$H,6,FALSE),0)</f>
        <v>4061.95</v>
      </c>
      <c r="W63" s="122">
        <f t="shared" si="205"/>
        <v>0</v>
      </c>
      <c r="X63" s="121">
        <f>IFERROR(VLOOKUP(_xlfn.CONCAT($J$3,"_",B63,"_",$I$2,"_",Parámetros!$C$6),DATA_KPI_PRE!A:F,6,FALSE),0)</f>
        <v>0</v>
      </c>
      <c r="Y63" s="102">
        <f t="shared" si="206"/>
        <v>-0.99793672188472526</v>
      </c>
      <c r="Z63" s="4"/>
      <c r="AA63" s="121">
        <f>IFERROR(VLOOKUP(_xlfn.CONCAT($AA$3,"_",B63,"_",$AA$2,"_",Parámetros!$C$6),DATA_KPI!$A:$H,6,FALSE),0)</f>
        <v>0</v>
      </c>
      <c r="AB63" s="121">
        <f>IFERROR(VLOOKUP(_xlfn.CONCAT($AB$3,"_",B63,"_",$AA$2,"_",Parámetros!$C$6),DATA_KPI!$A:$H,6,FALSE),0)</f>
        <v>0</v>
      </c>
      <c r="AC63" s="122">
        <f t="shared" si="207"/>
        <v>0</v>
      </c>
      <c r="AD63" s="121">
        <f>IFERROR(VLOOKUP(_xlfn.CONCAT($AB$3,"_",B63,"_",$AA$2,"_",Parámetros!$C$6),DATA_KPI_PRE!A:F,6,FALSE),0)</f>
        <v>0</v>
      </c>
      <c r="AE63" s="102">
        <f t="shared" si="208"/>
        <v>0</v>
      </c>
      <c r="AG63" s="121">
        <f>IFERROR(VLOOKUP(_xlfn.CONCAT($AG$3,"_",B63,"_",$AG$2,"_",Parámetros!$C$6),DATA_KPI!$A:$H,6,FALSE),0)</f>
        <v>0</v>
      </c>
      <c r="AH63" s="121">
        <f>IFERROR(VLOOKUP(_xlfn.CONCAT($AH$3,"_",B63,"_",$AG$2,"_",Parámetros!$C$6),DATA_KPI!$A:$H,6,FALSE),0)</f>
        <v>0</v>
      </c>
      <c r="AI63" s="122">
        <f t="shared" si="209"/>
        <v>0</v>
      </c>
      <c r="AJ63" s="121">
        <f>IFERROR(VLOOKUP(_xlfn.CONCAT($AH$3,"_",B63,"_",$AG$2,"_",Parámetros!$C$6),DATA_KPI_PRE!A:F,6,FALSE),0)</f>
        <v>0</v>
      </c>
      <c r="AK63" s="102">
        <f t="shared" si="210"/>
        <v>0</v>
      </c>
      <c r="AM63" s="121">
        <f>IFERROR(VLOOKUP(_xlfn.CONCAT($AM$3,"_",B63,"_",$AM$2,"_",Parámetros!$C$6),DATA_KPI!$A:$H,6,FALSE),0)</f>
        <v>0</v>
      </c>
      <c r="AN63" s="121">
        <f>IFERROR(VLOOKUP(_xlfn.CONCAT($AN$3,"_",B63,"_",$AM$2,"_",Parámetros!$C$6),DATA_KPI!$A:$H,6,FALSE),0)</f>
        <v>0</v>
      </c>
      <c r="AO63" s="122">
        <f t="shared" si="211"/>
        <v>0</v>
      </c>
      <c r="AP63" s="121">
        <f>IFERROR(VLOOKUP(_xlfn.CONCAT($AN$3,"_",B63,"_",$AM$2,"_",Parámetros!$C$6),DATA_KPI_PRE!A:F,6,FALSE),0)</f>
        <v>0</v>
      </c>
      <c r="AQ63" s="102">
        <f t="shared" si="212"/>
        <v>0</v>
      </c>
      <c r="AS63" s="121">
        <f t="shared" si="219"/>
        <v>0</v>
      </c>
      <c r="AT63" s="121">
        <f t="shared" si="220"/>
        <v>0</v>
      </c>
      <c r="AU63" s="122">
        <f t="shared" si="215"/>
        <v>0</v>
      </c>
      <c r="AV63" s="121">
        <f t="shared" si="216"/>
        <v>0</v>
      </c>
      <c r="AW63" s="102">
        <f t="shared" si="217"/>
        <v>0</v>
      </c>
      <c r="AX63" s="132"/>
    </row>
    <row r="64" spans="1:50" ht="14.4" hidden="1" outlineLevel="1" x14ac:dyDescent="0.3">
      <c r="A64" s="100" t="s">
        <v>42</v>
      </c>
      <c r="B64" s="100" t="str">
        <f>IF(IFERROR(VLOOKUP(A64,DATA_KPI!$D:$H,5,FALSE),"")="",VLOOKUP(A64,DATA_KPI_PRE!$D:$H,5,FALSE),VLOOKUP(A64,DATA_KPI!$D:$H,5,FALSE))</f>
        <v>V02</v>
      </c>
      <c r="C64" s="101">
        <f>IFERROR(VLOOKUP(_xlfn.CONCAT($C$3,"_",B64,"_",$C$2,"_",Parámetros!$C$6),DATA_KPI!$A:$H,6,FALSE),0)</f>
        <v>3782952.200000003</v>
      </c>
      <c r="D64" s="101">
        <f>IFERROR(VLOOKUP(_xlfn.CONCAT($D$3,"_",B64,"_",$C$2,"_",Parámetros!$C$6),DATA_KPI!A:H,6,FALSE),0)</f>
        <v>3475730.640000002</v>
      </c>
      <c r="E64" s="102">
        <f t="shared" si="200"/>
        <v>-8.1212117879787327E-2</v>
      </c>
      <c r="F64" s="101">
        <f>IFERROR(VLOOKUP(_xlfn.CONCAT($D$3,"_",B64,"_",$C$2,"_",Parámetros!$C$6),DATA_KPI_PRE!$A:$F,6,FALSE),0)</f>
        <v>5284299.1986884605</v>
      </c>
      <c r="G64" s="102">
        <f t="shared" si="201"/>
        <v>-0.34225324696552706</v>
      </c>
      <c r="H64" s="113"/>
      <c r="I64" s="121">
        <f>IFERROR(VLOOKUP(_xlfn.CONCAT($I$3,"_",B64,"_",$I$2,"_",Parámetros!$C$6),DATA_KPI!$A:$H,6,FALSE),0)</f>
        <v>1530035.9600000009</v>
      </c>
      <c r="J64" s="121">
        <f>IFERROR(VLOOKUP(_xlfn.CONCAT($J$3,"_",B64,"_",$I$2,"_",Parámetros!$C$6),DATA_KPI!$A:$H,6,FALSE),0)</f>
        <v>1221637.7700000009</v>
      </c>
      <c r="K64" s="122">
        <f t="shared" si="202"/>
        <v>-0.20156270706212664</v>
      </c>
      <c r="L64" s="121">
        <f>IFERROR(VLOOKUP(_xlfn.CONCAT($V$3,"_",B64,"_",$U$2,"_",Parámetros!$C$6),DATA_KPI_PRE!A:F,6,FALSE),0)</f>
        <v>2924412.026521889</v>
      </c>
      <c r="M64" s="102">
        <f t="shared" si="218"/>
        <v>-0.58226208929494117</v>
      </c>
      <c r="O64" s="121">
        <f>IFERROR(VLOOKUP(_xlfn.CONCAT($O$3,"_",B64,"_",$O$2,"_",Parámetros!$C$6),DATA_KPI!$A:$H,6,FALSE),0)</f>
        <v>2234730.3800000022</v>
      </c>
      <c r="P64" s="121">
        <f>IFERROR(VLOOKUP(_xlfn.CONCAT($P$3,"_",B64,"_",$O$2,"_",Parámetros!$C$6),DATA_KPI!$A:$H,6,FALSE),0)</f>
        <v>2249676.9300000011</v>
      </c>
      <c r="Q64" s="122">
        <f t="shared" si="203"/>
        <v>6.688301252699258E-3</v>
      </c>
      <c r="R64" s="121">
        <f>IFERROR(VLOOKUP(_xlfn.CONCAT($P$3,"_",B64,"_",$O$2,"_",Parámetros!$C$6),DATA_KPI_PRE!A:F,6,FALSE),0)</f>
        <v>2359887.172166571</v>
      </c>
      <c r="S64" s="102">
        <f t="shared" si="204"/>
        <v>-4.6701487878925918E-2</v>
      </c>
      <c r="U64" s="121">
        <f>IFERROR(VLOOKUP(_xlfn.CONCAT($U$3,"_",B64,"_",$U$2,"_",Parámetros!$C$6),DATA_KPI!$A:$H,6,FALSE),0)</f>
        <v>18185.86</v>
      </c>
      <c r="V64" s="121">
        <f>IFERROR(VLOOKUP(_xlfn.CONCAT($V$3,"_",B64,"_",$U$2,"_",Parámetros!$C$6),DATA_KPI!$A:$H,6,FALSE),0)</f>
        <v>4415.9399999999996</v>
      </c>
      <c r="W64" s="122">
        <f t="shared" si="205"/>
        <v>-0.75717727949076918</v>
      </c>
      <c r="X64" s="121">
        <f>IFERROR(VLOOKUP(_xlfn.CONCAT($J$3,"_",B64,"_",$I$2,"_",Parámetros!$C$6),DATA_KPI_PRE!A:F,6,FALSE),0)</f>
        <v>0</v>
      </c>
      <c r="Y64" s="102">
        <f t="shared" si="206"/>
        <v>-0.99848997338270007</v>
      </c>
      <c r="Z64" s="5"/>
      <c r="AA64" s="121">
        <f>IFERROR(VLOOKUP(_xlfn.CONCAT($AA$3,"_",B64,"_",$AA$2,"_",Parámetros!$C$6),DATA_KPI!$A:$H,6,FALSE),0)</f>
        <v>0</v>
      </c>
      <c r="AB64" s="121">
        <f>IFERROR(VLOOKUP(_xlfn.CONCAT($AB$3,"_",B64,"_",$AA$2,"_",Parámetros!$C$6),DATA_KPI!$A:$H,6,FALSE),0)</f>
        <v>0</v>
      </c>
      <c r="AC64" s="122">
        <f t="shared" si="207"/>
        <v>0</v>
      </c>
      <c r="AD64" s="121">
        <f>IFERROR(VLOOKUP(_xlfn.CONCAT($AB$3,"_",B64,"_",$AA$2,"_",Parámetros!$C$6),DATA_KPI_PRE!A:F,6,FALSE),0)</f>
        <v>0</v>
      </c>
      <c r="AE64" s="102">
        <f t="shared" si="208"/>
        <v>0</v>
      </c>
      <c r="AG64" s="121">
        <f>IFERROR(VLOOKUP(_xlfn.CONCAT($AG$3,"_",B64,"_",$AG$2,"_",Parámetros!$C$6),DATA_KPI!$A:$H,6,FALSE),0)</f>
        <v>0</v>
      </c>
      <c r="AH64" s="121">
        <f>IFERROR(VLOOKUP(_xlfn.CONCAT($AH$3,"_",B64,"_",$AG$2,"_",Parámetros!$C$6),DATA_KPI!$A:$H,6,FALSE),0)</f>
        <v>0</v>
      </c>
      <c r="AI64" s="122">
        <f t="shared" si="209"/>
        <v>0</v>
      </c>
      <c r="AJ64" s="121">
        <f>IFERROR(VLOOKUP(_xlfn.CONCAT($AH$3,"_",B64,"_",$AG$2,"_",Parámetros!$C$6),DATA_KPI_PRE!A:F,6,FALSE),0)</f>
        <v>0</v>
      </c>
      <c r="AK64" s="102">
        <f t="shared" si="210"/>
        <v>0</v>
      </c>
      <c r="AM64" s="121">
        <f>IFERROR(VLOOKUP(_xlfn.CONCAT($AM$3,"_",B64,"_",$AM$2,"_",Parámetros!$C$6),DATA_KPI!$A:$H,6,FALSE),0)</f>
        <v>0</v>
      </c>
      <c r="AN64" s="121">
        <f>IFERROR(VLOOKUP(_xlfn.CONCAT($AN$3,"_",B64,"_",$AM$2,"_",Parámetros!$C$6),DATA_KPI!$A:$H,6,FALSE),0)</f>
        <v>0</v>
      </c>
      <c r="AO64" s="122">
        <f t="shared" si="211"/>
        <v>0</v>
      </c>
      <c r="AP64" s="121">
        <f>IFERROR(VLOOKUP(_xlfn.CONCAT($AN$3,"_",B64,"_",$AM$2,"_",Parámetros!$C$6),DATA_KPI_PRE!A:F,6,FALSE),0)</f>
        <v>0</v>
      </c>
      <c r="AQ64" s="102">
        <f t="shared" si="212"/>
        <v>0</v>
      </c>
      <c r="AS64" s="121">
        <f t="shared" si="219"/>
        <v>0</v>
      </c>
      <c r="AT64" s="121">
        <f t="shared" si="220"/>
        <v>0</v>
      </c>
      <c r="AU64" s="122">
        <f t="shared" si="215"/>
        <v>0</v>
      </c>
      <c r="AV64" s="121">
        <f t="shared" si="216"/>
        <v>0</v>
      </c>
      <c r="AW64" s="102">
        <f t="shared" si="217"/>
        <v>0</v>
      </c>
      <c r="AX64" s="132"/>
    </row>
    <row r="65" spans="1:50" ht="14.4" hidden="1" outlineLevel="1" x14ac:dyDescent="0.3">
      <c r="A65" s="100" t="s">
        <v>37</v>
      </c>
      <c r="B65" s="100" t="str">
        <f>IF(IFERROR(VLOOKUP(A65,DATA_KPI!$D:$H,5,FALSE),"")="",VLOOKUP(A65,DATA_KPI_PRE!$D:$H,5,FALSE),VLOOKUP(A65,DATA_KPI!$D:$H,5,FALSE))</f>
        <v>V24</v>
      </c>
      <c r="C65" s="101">
        <f>IFERROR(VLOOKUP(_xlfn.CONCAT($C$3,"_",B65,"_",$C$2,"_",Parámetros!$C$6),DATA_KPI!$A:$H,6,FALSE),0)</f>
        <v>2763451.3200000003</v>
      </c>
      <c r="D65" s="101">
        <f>IFERROR(VLOOKUP(_xlfn.CONCAT($D$3,"_",B65,"_",$C$2,"_",Parámetros!$C$6),DATA_KPI!A:H,6,FALSE),0)</f>
        <v>2962434.8000000003</v>
      </c>
      <c r="E65" s="102">
        <f t="shared" si="200"/>
        <v>7.200542255254927E-2</v>
      </c>
      <c r="F65" s="101">
        <f>IFERROR(VLOOKUP(_xlfn.CONCAT($D$3,"_",B65,"_",$C$2,"_",Parámetros!$C$6),DATA_KPI_PRE!$A:$F,6,FALSE),0)</f>
        <v>3095747.2815559958</v>
      </c>
      <c r="G65" s="102">
        <f t="shared" si="201"/>
        <v>-4.3063102195147418E-2</v>
      </c>
      <c r="H65" s="113"/>
      <c r="I65" s="121">
        <f>IFERROR(VLOOKUP(_xlfn.CONCAT($I$3,"_",B65,"_",$I$2,"_",Parámetros!$C$6),DATA_KPI!$A:$H,6,FALSE),0)</f>
        <v>805602.03000000038</v>
      </c>
      <c r="J65" s="121">
        <f>IFERROR(VLOOKUP(_xlfn.CONCAT($J$3,"_",B65,"_",$I$2,"_",Parámetros!$C$6),DATA_KPI!$A:$H,6,FALSE),0)</f>
        <v>1150664.6599999999</v>
      </c>
      <c r="K65" s="122">
        <f t="shared" si="202"/>
        <v>0.42832889832712984</v>
      </c>
      <c r="L65" s="121">
        <f>IFERROR(VLOOKUP(_xlfn.CONCAT($V$3,"_",B65,"_",$U$2,"_",Parámetros!$C$6),DATA_KPI_PRE!A:F,6,FALSE),0)</f>
        <v>935429.34987972805</v>
      </c>
      <c r="M65" s="102">
        <f t="shared" si="218"/>
        <v>0.23009253467185475</v>
      </c>
      <c r="O65" s="121">
        <f>IFERROR(VLOOKUP(_xlfn.CONCAT($O$3,"_",B65,"_",$O$2,"_",Parámetros!$C$6),DATA_KPI!$A:$H,6,FALSE),0)</f>
        <v>1954318.3199999998</v>
      </c>
      <c r="P65" s="121">
        <f>IFERROR(VLOOKUP(_xlfn.CONCAT($P$3,"_",B65,"_",$O$2,"_",Parámetros!$C$6),DATA_KPI!$A:$H,6,FALSE),0)</f>
        <v>1811770.1400000004</v>
      </c>
      <c r="Q65" s="122">
        <f t="shared" si="203"/>
        <v>-7.2940103227400299E-2</v>
      </c>
      <c r="R65" s="121">
        <f>IFERROR(VLOOKUP(_xlfn.CONCAT($P$3,"_",B65,"_",$O$2,"_",Parámetros!$C$6),DATA_KPI_PRE!A:F,6,FALSE),0)</f>
        <v>2160317.9316762676</v>
      </c>
      <c r="S65" s="102">
        <f t="shared" si="204"/>
        <v>-0.16134097049586427</v>
      </c>
      <c r="U65" s="121">
        <f>IFERROR(VLOOKUP(_xlfn.CONCAT($U$3,"_",B65,"_",$U$2,"_",Parámetros!$C$6),DATA_KPI!$A:$H,6,FALSE),0)</f>
        <v>3530.97</v>
      </c>
      <c r="V65" s="121">
        <f>IFERROR(VLOOKUP(_xlfn.CONCAT($V$3,"_",B65,"_",$U$2,"_",Parámetros!$C$6),DATA_KPI!$A:$H,6,FALSE),0)</f>
        <v>0</v>
      </c>
      <c r="W65" s="122">
        <f t="shared" si="205"/>
        <v>-1</v>
      </c>
      <c r="X65" s="121">
        <f>IFERROR(VLOOKUP(_xlfn.CONCAT($J$3,"_",B65,"_",$I$2,"_",Parámetros!$C$6),DATA_KPI_PRE!A:F,6,FALSE),0)</f>
        <v>0</v>
      </c>
      <c r="Y65" s="102">
        <f t="shared" si="206"/>
        <v>-1</v>
      </c>
      <c r="Z65" s="4"/>
      <c r="AA65" s="121">
        <f>IFERROR(VLOOKUP(_xlfn.CONCAT($AA$3,"_",B65,"_",$AA$2,"_",Parámetros!$C$6),DATA_KPI!$A:$H,6,FALSE),0)</f>
        <v>0</v>
      </c>
      <c r="AB65" s="121">
        <f>IFERROR(VLOOKUP(_xlfn.CONCAT($AB$3,"_",B65,"_",$AA$2,"_",Parámetros!$C$6),DATA_KPI!$A:$H,6,FALSE),0)</f>
        <v>0</v>
      </c>
      <c r="AC65" s="122">
        <f t="shared" si="207"/>
        <v>0</v>
      </c>
      <c r="AD65" s="121">
        <f>IFERROR(VLOOKUP(_xlfn.CONCAT($AB$3,"_",B65,"_",$AA$2,"_",Parámetros!$C$6),DATA_KPI_PRE!A:F,6,FALSE),0)</f>
        <v>0</v>
      </c>
      <c r="AE65" s="102">
        <f t="shared" si="208"/>
        <v>0</v>
      </c>
      <c r="AG65" s="121">
        <f>IFERROR(VLOOKUP(_xlfn.CONCAT($AG$3,"_",B65,"_",$AG$2,"_",Parámetros!$C$6),DATA_KPI!$A:$H,6,FALSE),0)</f>
        <v>0</v>
      </c>
      <c r="AH65" s="121">
        <f>IFERROR(VLOOKUP(_xlfn.CONCAT($AH$3,"_",B65,"_",$AG$2,"_",Parámetros!$C$6),DATA_KPI!$A:$H,6,FALSE),0)</f>
        <v>0</v>
      </c>
      <c r="AI65" s="122">
        <f t="shared" si="209"/>
        <v>0</v>
      </c>
      <c r="AJ65" s="121">
        <f>IFERROR(VLOOKUP(_xlfn.CONCAT($AH$3,"_",B65,"_",$AG$2,"_",Parámetros!$C$6),DATA_KPI_PRE!A:F,6,FALSE),0)</f>
        <v>0</v>
      </c>
      <c r="AK65" s="102">
        <f t="shared" si="210"/>
        <v>0</v>
      </c>
      <c r="AM65" s="121">
        <f>IFERROR(VLOOKUP(_xlfn.CONCAT($AM$3,"_",B65,"_",$AM$2,"_",Parámetros!$C$6),DATA_KPI!$A:$H,6,FALSE),0)</f>
        <v>0</v>
      </c>
      <c r="AN65" s="121">
        <f>IFERROR(VLOOKUP(_xlfn.CONCAT($AN$3,"_",B65,"_",$AM$2,"_",Parámetros!$C$6),DATA_KPI!$A:$H,6,FALSE),0)</f>
        <v>0</v>
      </c>
      <c r="AO65" s="122">
        <f t="shared" si="211"/>
        <v>0</v>
      </c>
      <c r="AP65" s="121">
        <f>IFERROR(VLOOKUP(_xlfn.CONCAT($AN$3,"_",B65,"_",$AM$2,"_",Parámetros!$C$6),DATA_KPI_PRE!A:F,6,FALSE),0)</f>
        <v>0</v>
      </c>
      <c r="AQ65" s="102">
        <f t="shared" si="212"/>
        <v>0</v>
      </c>
      <c r="AS65" s="121">
        <f t="shared" si="219"/>
        <v>0</v>
      </c>
      <c r="AT65" s="121">
        <f t="shared" si="220"/>
        <v>0</v>
      </c>
      <c r="AU65" s="122">
        <f t="shared" si="215"/>
        <v>0</v>
      </c>
      <c r="AV65" s="121">
        <f t="shared" si="216"/>
        <v>0</v>
      </c>
      <c r="AW65" s="102">
        <f t="shared" si="217"/>
        <v>0</v>
      </c>
      <c r="AX65" s="132"/>
    </row>
    <row r="66" spans="1:50" ht="14.4" hidden="1" outlineLevel="1" x14ac:dyDescent="0.3">
      <c r="A66" s="100" t="s">
        <v>46</v>
      </c>
      <c r="B66" s="100" t="str">
        <f>IF(IFERROR(VLOOKUP(A66,DATA_KPI!$D:$H,5,FALSE),"")="",VLOOKUP(A66,DATA_KPI_PRE!$D:$H,5,FALSE),VLOOKUP(A66,DATA_KPI!$D:$H,5,FALSE))</f>
        <v>V01</v>
      </c>
      <c r="C66" s="101">
        <f>IFERROR(VLOOKUP(_xlfn.CONCAT($C$3,"_",B66,"_",$C$2,"_",Parámetros!$C$6),DATA_KPI!$A:$H,6,FALSE),0)</f>
        <v>2157038.6600000015</v>
      </c>
      <c r="D66" s="101">
        <f>IFERROR(VLOOKUP(_xlfn.CONCAT($D$3,"_",B66,"_",$C$2,"_",Parámetros!$C$6),DATA_KPI!A:H,6,FALSE),0)</f>
        <v>2803330.9100000011</v>
      </c>
      <c r="E66" s="102">
        <f t="shared" si="200"/>
        <v>0.29962015145338139</v>
      </c>
      <c r="F66" s="101">
        <f>IFERROR(VLOOKUP(_xlfn.CONCAT($D$3,"_",B66,"_",$C$2,"_",Parámetros!$C$6),DATA_KPI_PRE!$A:$F,6,FALSE),0)</f>
        <v>2476386.0523554301</v>
      </c>
      <c r="G66" s="102">
        <f t="shared" si="201"/>
        <v>0.13202499559129532</v>
      </c>
      <c r="H66" s="113"/>
      <c r="I66" s="121">
        <f>IFERROR(VLOOKUP(_xlfn.CONCAT($I$3,"_",B66,"_",$I$2,"_",Parámetros!$C$6),DATA_KPI!$A:$H,6,FALSE),0)</f>
        <v>1232194.870000001</v>
      </c>
      <c r="J66" s="121">
        <f>IFERROR(VLOOKUP(_xlfn.CONCAT($J$3,"_",B66,"_",$I$2,"_",Parámetros!$C$6),DATA_KPI!$A:$H,6,FALSE),0)</f>
        <v>1321558.1000000006</v>
      </c>
      <c r="K66" s="122">
        <f t="shared" si="202"/>
        <v>7.2523617956629982E-2</v>
      </c>
      <c r="L66" s="121">
        <f>IFERROR(VLOOKUP(_xlfn.CONCAT($V$3,"_",B66,"_",$U$2,"_",Parámetros!$C$6),DATA_KPI_PRE!A:F,6,FALSE),0)</f>
        <v>1247781.9418952703</v>
      </c>
      <c r="M66" s="102">
        <f t="shared" si="218"/>
        <v>5.9125842126446226E-2</v>
      </c>
      <c r="O66" s="121">
        <f>IFERROR(VLOOKUP(_xlfn.CONCAT($O$3,"_",B66,"_",$O$2,"_",Parámetros!$C$6),DATA_KPI!$A:$H,6,FALSE),0)</f>
        <v>907162.37000000034</v>
      </c>
      <c r="P66" s="121">
        <f>IFERROR(VLOOKUP(_xlfn.CONCAT($P$3,"_",B66,"_",$O$2,"_",Parámetros!$C$6),DATA_KPI!$A:$H,6,FALSE),0)</f>
        <v>1471011.7400000007</v>
      </c>
      <c r="Q66" s="122">
        <f t="shared" si="203"/>
        <v>0.6215528648967219</v>
      </c>
      <c r="R66" s="121">
        <f>IFERROR(VLOOKUP(_xlfn.CONCAT($P$3,"_",B66,"_",$O$2,"_",Parámetros!$C$6),DATA_KPI_PRE!A:F,6,FALSE),0)</f>
        <v>1228604.1104601596</v>
      </c>
      <c r="S66" s="102">
        <f t="shared" si="204"/>
        <v>0.19730328710120459</v>
      </c>
      <c r="U66" s="121">
        <f>IFERROR(VLOOKUP(_xlfn.CONCAT($U$3,"_",B66,"_",$U$2,"_",Parámetros!$C$6),DATA_KPI!$A:$H,6,FALSE),0)</f>
        <v>7070.8</v>
      </c>
      <c r="V66" s="121">
        <f>IFERROR(VLOOKUP(_xlfn.CONCAT($V$3,"_",B66,"_",$U$2,"_",Parámetros!$C$6),DATA_KPI!$A:$H,6,FALSE),0)</f>
        <v>10761.07</v>
      </c>
      <c r="W66" s="122">
        <f t="shared" si="205"/>
        <v>0.52190275499236294</v>
      </c>
      <c r="X66" s="121">
        <f>IFERROR(VLOOKUP(_xlfn.CONCAT($J$3,"_",B66,"_",$I$2,"_",Parámetros!$C$6),DATA_KPI_PRE!A:F,6,FALSE),0)</f>
        <v>0</v>
      </c>
      <c r="Y66" s="102">
        <f t="shared" si="206"/>
        <v>-0.99137584089119379</v>
      </c>
      <c r="Z66" s="5"/>
      <c r="AA66" s="121">
        <f>IFERROR(VLOOKUP(_xlfn.CONCAT($AA$3,"_",B66,"_",$AA$2,"_",Parámetros!$C$6),DATA_KPI!$A:$H,6,FALSE),0)</f>
        <v>0</v>
      </c>
      <c r="AB66" s="121">
        <f>IFERROR(VLOOKUP(_xlfn.CONCAT($AB$3,"_",B66,"_",$AA$2,"_",Parámetros!$C$6),DATA_KPI!$A:$H,6,FALSE),0)</f>
        <v>0</v>
      </c>
      <c r="AC66" s="122">
        <f t="shared" si="207"/>
        <v>0</v>
      </c>
      <c r="AD66" s="121">
        <f>IFERROR(VLOOKUP(_xlfn.CONCAT($AB$3,"_",B66,"_",$AA$2,"_",Parámetros!$C$6),DATA_KPI_PRE!A:F,6,FALSE),0)</f>
        <v>0</v>
      </c>
      <c r="AE66" s="102">
        <f t="shared" si="208"/>
        <v>0</v>
      </c>
      <c r="AG66" s="121">
        <f>IFERROR(VLOOKUP(_xlfn.CONCAT($AG$3,"_",B66,"_",$AG$2,"_",Parámetros!$C$6),DATA_KPI!$A:$H,6,FALSE),0)</f>
        <v>10610.62</v>
      </c>
      <c r="AH66" s="121">
        <f>IFERROR(VLOOKUP(_xlfn.CONCAT($AH$3,"_",B66,"_",$AG$2,"_",Parámetros!$C$6),DATA_KPI!$A:$H,6,FALSE),0)</f>
        <v>0</v>
      </c>
      <c r="AI66" s="122">
        <f t="shared" si="209"/>
        <v>-1</v>
      </c>
      <c r="AJ66" s="121">
        <f>IFERROR(VLOOKUP(_xlfn.CONCAT($AH$3,"_",B66,"_",$AG$2,"_",Parámetros!$C$6),DATA_KPI_PRE!A:F,6,FALSE),0)</f>
        <v>0</v>
      </c>
      <c r="AK66" s="102">
        <f t="shared" si="210"/>
        <v>0</v>
      </c>
      <c r="AM66" s="121">
        <f>IFERROR(VLOOKUP(_xlfn.CONCAT($AM$3,"_",B66,"_",$AM$2,"_",Parámetros!$C$6),DATA_KPI!$A:$H,6,FALSE),0)</f>
        <v>0</v>
      </c>
      <c r="AN66" s="121">
        <f>IFERROR(VLOOKUP(_xlfn.CONCAT($AN$3,"_",B66,"_",$AM$2,"_",Parámetros!$C$6),DATA_KPI!$A:$H,6,FALSE),0)</f>
        <v>0</v>
      </c>
      <c r="AO66" s="122">
        <f t="shared" si="211"/>
        <v>0</v>
      </c>
      <c r="AP66" s="121">
        <f>IFERROR(VLOOKUP(_xlfn.CONCAT($AN$3,"_",B66,"_",$AM$2,"_",Parámetros!$C$6),DATA_KPI_PRE!A:F,6,FALSE),0)</f>
        <v>0</v>
      </c>
      <c r="AQ66" s="102">
        <f t="shared" si="212"/>
        <v>0</v>
      </c>
      <c r="AS66" s="121">
        <f t="shared" si="219"/>
        <v>10610.62</v>
      </c>
      <c r="AT66" s="121">
        <f t="shared" si="220"/>
        <v>0</v>
      </c>
      <c r="AU66" s="122">
        <f t="shared" si="215"/>
        <v>0</v>
      </c>
      <c r="AV66" s="121">
        <f t="shared" si="216"/>
        <v>0</v>
      </c>
      <c r="AW66" s="102">
        <f t="shared" si="217"/>
        <v>0</v>
      </c>
      <c r="AX66" s="132"/>
    </row>
    <row r="67" spans="1:50" ht="14.4" hidden="1" outlineLevel="1" x14ac:dyDescent="0.3">
      <c r="A67" s="100" t="s">
        <v>45</v>
      </c>
      <c r="B67" s="100" t="str">
        <f>IF(IFERROR(VLOOKUP(A67,DATA_KPI!$D:$H,5,FALSE),"")="",VLOOKUP(A67,DATA_KPI_PRE!$D:$H,5,FALSE),VLOOKUP(A67,DATA_KPI!$D:$H,5,FALSE))</f>
        <v>V07</v>
      </c>
      <c r="C67" s="101">
        <f>IFERROR(VLOOKUP(_xlfn.CONCAT($C$3,"_",B67,"_",$C$2,"_",Parámetros!$C$6),DATA_KPI!$A:$H,6,FALSE),0)</f>
        <v>3335247.6800000034</v>
      </c>
      <c r="D67" s="101">
        <f>IFERROR(VLOOKUP(_xlfn.CONCAT($D$3,"_",B67,"_",$C$2,"_",Parámetros!$C$6),DATA_KPI!A:H,6,FALSE),0)</f>
        <v>2624189.2400000007</v>
      </c>
      <c r="E67" s="102">
        <f t="shared" si="200"/>
        <v>-0.21319509320519248</v>
      </c>
      <c r="F67" s="101">
        <f>IFERROR(VLOOKUP(_xlfn.CONCAT($D$3,"_",B67,"_",$C$2,"_",Parámetros!$C$6),DATA_KPI_PRE!$A:$F,6,FALSE),0)</f>
        <v>6322670.4840397974</v>
      </c>
      <c r="G67" s="102">
        <f t="shared" si="201"/>
        <v>-0.58495555847419312</v>
      </c>
      <c r="H67" s="113"/>
      <c r="I67" s="121">
        <f>IFERROR(VLOOKUP(_xlfn.CONCAT($I$3,"_",B67,"_",$I$2,"_",Parámetros!$C$6),DATA_KPI!$A:$H,6,FALSE),0)</f>
        <v>1844726.2800000031</v>
      </c>
      <c r="J67" s="121">
        <f>IFERROR(VLOOKUP(_xlfn.CONCAT($J$3,"_",B67,"_",$I$2,"_",Parámetros!$C$6),DATA_KPI!$A:$H,6,FALSE),0)</f>
        <v>1442761.9099999997</v>
      </c>
      <c r="K67" s="122">
        <f t="shared" si="202"/>
        <v>-0.21789919423709991</v>
      </c>
      <c r="L67" s="121">
        <f>IFERROR(VLOOKUP(_xlfn.CONCAT($V$3,"_",B67,"_",$U$2,"_",Parámetros!$C$6),DATA_KPI_PRE!A:F,6,FALSE),0)</f>
        <v>4907961.9479999999</v>
      </c>
      <c r="M67" s="102">
        <f t="shared" si="218"/>
        <v>-0.7060364515279246</v>
      </c>
      <c r="O67" s="121">
        <f>IFERROR(VLOOKUP(_xlfn.CONCAT($O$3,"_",B67,"_",$O$2,"_",Parámetros!$C$6),DATA_KPI!$A:$H,6,FALSE),0)</f>
        <v>1453742.6000000006</v>
      </c>
      <c r="P67" s="121">
        <f>IFERROR(VLOOKUP(_xlfn.CONCAT($P$3,"_",B67,"_",$O$2,"_",Parámetros!$C$6),DATA_KPI!$A:$H,6,FALSE),0)</f>
        <v>1172595.4600000009</v>
      </c>
      <c r="Q67" s="122">
        <f t="shared" si="203"/>
        <v>-0.19339540576165237</v>
      </c>
      <c r="R67" s="121">
        <f>IFERROR(VLOOKUP(_xlfn.CONCAT($P$3,"_",B67,"_",$O$2,"_",Parámetros!$C$6),DATA_KPI_PRE!A:F,6,FALSE),0)</f>
        <v>1414708.5360397974</v>
      </c>
      <c r="S67" s="102">
        <f t="shared" si="204"/>
        <v>-0.17113989904771842</v>
      </c>
      <c r="U67" s="121">
        <f>IFERROR(VLOOKUP(_xlfn.CONCAT($U$3,"_",B67,"_",$U$2,"_",Parámetros!$C$6),DATA_KPI!$A:$H,6,FALSE),0)</f>
        <v>36778.800000000003</v>
      </c>
      <c r="V67" s="121">
        <f>IFERROR(VLOOKUP(_xlfn.CONCAT($V$3,"_",B67,"_",$U$2,"_",Parámetros!$C$6),DATA_KPI!$A:$H,6,FALSE),0)</f>
        <v>8831.869999999999</v>
      </c>
      <c r="W67" s="122">
        <f t="shared" si="205"/>
        <v>-0.75986519407919784</v>
      </c>
      <c r="X67" s="121">
        <f>IFERROR(VLOOKUP(_xlfn.CONCAT($J$3,"_",B67,"_",$I$2,"_",Parámetros!$C$6),DATA_KPI_PRE!A:F,6,FALSE),0)</f>
        <v>0</v>
      </c>
      <c r="Y67" s="102">
        <f t="shared" si="206"/>
        <v>-0.99820050153330975</v>
      </c>
      <c r="Z67" s="4"/>
      <c r="AA67" s="121">
        <f>IFERROR(VLOOKUP(_xlfn.CONCAT($AA$3,"_",B67,"_",$AA$2,"_",Parámetros!$C$6),DATA_KPI!$A:$H,6,FALSE),0)</f>
        <v>0</v>
      </c>
      <c r="AB67" s="121">
        <f>IFERROR(VLOOKUP(_xlfn.CONCAT($AB$3,"_",B67,"_",$AA$2,"_",Parámetros!$C$6),DATA_KPI!$A:$H,6,FALSE),0)</f>
        <v>0</v>
      </c>
      <c r="AC67" s="122">
        <f t="shared" si="207"/>
        <v>0</v>
      </c>
      <c r="AD67" s="121">
        <f>IFERROR(VLOOKUP(_xlfn.CONCAT($AB$3,"_",B67,"_",$AA$2,"_",Parámetros!$C$6),DATA_KPI_PRE!A:F,6,FALSE),0)</f>
        <v>0</v>
      </c>
      <c r="AE67" s="102">
        <f t="shared" si="208"/>
        <v>0</v>
      </c>
      <c r="AG67" s="121">
        <f>IFERROR(VLOOKUP(_xlfn.CONCAT($AG$3,"_",B67,"_",$AG$2,"_",Parámetros!$C$6),DATA_KPI!$A:$H,6,FALSE),0)</f>
        <v>0</v>
      </c>
      <c r="AH67" s="121">
        <f>IFERROR(VLOOKUP(_xlfn.CONCAT($AH$3,"_",B67,"_",$AG$2,"_",Parámetros!$C$6),DATA_KPI!$A:$H,6,FALSE),0)</f>
        <v>0</v>
      </c>
      <c r="AI67" s="122">
        <f t="shared" si="209"/>
        <v>0</v>
      </c>
      <c r="AJ67" s="121">
        <f>IFERROR(VLOOKUP(_xlfn.CONCAT($AH$3,"_",B67,"_",$AG$2,"_",Parámetros!$C$6),DATA_KPI_PRE!A:F,6,FALSE),0)</f>
        <v>0</v>
      </c>
      <c r="AK67" s="102">
        <f t="shared" si="210"/>
        <v>0</v>
      </c>
      <c r="AM67" s="121">
        <f>IFERROR(VLOOKUP(_xlfn.CONCAT($AM$3,"_",B67,"_",$AM$2,"_",Parámetros!$C$6),DATA_KPI!$A:$H,6,FALSE),0)</f>
        <v>0</v>
      </c>
      <c r="AN67" s="121">
        <f>IFERROR(VLOOKUP(_xlfn.CONCAT($AN$3,"_",B67,"_",$AM$2,"_",Parámetros!$C$6),DATA_KPI!$A:$H,6,FALSE),0)</f>
        <v>0</v>
      </c>
      <c r="AO67" s="122">
        <f t="shared" si="211"/>
        <v>0</v>
      </c>
      <c r="AP67" s="121">
        <f>IFERROR(VLOOKUP(_xlfn.CONCAT($AN$3,"_",B67,"_",$AM$2,"_",Parámetros!$C$6),DATA_KPI_PRE!A:F,6,FALSE),0)</f>
        <v>0</v>
      </c>
      <c r="AQ67" s="102">
        <f t="shared" si="212"/>
        <v>0</v>
      </c>
      <c r="AS67" s="121">
        <f t="shared" si="219"/>
        <v>0</v>
      </c>
      <c r="AT67" s="121">
        <f t="shared" si="220"/>
        <v>0</v>
      </c>
      <c r="AU67" s="122">
        <f t="shared" si="215"/>
        <v>0</v>
      </c>
      <c r="AV67" s="121">
        <f t="shared" si="216"/>
        <v>0</v>
      </c>
      <c r="AW67" s="102">
        <f t="shared" si="217"/>
        <v>0</v>
      </c>
      <c r="AX67" s="132"/>
    </row>
    <row r="68" spans="1:50" ht="14.4" hidden="1" outlineLevel="1" x14ac:dyDescent="0.3">
      <c r="A68" s="100" t="s">
        <v>47</v>
      </c>
      <c r="B68" s="100" t="str">
        <f>IF(IFERROR(VLOOKUP(A68,DATA_KPI!$D:$H,5,FALSE),"")="",VLOOKUP(A68,DATA_KPI_PRE!$D:$H,5,FALSE),VLOOKUP(A68,DATA_KPI!$D:$H,5,FALSE))</f>
        <v>V12</v>
      </c>
      <c r="C68" s="101">
        <f>IFERROR(VLOOKUP(_xlfn.CONCAT($C$3,"_",B68,"_",$C$2,"_",Parámetros!$C$6),DATA_KPI!$A:$H,6,FALSE),0)</f>
        <v>3454362.4200000037</v>
      </c>
      <c r="D68" s="101">
        <f>IFERROR(VLOOKUP(_xlfn.CONCAT($D$3,"_",B68,"_",$C$2,"_",Parámetros!$C$6),DATA_KPI!A:H,6,FALSE),0)</f>
        <v>3369350.0900000026</v>
      </c>
      <c r="E68" s="102">
        <f t="shared" si="200"/>
        <v>-2.4610136304111685E-2</v>
      </c>
      <c r="F68" s="101">
        <f>IFERROR(VLOOKUP(_xlfn.CONCAT($D$3,"_",B68,"_",$C$2,"_",Parámetros!$C$6),DATA_KPI_PRE!$A:$F,6,FALSE),0)</f>
        <v>3725843.3794962317</v>
      </c>
      <c r="G68" s="102">
        <f t="shared" si="201"/>
        <v>-9.5681233263334331E-2</v>
      </c>
      <c r="H68" s="113"/>
      <c r="I68" s="121">
        <f>IFERROR(VLOOKUP(_xlfn.CONCAT($I$3,"_",B68,"_",$I$2,"_",Parámetros!$C$6),DATA_KPI!$A:$H,6,FALSE),0)</f>
        <v>1471301.2600000019</v>
      </c>
      <c r="J68" s="121">
        <f>IFERROR(VLOOKUP(_xlfn.CONCAT($J$3,"_",B68,"_",$I$2,"_",Parámetros!$C$6),DATA_KPI!$A:$H,6,FALSE),0)</f>
        <v>1396416.6600000008</v>
      </c>
      <c r="K68" s="122">
        <f t="shared" si="202"/>
        <v>-5.089685031602631E-2</v>
      </c>
      <c r="L68" s="121">
        <f>IFERROR(VLOOKUP(_xlfn.CONCAT($V$3,"_",B68,"_",$U$2,"_",Parámetros!$C$6),DATA_KPI_PRE!A:F,6,FALSE),0)</f>
        <v>1504726.0045400935</v>
      </c>
      <c r="M68" s="102">
        <f t="shared" si="218"/>
        <v>-7.1979446233599531E-2</v>
      </c>
      <c r="O68" s="121">
        <f>IFERROR(VLOOKUP(_xlfn.CONCAT($O$3,"_",B68,"_",$O$2,"_",Parámetros!$C$6),DATA_KPI!$A:$H,6,FALSE),0)</f>
        <v>1964813.3700000017</v>
      </c>
      <c r="P68" s="121">
        <f>IFERROR(VLOOKUP(_xlfn.CONCAT($P$3,"_",B68,"_",$O$2,"_",Parámetros!$C$6),DATA_KPI!$A:$H,6,FALSE),0)</f>
        <v>1941260.860000002</v>
      </c>
      <c r="Q68" s="122">
        <f t="shared" si="203"/>
        <v>-1.1987148682726878E-2</v>
      </c>
      <c r="R68" s="121">
        <f>IFERROR(VLOOKUP(_xlfn.CONCAT($P$3,"_",B68,"_",$O$2,"_",Parámetros!$C$6),DATA_KPI_PRE!A:F,6,FALSE),0)</f>
        <v>2221117.374956138</v>
      </c>
      <c r="S68" s="102">
        <f t="shared" si="204"/>
        <v>-0.1259980756134792</v>
      </c>
      <c r="U68" s="121">
        <f>IFERROR(VLOOKUP(_xlfn.CONCAT($U$3,"_",B68,"_",$U$2,"_",Parámetros!$C$6),DATA_KPI!$A:$H,6,FALSE),0)</f>
        <v>18247.79</v>
      </c>
      <c r="V68" s="121">
        <f>IFERROR(VLOOKUP(_xlfn.CONCAT($V$3,"_",B68,"_",$U$2,"_",Parámetros!$C$6),DATA_KPI!$A:$H,6,FALSE),0)</f>
        <v>31672.57</v>
      </c>
      <c r="W68" s="122">
        <f t="shared" si="205"/>
        <v>0.73569347301782839</v>
      </c>
      <c r="X68" s="121">
        <f>IFERROR(VLOOKUP(_xlfn.CONCAT($J$3,"_",B68,"_",$I$2,"_",Parámetros!$C$6),DATA_KPI_PRE!A:F,6,FALSE),0)</f>
        <v>0</v>
      </c>
      <c r="Y68" s="102">
        <f t="shared" si="206"/>
        <v>-0.97895127092611089</v>
      </c>
      <c r="Z68" s="4"/>
      <c r="AA68" s="121">
        <f>IFERROR(VLOOKUP(_xlfn.CONCAT($AA$3,"_",B68,"_",$AA$2,"_",Parámetros!$C$6),DATA_KPI!$A:$H,6,FALSE),0)</f>
        <v>0</v>
      </c>
      <c r="AB68" s="121">
        <f>IFERROR(VLOOKUP(_xlfn.CONCAT($AB$3,"_",B68,"_",$AA$2,"_",Parámetros!$C$6),DATA_KPI!$A:$H,6,FALSE),0)</f>
        <v>0</v>
      </c>
      <c r="AC68" s="122">
        <f t="shared" si="207"/>
        <v>0</v>
      </c>
      <c r="AD68" s="121">
        <f>IFERROR(VLOOKUP(_xlfn.CONCAT($AB$3,"_",B68,"_",$AA$2,"_",Parámetros!$C$6),DATA_KPI_PRE!A:F,6,FALSE),0)</f>
        <v>0</v>
      </c>
      <c r="AE68" s="102">
        <f t="shared" si="208"/>
        <v>0</v>
      </c>
      <c r="AG68" s="121">
        <f>IFERROR(VLOOKUP(_xlfn.CONCAT($AG$3,"_",B68,"_",$AG$2,"_",Parámetros!$C$6),DATA_KPI!$A:$H,6,FALSE),0)</f>
        <v>0</v>
      </c>
      <c r="AH68" s="121">
        <f>IFERROR(VLOOKUP(_xlfn.CONCAT($AH$3,"_",B68,"_",$AG$2,"_",Parámetros!$C$6),DATA_KPI!$A:$H,6,FALSE),0)</f>
        <v>0</v>
      </c>
      <c r="AI68" s="122">
        <f t="shared" si="209"/>
        <v>0</v>
      </c>
      <c r="AJ68" s="121">
        <f>IFERROR(VLOOKUP(_xlfn.CONCAT($AH$3,"_",B68,"_",$AG$2,"_",Parámetros!$C$6),DATA_KPI_PRE!A:F,6,FALSE),0)</f>
        <v>0</v>
      </c>
      <c r="AK68" s="102">
        <f t="shared" si="210"/>
        <v>0</v>
      </c>
      <c r="AM68" s="121">
        <f>IFERROR(VLOOKUP(_xlfn.CONCAT($AM$3,"_",B68,"_",$AM$2,"_",Parámetros!$C$6),DATA_KPI!$A:$H,6,FALSE),0)</f>
        <v>0</v>
      </c>
      <c r="AN68" s="121">
        <f>IFERROR(VLOOKUP(_xlfn.CONCAT($AN$3,"_",B68,"_",$AM$2,"_",Parámetros!$C$6),DATA_KPI!$A:$H,6,FALSE),0)</f>
        <v>0</v>
      </c>
      <c r="AO68" s="122">
        <f t="shared" si="211"/>
        <v>0</v>
      </c>
      <c r="AP68" s="121">
        <f>IFERROR(VLOOKUP(_xlfn.CONCAT($AN$3,"_",B68,"_",$AM$2,"_",Parámetros!$C$6),DATA_KPI_PRE!A:F,6,FALSE),0)</f>
        <v>0</v>
      </c>
      <c r="AQ68" s="102">
        <f t="shared" si="212"/>
        <v>0</v>
      </c>
      <c r="AS68" s="121">
        <f t="shared" si="219"/>
        <v>0</v>
      </c>
      <c r="AT68" s="121">
        <f t="shared" si="220"/>
        <v>0</v>
      </c>
      <c r="AU68" s="122">
        <f t="shared" si="215"/>
        <v>0</v>
      </c>
      <c r="AV68" s="121">
        <f t="shared" si="216"/>
        <v>0</v>
      </c>
      <c r="AW68" s="102">
        <f t="shared" si="217"/>
        <v>0</v>
      </c>
      <c r="AX68" s="132"/>
    </row>
    <row r="69" spans="1:50" ht="14.4" hidden="1" outlineLevel="1" x14ac:dyDescent="0.3">
      <c r="A69" s="100" t="s">
        <v>39</v>
      </c>
      <c r="B69" s="100" t="str">
        <f>IF(IFERROR(VLOOKUP(A69,DATA_KPI!$D:$H,5,FALSE),"")="",VLOOKUP(A69,DATA_KPI_PRE!$D:$H,5,FALSE),VLOOKUP(A69,DATA_KPI!$D:$H,5,FALSE))</f>
        <v>V10</v>
      </c>
      <c r="C69" s="101">
        <f>IFERROR(VLOOKUP(_xlfn.CONCAT($C$3,"_",B69,"_",$C$2,"_",Parámetros!$C$6),DATA_KPI!$A:$H,6,FALSE),0)</f>
        <v>2693589.950000002</v>
      </c>
      <c r="D69" s="101">
        <f>IFERROR(VLOOKUP(_xlfn.CONCAT($D$3,"_",B69,"_",$C$2,"_",Parámetros!$C$6),DATA_KPI!A:H,6,FALSE),0)</f>
        <v>2581543.5100000016</v>
      </c>
      <c r="E69" s="102">
        <f t="shared" si="200"/>
        <v>-4.1597437650077507E-2</v>
      </c>
      <c r="F69" s="101">
        <f>IFERROR(VLOOKUP(_xlfn.CONCAT($D$3,"_",B69,"_",$C$2,"_",Parámetros!$C$6),DATA_KPI_PRE!$A:$F,6,FALSE),0)</f>
        <v>2843663.9454835732</v>
      </c>
      <c r="G69" s="102">
        <f t="shared" si="201"/>
        <v>-9.217700843304022E-2</v>
      </c>
      <c r="H69" s="113"/>
      <c r="I69" s="121">
        <f>IFERROR(VLOOKUP(_xlfn.CONCAT($I$3,"_",B69,"_",$I$2,"_",Parámetros!$C$6),DATA_KPI!$A:$H,6,FALSE),0)</f>
        <v>1641115.5500000019</v>
      </c>
      <c r="J69" s="121">
        <f>IFERROR(VLOOKUP(_xlfn.CONCAT($J$3,"_",B69,"_",$I$2,"_",Parámetros!$C$6),DATA_KPI!$A:$H,6,FALSE),0)</f>
        <v>1587124.7900000014</v>
      </c>
      <c r="K69" s="122">
        <f t="shared" si="202"/>
        <v>-3.289881690536689E-2</v>
      </c>
      <c r="L69" s="121">
        <f>IFERROR(VLOOKUP(_xlfn.CONCAT($V$3,"_",B69,"_",$U$2,"_",Parámetros!$C$6),DATA_KPI_PRE!A:F,6,FALSE),0)</f>
        <v>1759705.3857257385</v>
      </c>
      <c r="M69" s="102">
        <f t="shared" si="218"/>
        <v>-9.8073573636623945E-2</v>
      </c>
      <c r="O69" s="121">
        <f>IFERROR(VLOOKUP(_xlfn.CONCAT($O$3,"_",B69,"_",$O$2,"_",Parámetros!$C$6),DATA_KPI!$A:$H,6,FALSE),0)</f>
        <v>1052474.3999999999</v>
      </c>
      <c r="P69" s="121">
        <f>IFERROR(VLOOKUP(_xlfn.CONCAT($P$3,"_",B69,"_",$O$2,"_",Parámetros!$C$6),DATA_KPI!$A:$H,6,FALSE),0)</f>
        <v>994418.72000000032</v>
      </c>
      <c r="Q69" s="122">
        <f t="shared" si="203"/>
        <v>-5.5161132660328405E-2</v>
      </c>
      <c r="R69" s="121">
        <f>IFERROR(VLOOKUP(_xlfn.CONCAT($P$3,"_",B69,"_",$O$2,"_",Parámetros!$C$6),DATA_KPI_PRE!A:F,6,FALSE),0)</f>
        <v>1083958.5597578348</v>
      </c>
      <c r="S69" s="102">
        <f t="shared" si="204"/>
        <v>-8.2604486077252237E-2</v>
      </c>
      <c r="U69" s="121">
        <f>IFERROR(VLOOKUP(_xlfn.CONCAT($U$3,"_",B69,"_",$U$2,"_",Parámetros!$C$6),DATA_KPI!$A:$H,6,FALSE),0)</f>
        <v>0</v>
      </c>
      <c r="V69" s="121">
        <f>IFERROR(VLOOKUP(_xlfn.CONCAT($V$3,"_",B69,"_",$U$2,"_",Parámetros!$C$6),DATA_KPI!$A:$H,6,FALSE),0)</f>
        <v>0</v>
      </c>
      <c r="W69" s="122">
        <f t="shared" si="205"/>
        <v>0</v>
      </c>
      <c r="X69" s="121">
        <f>IFERROR(VLOOKUP(_xlfn.CONCAT($J$3,"_",B69,"_",$I$2,"_",Parámetros!$C$6),DATA_KPI_PRE!A:F,6,FALSE),0)</f>
        <v>0</v>
      </c>
      <c r="Y69" s="102">
        <f t="shared" si="206"/>
        <v>-1</v>
      </c>
      <c r="Z69" s="4"/>
      <c r="AA69" s="121">
        <f>IFERROR(VLOOKUP(_xlfn.CONCAT($AA$3,"_",B69,"_",$AA$2,"_",Parámetros!$C$6),DATA_KPI!$A:$H,6,FALSE),0)</f>
        <v>0</v>
      </c>
      <c r="AB69" s="121">
        <f>IFERROR(VLOOKUP(_xlfn.CONCAT($AB$3,"_",B69,"_",$AA$2,"_",Parámetros!$C$6),DATA_KPI!$A:$H,6,FALSE),0)</f>
        <v>0</v>
      </c>
      <c r="AC69" s="122">
        <f t="shared" si="207"/>
        <v>0</v>
      </c>
      <c r="AD69" s="121">
        <f>IFERROR(VLOOKUP(_xlfn.CONCAT($AB$3,"_",B69,"_",$AA$2,"_",Parámetros!$C$6),DATA_KPI_PRE!A:F,6,FALSE),0)</f>
        <v>0</v>
      </c>
      <c r="AE69" s="102">
        <f t="shared" si="208"/>
        <v>0</v>
      </c>
      <c r="AG69" s="121">
        <f>IFERROR(VLOOKUP(_xlfn.CONCAT($AG$3,"_",B69,"_",$AG$2,"_",Parámetros!$C$6),DATA_KPI!$A:$H,6,FALSE),0)</f>
        <v>0</v>
      </c>
      <c r="AH69" s="121">
        <f>IFERROR(VLOOKUP(_xlfn.CONCAT($AH$3,"_",B69,"_",$AG$2,"_",Parámetros!$C$6),DATA_KPI!$A:$H,6,FALSE),0)</f>
        <v>0</v>
      </c>
      <c r="AI69" s="122">
        <f t="shared" si="209"/>
        <v>0</v>
      </c>
      <c r="AJ69" s="121">
        <f>IFERROR(VLOOKUP(_xlfn.CONCAT($AH$3,"_",B69,"_",$AG$2,"_",Parámetros!$C$6),DATA_KPI_PRE!A:F,6,FALSE),0)</f>
        <v>0</v>
      </c>
      <c r="AK69" s="102">
        <f t="shared" si="210"/>
        <v>0</v>
      </c>
      <c r="AM69" s="121">
        <f>IFERROR(VLOOKUP(_xlfn.CONCAT($AM$3,"_",B69,"_",$AM$2,"_",Parámetros!$C$6),DATA_KPI!$A:$H,6,FALSE),0)</f>
        <v>0</v>
      </c>
      <c r="AN69" s="121">
        <f>IFERROR(VLOOKUP(_xlfn.CONCAT($AN$3,"_",B69,"_",$AM$2,"_",Parámetros!$C$6),DATA_KPI!$A:$H,6,FALSE),0)</f>
        <v>0</v>
      </c>
      <c r="AO69" s="122">
        <f t="shared" si="211"/>
        <v>0</v>
      </c>
      <c r="AP69" s="121">
        <f>IFERROR(VLOOKUP(_xlfn.CONCAT($AN$3,"_",B69,"_",$AM$2,"_",Parámetros!$C$6),DATA_KPI_PRE!A:F,6,FALSE),0)</f>
        <v>0</v>
      </c>
      <c r="AQ69" s="102">
        <f t="shared" si="212"/>
        <v>0</v>
      </c>
      <c r="AS69" s="121">
        <f t="shared" si="219"/>
        <v>0</v>
      </c>
      <c r="AT69" s="121">
        <f t="shared" si="220"/>
        <v>0</v>
      </c>
      <c r="AU69" s="122">
        <f t="shared" si="215"/>
        <v>0</v>
      </c>
      <c r="AV69" s="121">
        <f t="shared" si="216"/>
        <v>0</v>
      </c>
      <c r="AW69" s="102">
        <f t="shared" si="217"/>
        <v>0</v>
      </c>
      <c r="AX69" s="132"/>
    </row>
    <row r="70" spans="1:50" ht="14.4" hidden="1" outlineLevel="1" x14ac:dyDescent="0.3">
      <c r="A70" s="100" t="s">
        <v>24</v>
      </c>
      <c r="B70" s="100" t="str">
        <f>IF(IFERROR(VLOOKUP(A70,DATA_KPI!$D:$H,5,FALSE),"")="",VLOOKUP(A70,DATA_KPI_PRE!$D:$H,5,FALSE),VLOOKUP(A70,DATA_KPI!$D:$H,5,FALSE))</f>
        <v>S89</v>
      </c>
      <c r="C70" s="101">
        <f>IFERROR(VLOOKUP(_xlfn.CONCAT($C$3,"_",B70,"_",$C$2,"_",Parámetros!$C$6),DATA_KPI!$A:$H,6,FALSE),0)</f>
        <v>3450973.2700000005</v>
      </c>
      <c r="D70" s="101">
        <f>IFERROR(VLOOKUP(_xlfn.CONCAT($D$3,"_",B70,"_",$C$2,"_",Parámetros!$C$6),DATA_KPI!A:H,6,FALSE),0)</f>
        <v>2357612.8500000006</v>
      </c>
      <c r="E70" s="102">
        <f>IFERROR(+(D70/C70)-1,0)</f>
        <v>-0.31682668466452646</v>
      </c>
      <c r="F70" s="101">
        <f>IFERROR(VLOOKUP(_xlfn.CONCAT($D$3,"_",B70,"_",$C$2,"_",Parámetros!$C$6),DATA_KPI_PRE!$A:$F,6,FALSE),0)</f>
        <v>5087893.1876567416</v>
      </c>
      <c r="G70" s="102">
        <f t="shared" si="201"/>
        <v>-0.53662296690512634</v>
      </c>
      <c r="H70" s="113"/>
      <c r="I70" s="121">
        <f>IFERROR(VLOOKUP(_xlfn.CONCAT($I$3,"_",B70,"_",$I$2,"_",Parámetros!$C$6),DATA_KPI!$A:$H,6,FALSE),0)</f>
        <v>1265770.3400000001</v>
      </c>
      <c r="J70" s="121">
        <f>IFERROR(VLOOKUP(_xlfn.CONCAT($J$3,"_",B70,"_",$I$2,"_",Parámetros!$C$6),DATA_KPI!$A:$H,6,FALSE),0)</f>
        <v>1011257.2699999998</v>
      </c>
      <c r="K70" s="122">
        <f>IFERROR(+(J70/I70)-1,0)</f>
        <v>-0.20107365606307404</v>
      </c>
      <c r="L70" s="121">
        <f>IFERROR(VLOOKUP(_xlfn.CONCAT($V$3,"_",B70,"_",$U$2,"_",Parámetros!$C$6),DATA_KPI_PRE!A:F,6,FALSE),0)</f>
        <v>2826103.5405786876</v>
      </c>
      <c r="M70" s="102">
        <f t="shared" si="218"/>
        <v>-0.64217260426596767</v>
      </c>
      <c r="O70" s="121">
        <f>IFERROR(VLOOKUP(_xlfn.CONCAT($O$3,"_",B70,"_",$O$2,"_",Parámetros!$C$6),DATA_KPI!$A:$H,6,FALSE),0)</f>
        <v>2181494.9700000007</v>
      </c>
      <c r="P70" s="121">
        <f>IFERROR(VLOOKUP(_xlfn.CONCAT($P$3,"_",B70,"_",$O$2,"_",Parámetros!$C$6),DATA_KPI!$A:$H,6,FALSE),0)</f>
        <v>1338329.0200000007</v>
      </c>
      <c r="Q70" s="122">
        <f>IFERROR(+(P70/O70)-1,0)</f>
        <v>-0.38650831727565238</v>
      </c>
      <c r="R70" s="121">
        <f>IFERROR(VLOOKUP(_xlfn.CONCAT($P$3,"_",B70,"_",$O$2,"_",Parámetros!$C$6),DATA_KPI_PRE!A:F,6,FALSE),0)</f>
        <v>2261789.6470780545</v>
      </c>
      <c r="S70" s="102">
        <f>IFERROR(+(P70/R70)-1,0)</f>
        <v>-0.40828758247746333</v>
      </c>
      <c r="U70" s="121">
        <f>IFERROR(VLOOKUP(_xlfn.CONCAT($U$3,"_",B70,"_",$U$2,"_",Parámetros!$C$6),DATA_KPI!$A:$H,6,FALSE),0)</f>
        <v>3707.96</v>
      </c>
      <c r="V70" s="121">
        <f>IFERROR(VLOOKUP(_xlfn.CONCAT($V$3,"_",B70,"_",$U$2,"_",Parámetros!$C$6),DATA_KPI!$A:$H,6,FALSE),0)</f>
        <v>8026.56</v>
      </c>
      <c r="W70" s="122">
        <f>IFERROR(+(V70/U70)-1,0)</f>
        <v>1.164683545669317</v>
      </c>
      <c r="X70" s="121">
        <f>IFERROR(VLOOKUP(_xlfn.CONCAT($J$3,"_",B70,"_",$I$2,"_",Parámetros!$C$6),DATA_KPI_PRE!A:F,6,FALSE),0)</f>
        <v>0</v>
      </c>
      <c r="Y70" s="102">
        <f t="shared" si="206"/>
        <v>-0.99715984928197055</v>
      </c>
      <c r="Z70" s="4"/>
      <c r="AA70" s="121">
        <f>IFERROR(VLOOKUP(_xlfn.CONCAT($AA$3,"_",B70,"_",$AA$2,"_",Parámetros!$C$6),DATA_KPI!$A:$H,6,FALSE),0)</f>
        <v>0</v>
      </c>
      <c r="AB70" s="121">
        <f>IFERROR(VLOOKUP(_xlfn.CONCAT($AB$3,"_",B70,"_",$AA$2,"_",Parámetros!$C$6),DATA_KPI!$A:$H,6,FALSE),0)</f>
        <v>0</v>
      </c>
      <c r="AC70" s="122">
        <f>IFERROR(+(AB70/AA70)-1,0)</f>
        <v>0</v>
      </c>
      <c r="AD70" s="121">
        <f>IFERROR(VLOOKUP(_xlfn.CONCAT($AB$3,"_",B70,"_",$AA$2,"_",Parámetros!$C$6),DATA_KPI_PRE!A:F,6,FALSE),0)</f>
        <v>0</v>
      </c>
      <c r="AE70" s="102">
        <f>IFERROR(+(AB70/AD70)-1,0)</f>
        <v>0</v>
      </c>
      <c r="AF70" s="4"/>
      <c r="AG70" s="121">
        <f>IFERROR(VLOOKUP(_xlfn.CONCAT($AG$3,"_",B70,"_",$AG$2,"_",Parámetros!$C$6),DATA_KPI!$A:$H,6,FALSE),0)</f>
        <v>0</v>
      </c>
      <c r="AH70" s="121">
        <f>IFERROR(VLOOKUP(_xlfn.CONCAT($AH$3,"_",B70,"_",$AG$2,"_",Parámetros!$C$6),DATA_KPI!$A:$H,6,FALSE),0)</f>
        <v>0</v>
      </c>
      <c r="AI70" s="122">
        <f>IFERROR(+(AH70/AG70)-1,0)</f>
        <v>0</v>
      </c>
      <c r="AJ70" s="121">
        <f>IFERROR(VLOOKUP(_xlfn.CONCAT($AH$3,"_",B70,"_",$AG$2,"_",Parámetros!$C$6),DATA_KPI_PRE!A:F,6,FALSE),0)</f>
        <v>0</v>
      </c>
      <c r="AK70" s="102">
        <f>IFERROR(+(AH70/AJ70)-1,0)</f>
        <v>0</v>
      </c>
      <c r="AL70" s="4"/>
      <c r="AM70" s="121">
        <f>IFERROR(VLOOKUP(_xlfn.CONCAT($AM$3,"_",B70,"_",$AM$2,"_",Parámetros!$C$6),DATA_KPI!$A:$H,6,FALSE),0)</f>
        <v>0</v>
      </c>
      <c r="AN70" s="121">
        <f>IFERROR(VLOOKUP(_xlfn.CONCAT($AN$3,"_",B70,"_",$AM$2,"_",Parámetros!$C$6),DATA_KPI!$A:$H,6,FALSE),0)</f>
        <v>0</v>
      </c>
      <c r="AO70" s="122">
        <f t="shared" si="211"/>
        <v>0</v>
      </c>
      <c r="AP70" s="121">
        <f>IFERROR(VLOOKUP(_xlfn.CONCAT($AN$3,"_",B70,"_",$AM$2,"_",Parámetros!$C$6),DATA_KPI_PRE!A:F,6,FALSE),0)</f>
        <v>0</v>
      </c>
      <c r="AQ70" s="102">
        <f>IFERROR(+(AN70/AP70)-1,0)</f>
        <v>0</v>
      </c>
      <c r="AS70" s="121">
        <f t="shared" si="219"/>
        <v>0</v>
      </c>
      <c r="AT70" s="121">
        <f t="shared" si="220"/>
        <v>0</v>
      </c>
      <c r="AU70" s="122">
        <f t="shared" si="215"/>
        <v>0</v>
      </c>
      <c r="AV70" s="121">
        <f t="shared" si="216"/>
        <v>0</v>
      </c>
      <c r="AW70" s="102">
        <f>IFERROR(+(AT70/AV70)-1,0)</f>
        <v>0</v>
      </c>
      <c r="AX70" s="132"/>
    </row>
    <row r="71" spans="1:50" ht="14.4" collapsed="1" x14ac:dyDescent="0.3">
      <c r="A71" s="114" t="s">
        <v>2195</v>
      </c>
      <c r="B71" s="115"/>
      <c r="C71" s="117">
        <f>IFERROR(VLOOKUP(_xlfn.CONCAT($C$3,"_",A59,"_",C2,"_",Parámetros!$C$6),DATA_KPI!$A:$H,6,FALSE),0)</f>
        <v>36766929.060000025</v>
      </c>
      <c r="D71" s="117">
        <f>IFERROR(VLOOKUP(_xlfn.CONCAT(D3,"_",A59,"_",C2,"_",Parámetros!$C$6),DATA_KPI!$A:$H,6,FALSE),0)</f>
        <v>34233704.380000025</v>
      </c>
      <c r="E71" s="116">
        <f t="shared" si="200"/>
        <v>-6.8899544910754562E-2</v>
      </c>
      <c r="F71" s="117">
        <f>IFERROR(VLOOKUP(_xlfn.CONCAT($D$3,"_",A59,"_",$C$2,"_",Parámetros!$C$6),DATA_KPI_PRE!$A:$F,6,FALSE),0)</f>
        <v>44520178.684592679</v>
      </c>
      <c r="G71" s="116">
        <f t="shared" si="201"/>
        <v>-0.2310519546084514</v>
      </c>
      <c r="H71" s="134"/>
      <c r="I71" s="117">
        <f>IFERROR(VLOOKUP(_xlfn.CONCAT($I$3,"_",A59,"_",$I$2,"_",Parámetros!$C$6),DATA_KPI!$A:$H,6,FALSE),0)</f>
        <v>18455350.480000019</v>
      </c>
      <c r="J71" s="117">
        <f>IFERROR(VLOOKUP(_xlfn.CONCAT(J3,"_",A59,"_",$I$2,"_",Parámetros!$C$6),DATA_KPI!$A:$H,6,FALSE),0)</f>
        <v>16366858.780000012</v>
      </c>
      <c r="K71" s="116">
        <f t="shared" si="202"/>
        <v>-0.11316456451278434</v>
      </c>
      <c r="L71" s="117">
        <f>IFERROR(VLOOKUP(_xlfn.CONCAT(V3,"_",A59,"_",U2,"_",Parámetros!$C$6),DATA_KPI_PRE!$A:$F,6,FALSE),0)</f>
        <v>25094758.240723833</v>
      </c>
      <c r="M71" s="116">
        <f t="shared" si="218"/>
        <v>-0.34779771046210617</v>
      </c>
      <c r="O71" s="117">
        <f>IFERROR(VLOOKUP(_xlfn.CONCAT(O3,"_",A59,"_",O2,"_",Parámetros!$C$6),DATA_KPI!$A:$H,6,FALSE),0)</f>
        <v>18213445.780000009</v>
      </c>
      <c r="P71" s="117">
        <f>IFERROR(VLOOKUP(_xlfn.CONCAT(P3,"_",A59,"_",O2,"_",Parámetros!$C$6),DATA_KPI!$A:$H,6,FALSE),0)</f>
        <v>17760889.770000011</v>
      </c>
      <c r="Q71" s="116">
        <f t="shared" si="203"/>
        <v>-2.4847358125772434E-2</v>
      </c>
      <c r="R71" s="117">
        <f>IFERROR(VLOOKUP(_xlfn.CONCAT(P3,"_",A59,"_",O2,"_",Parámetros!$C$6),DATA_KPI_PRE!$A:$F,6,FALSE),0)</f>
        <v>19425420.443868838</v>
      </c>
      <c r="S71" s="116">
        <f t="shared" si="204"/>
        <v>-8.5688270103527975E-2</v>
      </c>
      <c r="U71" s="117">
        <f>IFERROR(VLOOKUP(_xlfn.CONCAT(U3,"_",A59,"_",U2,"_",Parámetros!$C$6),DATA_KPI!$A:$H,6,FALSE),0)</f>
        <v>87522.180000000008</v>
      </c>
      <c r="V71" s="117">
        <f>IFERROR(VLOOKUP(_xlfn.CONCAT(V3,"_",A59,"_",U2,"_",Parámetros!$C$6),DATA_KPI!$A:$H,6,FALSE),0)</f>
        <v>105955.82999999999</v>
      </c>
      <c r="W71" s="116">
        <f>IFERROR(+(V71/U71)-1,0)</f>
        <v>0.21061689733962274</v>
      </c>
      <c r="X71" s="117">
        <f>IFERROR(VLOOKUP(_xlfn.CONCAT(J3,"_",A59,"_",I2,"_",Parámetros!$C$6),DATA_KPI_PRE!$A:$F,6,FALSE),0)</f>
        <v>0</v>
      </c>
      <c r="Y71" s="116">
        <f>IFERROR(+(V71/X71)-1,0)</f>
        <v>0</v>
      </c>
      <c r="Z71" s="7"/>
      <c r="AA71" s="117">
        <f>IFERROR(VLOOKUP(_xlfn.CONCAT(AA3,"_",A59,"_",AA2,"_",Parámetros!$C$6),DATA_KPI!$A:$H,6,FALSE),0)</f>
        <v>0</v>
      </c>
      <c r="AB71" s="117">
        <f>IFERROR(VLOOKUP(_xlfn.CONCAT(AB3,"_",A59,"_",AA2,"_",Parámetros!$C$6),DATA_KPI!$A:$H,6,FALSE),0)</f>
        <v>0</v>
      </c>
      <c r="AC71" s="116">
        <f t="shared" si="207"/>
        <v>0</v>
      </c>
      <c r="AD71" s="117">
        <f>IFERROR(VLOOKUP(_xlfn.CONCAT(AB3,"_",A59,"_",AA2,"_",Parámetros!$C$6),DATA_KPI_PRE!$A:$F,6,FALSE),0)</f>
        <v>0</v>
      </c>
      <c r="AE71" s="116">
        <f t="shared" si="208"/>
        <v>0</v>
      </c>
      <c r="AG71" s="117">
        <f>IFERROR(VLOOKUP(_xlfn.CONCAT(AG3,"_",A59,"_",AG2,"_",Parámetros!$C$6),DATA_KPI!$A:$H,6,FALSE),0)</f>
        <v>10610.62</v>
      </c>
      <c r="AH71" s="117">
        <f>IFERROR(VLOOKUP(_xlfn.CONCAT(AH3,"_",A59,"_",AG2,"_",Parámetros!$C$6),DATA_KPI!$A:$H,6,FALSE),0)</f>
        <v>0</v>
      </c>
      <c r="AI71" s="116">
        <f t="shared" si="209"/>
        <v>-1</v>
      </c>
      <c r="AJ71" s="117">
        <f>IFERROR(VLOOKUP(_xlfn.CONCAT(AH3,"_",A59,"_",AG2,"_",Parámetros!$C$6),DATA_KPI_PRE!$A:$F,6,FALSE),0)</f>
        <v>0</v>
      </c>
      <c r="AK71" s="116">
        <f t="shared" si="210"/>
        <v>0</v>
      </c>
      <c r="AM71" s="117">
        <f>IFERROR(VLOOKUP(_xlfn.CONCAT(AM3,"_",A59,"_",AM2,"_",Parámetros!$C$6),DATA_KPI!$A:$H,6,FALSE),0)</f>
        <v>0</v>
      </c>
      <c r="AN71" s="117">
        <f>IFERROR(VLOOKUP(_xlfn.CONCAT(AN3,"_",A59,"_",AM2,"_",Parámetros!$C$6),DATA_KPI!$A:$H,6,FALSE),0)</f>
        <v>0</v>
      </c>
      <c r="AO71" s="116">
        <f>IFERROR(AN71/AM71,0)</f>
        <v>0</v>
      </c>
      <c r="AP71" s="117">
        <f>IFERROR(VLOOKUP(_xlfn.CONCAT(AN3,"_",A59,"_",AM2,"_",Parámetros!$C$6),DATA_KPI_PRE!$A:$F,6,FALSE),0)</f>
        <v>0</v>
      </c>
      <c r="AQ71" s="116">
        <f t="shared" si="212"/>
        <v>0</v>
      </c>
      <c r="AS71" s="117">
        <f>SUM(AS60:AS70)</f>
        <v>10610.62</v>
      </c>
      <c r="AT71" s="117">
        <f>SUM(AT60:AT70)</f>
        <v>0</v>
      </c>
      <c r="AU71" s="116">
        <f>IFERROR(AT71/AS71,0)</f>
        <v>0</v>
      </c>
      <c r="AV71" s="117">
        <f>SUM(AV60:AV70)</f>
        <v>0</v>
      </c>
      <c r="AW71" s="116">
        <f t="shared" ref="AW71" si="221">IFERROR(+(AT71/AV71)-1,0)</f>
        <v>0</v>
      </c>
      <c r="AX71" s="132"/>
    </row>
    <row r="72" spans="1:50" ht="14.4" hidden="1" x14ac:dyDescent="0.3">
      <c r="A72" s="2"/>
      <c r="B72" s="1"/>
      <c r="C72" s="68">
        <f>SUM(C60:C70)</f>
        <v>36766929.060000025</v>
      </c>
      <c r="D72" s="68">
        <f>SUM(D60:D70)</f>
        <v>34233704.380000018</v>
      </c>
      <c r="E72" s="116">
        <f t="shared" si="200"/>
        <v>-6.8899544910754784E-2</v>
      </c>
      <c r="F72" s="68">
        <f>SUM(F60:F70)</f>
        <v>44520178.684592679</v>
      </c>
      <c r="G72" s="116">
        <f t="shared" si="201"/>
        <v>-0.23105195460845163</v>
      </c>
      <c r="H72" s="134"/>
      <c r="I72" s="68">
        <f>SUM(I60:I70)</f>
        <v>18455350.480000019</v>
      </c>
      <c r="J72" s="68">
        <f>SUM(J60:J70)</f>
        <v>16366858.780000011</v>
      </c>
      <c r="K72" s="22"/>
      <c r="L72" s="73"/>
      <c r="M72" s="34"/>
      <c r="O72" s="68">
        <f>SUM(O60:O70)</f>
        <v>18213445.780000009</v>
      </c>
      <c r="P72" s="68">
        <f>SUM(P60:P70)</f>
        <v>17760889.770000011</v>
      </c>
      <c r="Q72" s="22"/>
      <c r="R72" s="73">
        <f>SUM(R60:R70)</f>
        <v>19425420.443868842</v>
      </c>
      <c r="S72" s="34"/>
      <c r="U72" s="68">
        <f>SUM(U60:U70)</f>
        <v>87522.180000000008</v>
      </c>
      <c r="V72" s="68">
        <f>SUM(V60:V70)</f>
        <v>105955.82999999999</v>
      </c>
      <c r="W72" s="22"/>
      <c r="X72" s="73">
        <f>SUM(L60:L70)</f>
        <v>25094758.240723841</v>
      </c>
      <c r="Y72" s="34"/>
      <c r="Z72" s="7"/>
      <c r="AA72" s="68">
        <f>SUM(AA60:AA70)</f>
        <v>0</v>
      </c>
      <c r="AB72" s="68">
        <f>SUM(AB60:AB70)</f>
        <v>0</v>
      </c>
      <c r="AC72" s="22"/>
      <c r="AD72" s="73"/>
      <c r="AE72" s="34"/>
      <c r="AG72" s="68">
        <f>SUM(AG60:AG70)</f>
        <v>10610.62</v>
      </c>
      <c r="AH72" s="68">
        <f>SUM(AH60:AH70)</f>
        <v>0</v>
      </c>
      <c r="AI72" s="22"/>
      <c r="AJ72" s="73"/>
      <c r="AK72" s="34"/>
      <c r="AM72" s="68">
        <f>SUM(AM60:AM70)</f>
        <v>0</v>
      </c>
      <c r="AN72" s="68">
        <f>SUM(AN60:AN70)</f>
        <v>0</v>
      </c>
      <c r="AO72" s="22"/>
      <c r="AP72" s="73">
        <f>SUM(AP60:AP70)</f>
        <v>0</v>
      </c>
      <c r="AQ72" s="34"/>
      <c r="AS72" s="68">
        <f>SUM(AS60:AS71)</f>
        <v>21221.24</v>
      </c>
      <c r="AT72" s="68">
        <f>SUM(AT60:AT70)</f>
        <v>0</v>
      </c>
      <c r="AU72" s="22"/>
      <c r="AV72" s="73">
        <f>SUM(AV60:AV70)</f>
        <v>0</v>
      </c>
      <c r="AW72" s="34"/>
      <c r="AX72" s="132"/>
    </row>
    <row r="73" spans="1:50" ht="15" customHeight="1" thickBot="1" x14ac:dyDescent="0.35">
      <c r="B73" s="1" t="str">
        <f>IFERROR(VLOOKUP(A73,DATA_KPI!M:Q,5,FALSE),"")</f>
        <v/>
      </c>
      <c r="C73" s="68"/>
      <c r="D73" s="68"/>
      <c r="E73" s="68"/>
      <c r="F73" s="68"/>
      <c r="G73" s="68"/>
      <c r="H73" s="137"/>
      <c r="K73" s="22"/>
      <c r="L73" s="75"/>
      <c r="M73" s="22"/>
      <c r="Q73" s="22"/>
      <c r="R73" s="75"/>
      <c r="S73" s="22"/>
      <c r="W73" s="22"/>
      <c r="X73" s="75"/>
      <c r="Y73" s="22"/>
      <c r="AC73" s="22"/>
      <c r="AD73" s="75"/>
      <c r="AE73" s="22"/>
      <c r="AI73" s="22"/>
      <c r="AJ73" s="75"/>
      <c r="AK73" s="22"/>
      <c r="AO73" s="22"/>
      <c r="AP73" s="75"/>
      <c r="AQ73" s="22"/>
      <c r="AU73" s="22"/>
      <c r="AV73" s="75"/>
      <c r="AW73" s="22"/>
      <c r="AX73" s="132"/>
    </row>
    <row r="74" spans="1:50" ht="18" customHeight="1" thickBot="1" x14ac:dyDescent="0.45">
      <c r="A74" s="125" t="s">
        <v>2193</v>
      </c>
      <c r="B74" s="126"/>
      <c r="C74" s="127">
        <f>+C71+C57+C54</f>
        <v>516413951.11999995</v>
      </c>
      <c r="D74" s="127">
        <f t="shared" ref="D74:F74" si="222">+D71+D57+D54</f>
        <v>474997626.6700002</v>
      </c>
      <c r="E74" s="128">
        <f t="shared" si="200"/>
        <v>-8.0199855871778691E-2</v>
      </c>
      <c r="F74" s="127">
        <f t="shared" si="222"/>
        <v>523614083.80379617</v>
      </c>
      <c r="G74" s="128">
        <f t="shared" si="201"/>
        <v>-9.2847879072735395E-2</v>
      </c>
      <c r="H74" s="138"/>
      <c r="I74" s="127">
        <f>+I71+I57+I54</f>
        <v>337135254.13000011</v>
      </c>
      <c r="J74" s="127">
        <f t="shared" ref="J74:L74" si="223">+J71+J57+J54</f>
        <v>313107539.03000009</v>
      </c>
      <c r="K74" s="128">
        <f t="shared" ref="K74" si="224">IFERROR(+(J74/I74)-1,0)</f>
        <v>-7.1270253720588039E-2</v>
      </c>
      <c r="L74" s="127">
        <f t="shared" si="223"/>
        <v>334341890.47407961</v>
      </c>
      <c r="M74" s="128">
        <f t="shared" ref="M74" si="225">IFERROR(+(J74/L74)-1,0)</f>
        <v>-6.3510891243601875E-2</v>
      </c>
      <c r="N74" s="129"/>
      <c r="O74" s="127">
        <f>+O71+O57+O54</f>
        <v>121155602.67999998</v>
      </c>
      <c r="P74" s="127">
        <f t="shared" ref="P74:R74" si="226">+P71+P57+P54</f>
        <v>117543674.05</v>
      </c>
      <c r="Q74" s="128">
        <f t="shared" ref="Q74" si="227">IFERROR(+(P74/O74)-1,0)</f>
        <v>-2.9812312019444343E-2</v>
      </c>
      <c r="R74" s="127">
        <f t="shared" si="226"/>
        <v>122213929.23318648</v>
      </c>
      <c r="S74" s="128">
        <f t="shared" ref="S74" si="228">IFERROR(+(P74/R74)-1,0)</f>
        <v>-3.8213771641983252E-2</v>
      </c>
      <c r="T74" s="129"/>
      <c r="U74" s="127">
        <f>+U71+U57+U54</f>
        <v>49177466.260000005</v>
      </c>
      <c r="V74" s="127">
        <f t="shared" ref="V74:X74" si="229">+V71+V57+V54</f>
        <v>36968116.030000068</v>
      </c>
      <c r="W74" s="128">
        <f t="shared" ref="W74" si="230">IFERROR(+(V74/U74)-1,0)</f>
        <v>-0.24827123393160222</v>
      </c>
      <c r="X74" s="127">
        <f t="shared" si="229"/>
        <v>53314250.486756459</v>
      </c>
      <c r="Y74" s="128">
        <f>IFERROR(+(V74/X74)-1,0)</f>
        <v>-0.30659972347950115</v>
      </c>
      <c r="Z74" s="129"/>
      <c r="AA74" s="127">
        <f>+AA71+AA57+AA54</f>
        <v>1402823.57</v>
      </c>
      <c r="AB74" s="127">
        <f t="shared" ref="AB74:AD74" si="231">+AB71+AB57+AB54</f>
        <v>1678471.5399999996</v>
      </c>
      <c r="AC74" s="128">
        <f t="shared" ref="AC74" si="232">IFERROR(+(AB74/AA74)-1,0)</f>
        <v>0.19649510878976706</v>
      </c>
      <c r="AD74" s="127">
        <f t="shared" si="231"/>
        <v>1688666.9438675442</v>
      </c>
      <c r="AE74" s="128">
        <f t="shared" ref="AE74" si="233">IFERROR(+(AB74/AD74)-1,0)</f>
        <v>-6.0375457129481225E-3</v>
      </c>
      <c r="AF74" s="129"/>
      <c r="AG74" s="127">
        <f>+AG71+AG57+AG54</f>
        <v>6892289.6600000001</v>
      </c>
      <c r="AH74" s="127">
        <f t="shared" ref="AH74:AJ74" si="234">+AH71+AH57+AH54</f>
        <v>4766224.8</v>
      </c>
      <c r="AI74" s="128">
        <f t="shared" ref="AI74" si="235">IFERROR(+(AH74/AG74)-1,0)</f>
        <v>-0.30847003896815328</v>
      </c>
      <c r="AJ74" s="127">
        <f t="shared" si="234"/>
        <v>11130302.018809425</v>
      </c>
      <c r="AK74" s="128">
        <f t="shared" ref="AK74" si="236">IFERROR(+(AH74/AJ74)-1,0)</f>
        <v>-0.57177938281050988</v>
      </c>
      <c r="AL74" s="129"/>
      <c r="AM74" s="127">
        <f>+AM71+AM57+AM54</f>
        <v>650514.81999999995</v>
      </c>
      <c r="AN74" s="127">
        <f t="shared" ref="AN74:AP74" si="237">+AN71+AN57+AN54</f>
        <v>933601.22</v>
      </c>
      <c r="AO74" s="128">
        <f t="shared" ref="AO74" si="238">IFERROR(+(AN74/AM74)-1,0)</f>
        <v>0.43517286816002132</v>
      </c>
      <c r="AP74" s="127">
        <f t="shared" si="237"/>
        <v>925044.64709658525</v>
      </c>
      <c r="AQ74" s="128">
        <f t="shared" ref="AQ74" si="239">IFERROR(+(AN74/AP74)-1,0)</f>
        <v>9.2499026185071109E-3</v>
      </c>
      <c r="AR74" s="129"/>
      <c r="AS74" s="127">
        <f>+AS71+AS57+AS54</f>
        <v>7542804.4800000004</v>
      </c>
      <c r="AT74" s="127">
        <f t="shared" ref="AT74" si="240">+AT71+AT57+AT54</f>
        <v>5699826.0199999996</v>
      </c>
      <c r="AU74" s="130">
        <f t="shared" ref="AU74" si="241">IFERROR(+(AT74/AS74)-1,0)</f>
        <v>-0.24433597143963104</v>
      </c>
      <c r="AV74" s="120">
        <f t="shared" ref="AV74" si="242">+AV71+AV57+AV54</f>
        <v>12055346.66590601</v>
      </c>
      <c r="AW74" s="119">
        <f t="shared" ref="AW74" si="243">IFERROR(+(AT74/AV74)-1,0)</f>
        <v>-0.52719517920460945</v>
      </c>
      <c r="AX74" s="132"/>
    </row>
    <row r="75" spans="1:50" ht="15" customHeight="1" thickBot="1" x14ac:dyDescent="0.35">
      <c r="B75" s="1"/>
      <c r="C75" s="68"/>
      <c r="D75" s="68"/>
      <c r="E75" s="22"/>
      <c r="F75" s="68"/>
      <c r="G75" s="22"/>
      <c r="H75" s="137"/>
      <c r="K75" s="22"/>
      <c r="L75" s="75"/>
      <c r="M75" s="22"/>
      <c r="Q75" s="22"/>
      <c r="R75" s="75"/>
      <c r="S75" s="22"/>
      <c r="W75" s="22"/>
      <c r="X75" s="75"/>
      <c r="Y75" s="22"/>
      <c r="AC75" s="22"/>
      <c r="AD75" s="75"/>
      <c r="AE75" s="22"/>
      <c r="AI75" s="22"/>
      <c r="AJ75" s="75"/>
      <c r="AK75" s="22"/>
      <c r="AO75" s="22"/>
      <c r="AP75" s="75"/>
      <c r="AQ75" s="22"/>
      <c r="AU75" s="22"/>
      <c r="AV75" s="75"/>
      <c r="AW75" s="22"/>
      <c r="AX75" s="132"/>
    </row>
    <row r="76" spans="1:50" ht="18" x14ac:dyDescent="0.35">
      <c r="A76" s="118" t="s">
        <v>102</v>
      </c>
      <c r="B76" s="1"/>
      <c r="E76" s="22"/>
      <c r="F76" s="22"/>
      <c r="G76" s="22"/>
      <c r="H76" s="137"/>
      <c r="K76" s="22"/>
      <c r="L76" s="30"/>
      <c r="M76" s="22"/>
      <c r="N76" s="7"/>
      <c r="Q76" s="22"/>
      <c r="R76" s="30"/>
      <c r="S76" s="22"/>
      <c r="W76" s="22"/>
      <c r="X76" s="30"/>
      <c r="Y76" s="22"/>
      <c r="Z76" s="7"/>
      <c r="AC76" s="22"/>
      <c r="AD76" s="30"/>
      <c r="AE76" s="22"/>
      <c r="AF76" s="7"/>
      <c r="AI76" s="22"/>
      <c r="AJ76" s="30"/>
      <c r="AK76" s="22"/>
      <c r="AL76" s="8"/>
      <c r="AO76" s="22"/>
      <c r="AP76" s="30"/>
      <c r="AQ76" s="22"/>
      <c r="AU76" s="22"/>
      <c r="AV76" s="30"/>
      <c r="AW76" s="22"/>
      <c r="AX76" s="132"/>
    </row>
    <row r="77" spans="1:50" ht="14.4" hidden="1" outlineLevel="1" x14ac:dyDescent="0.3">
      <c r="A77" s="100" t="s">
        <v>1445</v>
      </c>
      <c r="B77" s="100" t="str">
        <f>IF(IFERROR(VLOOKUP(A77,DATA_KPI!$D:$H,5,FALSE),"")="",VLOOKUP(A77,DATA_KPI_PRE!$D:$H,5,FALSE),VLOOKUP(A77,DATA_KPI!$D:$H,5,FALSE))</f>
        <v>S84</v>
      </c>
      <c r="C77" s="108">
        <f>IFERROR(VLOOKUP(_xlfn.CONCAT($C$3,"_",B77,"_",$C$2,"_",Parámetros!$C$6),DATA_KPI!$A:$H,6,FALSE),0)</f>
        <v>0</v>
      </c>
      <c r="D77" s="101">
        <f>IFERROR(VLOOKUP(_xlfn.CONCAT($D$3,"_",B77,"_",$C$2,"_",Parámetros!$C$6),DATA_KPI!A:H,6,FALSE),0)</f>
        <v>8064239.6199999982</v>
      </c>
      <c r="E77" s="102">
        <f t="shared" ref="E77:E79" si="244">IFERROR(+D77/C77,0)</f>
        <v>0</v>
      </c>
      <c r="F77" s="101">
        <f>IFERROR(VLOOKUP(_xlfn.CONCAT($D$3,"_",B77,"_",$C$2,"_",Parámetros!$C$6),DATA_KPI_PRE!$A:$F,6,FALSE),0)</f>
        <v>14821407.920943297</v>
      </c>
      <c r="G77" s="102">
        <f t="shared" ref="G77:G79" si="245">IFERROR(+(D77/F77)-1,0)</f>
        <v>-0.45590596635526948</v>
      </c>
      <c r="H77" s="134"/>
      <c r="I77" s="108">
        <f>IFERROR(VLOOKUP(_xlfn.CONCAT($I$3,"_",B77,"_",$I$2,"_",Parámetros!$C$6),DATA_KPI!$A:$H,6,FALSE),0)</f>
        <v>0</v>
      </c>
      <c r="J77" s="101">
        <f>IFERROR(VLOOKUP(_xlfn.CONCAT($J$3,"_",B77,"_",$I$2,"_",Parámetros!$C$6),DATA_KPI!$A:$H,6,FALSE),0)</f>
        <v>7303179.4899999984</v>
      </c>
      <c r="K77" s="122">
        <f t="shared" ref="K77:K79" si="246">IFERROR(+J77/I77,0)</f>
        <v>0</v>
      </c>
      <c r="L77" s="101">
        <f>IFERROR(VLOOKUP(_xlfn.CONCAT($J$3,"_",B77,"_",$I$2,"_",Parámetros!$C$6),DATA_KPI_PRE!A:F,6,FALSE),0)</f>
        <v>14032051.111905141</v>
      </c>
      <c r="M77" s="102">
        <f>IFERROR(+(J77/L77)-1,0)</f>
        <v>-0.4795358546118893</v>
      </c>
      <c r="N77" s="7"/>
      <c r="O77" s="108">
        <f>IFERROR(VLOOKUP(_xlfn.CONCAT($O$3,"_",B77,"_",$O$2,"_",Parámetros!$C$6),DATA_KPI!$A:$H,6,FALSE),0)</f>
        <v>0</v>
      </c>
      <c r="P77" s="101">
        <f>IFERROR(VLOOKUP(_xlfn.CONCAT($P$3,"_",B77,"_",$O$2,"_",Parámetros!$C$6),DATA_KPI!$A:$H,6,FALSE),0)</f>
        <v>0</v>
      </c>
      <c r="Q77" s="122">
        <f t="shared" ref="Q77:Q79" si="247">IFERROR(+P77/O77,0)</f>
        <v>0</v>
      </c>
      <c r="R77" s="101">
        <f>IFERROR(VLOOKUP(_xlfn.CONCAT($P$3,"_",B77,"_",$O$2,"_",Parámetros!$C$6),DATA_KPI_PRE!A:F,6,FALSE),0)</f>
        <v>0</v>
      </c>
      <c r="S77" s="102">
        <f>IFERROR(+(P77/R77)-1,0)</f>
        <v>0</v>
      </c>
      <c r="U77" s="108">
        <f>IFERROR(VLOOKUP(_xlfn.CONCAT($U$3,"_",B77,"_",$U$2,"_",Parámetros!$C$6),DATA_KPI!$A:$H,6,FALSE),0)</f>
        <v>0</v>
      </c>
      <c r="V77" s="101">
        <f>IFERROR(VLOOKUP(_xlfn.CONCAT($V$3,"_",B77,"_",$U$2,"_",Parámetros!$C$6),DATA_KPI!$A:$H,6,FALSE),0)</f>
        <v>761060.12999999989</v>
      </c>
      <c r="W77" s="122">
        <f t="shared" ref="W77:W79" si="248">IFERROR(+V77/U77,0)</f>
        <v>0</v>
      </c>
      <c r="X77" s="101">
        <f>IFERROR(VLOOKUP(_xlfn.CONCAT($V$3,"_",B77,"_",$U$2,"_",Parámetros!$C$6),DATA_KPI_PRE!A:F,6,FALSE),0)</f>
        <v>789356.80903815629</v>
      </c>
      <c r="Y77" s="102">
        <f>IFERROR(+(V77/X77)-1,0)</f>
        <v>-3.5847767086010673E-2</v>
      </c>
      <c r="Z77" s="7"/>
      <c r="AA77" s="108">
        <f>IFERROR(VLOOKUP(_xlfn.CONCAT($AA$3,"_",B77,"_",$AA$2,"_",Parámetros!$C$6),DATA_KPI!$A:$H,6,FALSE),0)</f>
        <v>0</v>
      </c>
      <c r="AB77" s="101">
        <f>IFERROR(VLOOKUP(_xlfn.CONCAT($AB$3,"_",B77,"_",$AA$2,"_",Parámetros!$C$6),DATA_KPI!$A:$H,6,FALSE),0)</f>
        <v>0</v>
      </c>
      <c r="AC77" s="122">
        <f t="shared" ref="AC77:AC79" si="249">IFERROR(+AB77/AA77,0)</f>
        <v>0</v>
      </c>
      <c r="AD77" s="101">
        <f>IFERROR(VLOOKUP(_xlfn.CONCAT($AB$3,"_",B77,"_",$AA$2,"_",Parámetros!$C$6),DATA_KPI_PRE!A:F,6,FALSE),0)</f>
        <v>0</v>
      </c>
      <c r="AE77" s="102">
        <f>IFERROR(+(AB77/AD77)-1,0)</f>
        <v>0</v>
      </c>
      <c r="AF77" s="7"/>
      <c r="AG77" s="108">
        <f>IFERROR(VLOOKUP(_xlfn.CONCAT($AG$3,"_",B77,"_",$AG$2,"_",Parámetros!$C$6),DATA_KPI!$A:$H,6,FALSE),0)</f>
        <v>0</v>
      </c>
      <c r="AH77" s="101">
        <f>IFERROR(VLOOKUP(_xlfn.CONCAT($AH$3,"_",B77,"_",$AG$2,"_",Parámetros!$C$6),DATA_KPI!$A:$H,6,FALSE),0)</f>
        <v>0</v>
      </c>
      <c r="AI77" s="122">
        <f t="shared" ref="AI77:AI79" si="250">IFERROR(+AH77/AG77,0)</f>
        <v>0</v>
      </c>
      <c r="AJ77" s="101">
        <f>IFERROR(VLOOKUP(_xlfn.CONCAT($AH$3,"_",B77,"_",$AG$2,"_",Parámetros!$C$6),DATA_KPI_PRE!A:F,6,FALSE),0)</f>
        <v>0</v>
      </c>
      <c r="AK77" s="102">
        <f>IFERROR(+(AH77/AJ77)-1,0)</f>
        <v>0</v>
      </c>
      <c r="AL77" s="8"/>
      <c r="AM77" s="108">
        <f>IFERROR(VLOOKUP(_xlfn.CONCAT($AM$3,"_",B77,"_",$AM$2,"_",Parámetros!$C$6),DATA_KPI!$A:$H,6,FALSE),0)</f>
        <v>0</v>
      </c>
      <c r="AN77" s="101">
        <f>IFERROR(VLOOKUP(_xlfn.CONCAT($AN$3,"_",B77,"_",$AM$2,"_",Parámetros!$C$6),DATA_KPI!$A:$H,6,FALSE),0)</f>
        <v>0</v>
      </c>
      <c r="AO77" s="122">
        <f t="shared" ref="AO77:AO79" si="251">IFERROR(+AN77/AM77,0)</f>
        <v>0</v>
      </c>
      <c r="AP77" s="101">
        <f>IFERROR(VLOOKUP(_xlfn.CONCAT($AN$3,"_",B77,"_",$AM$2,"_",Parámetros!$C$6),DATA_KPI_PRE!A:F,6,FALSE),0)</f>
        <v>0</v>
      </c>
      <c r="AQ77" s="102">
        <f>IFERROR(+(AN77/AP77)-1,0)</f>
        <v>0</v>
      </c>
      <c r="AS77" s="121">
        <f t="shared" ref="AS77" si="252">+AM77+AG77</f>
        <v>0</v>
      </c>
      <c r="AT77" s="121">
        <f t="shared" ref="AT77" si="253">+AN77+AH77</f>
        <v>0</v>
      </c>
      <c r="AU77" s="122">
        <f t="shared" ref="AU77:AU79" si="254">IFERROR(+AT77/AS77,0)</f>
        <v>0</v>
      </c>
      <c r="AV77" s="121">
        <f t="shared" ref="AV77:AV79" si="255">+AP77+AJ77</f>
        <v>0</v>
      </c>
      <c r="AW77" s="102">
        <f>IFERROR(+(AT77/AV77)-1,0)</f>
        <v>0</v>
      </c>
      <c r="AX77" s="132"/>
    </row>
    <row r="78" spans="1:50" ht="14.4" hidden="1" outlineLevel="1" x14ac:dyDescent="0.3">
      <c r="A78" s="100" t="s">
        <v>1468</v>
      </c>
      <c r="B78" s="100" t="str">
        <f>IF(IFERROR(VLOOKUP(A78,DATA_KPI!$D:$H,5,FALSE),"")="",VLOOKUP(A78,DATA_KPI_PRE!$D:$H,5,FALSE),VLOOKUP(A78,DATA_KPI!$D:$H,5,FALSE))</f>
        <v>S85</v>
      </c>
      <c r="C78" s="108">
        <f>IFERROR(VLOOKUP(_xlfn.CONCAT($C$3,"_",B78,"_",$C$2,"_",Parámetros!$C$6),DATA_KPI!$A:$H,6,FALSE),0)</f>
        <v>0</v>
      </c>
      <c r="D78" s="101">
        <f>IFERROR(VLOOKUP(_xlfn.CONCAT($D$3,"_",B78,"_",$C$2,"_",Parámetros!$C$6),DATA_KPI!A:H,6,FALSE),0)</f>
        <v>7492937.9899999984</v>
      </c>
      <c r="E78" s="102">
        <f t="shared" si="244"/>
        <v>0</v>
      </c>
      <c r="F78" s="101">
        <f>IFERROR(VLOOKUP(_xlfn.CONCAT($D$3,"_",B78,"_",$C$2,"_",Parámetros!$C$6),DATA_KPI_PRE!$A:$F,6,FALSE),0)</f>
        <v>10353560.148540344</v>
      </c>
      <c r="G78" s="102">
        <f t="shared" si="245"/>
        <v>-0.27629357607427807</v>
      </c>
      <c r="H78" s="134"/>
      <c r="I78" s="108">
        <f>IFERROR(VLOOKUP(_xlfn.CONCAT($I$3,"_",B78,"_",$I$2,"_",Parámetros!$C$6),DATA_KPI!$A:$H,6,FALSE),0)</f>
        <v>0</v>
      </c>
      <c r="J78" s="101">
        <f>IFERROR(VLOOKUP(_xlfn.CONCAT($J$3,"_",B78,"_",$I$2,"_",Parámetros!$C$6),DATA_KPI!$A:$H,6,FALSE),0)</f>
        <v>7291624.6699999981</v>
      </c>
      <c r="K78" s="122">
        <f t="shared" si="246"/>
        <v>0</v>
      </c>
      <c r="L78" s="101">
        <f>IFERROR(VLOOKUP(_xlfn.CONCAT($J$3,"_",B78,"_",$I$2,"_",Parámetros!$C$6),DATA_KPI_PRE!A:F,6,FALSE),0)</f>
        <v>9741976.0392254759</v>
      </c>
      <c r="M78" s="102">
        <f>IFERROR(+(J78/L78)-1,0)</f>
        <v>-0.25152508683651931</v>
      </c>
      <c r="N78" s="7"/>
      <c r="O78" s="108">
        <f>IFERROR(VLOOKUP(_xlfn.CONCAT($O$3,"_",B78,"_",$O$2,"_",Parámetros!$C$6),DATA_KPI!$A:$H,6,FALSE),0)</f>
        <v>0</v>
      </c>
      <c r="P78" s="101">
        <f>IFERROR(VLOOKUP(_xlfn.CONCAT($P$3,"_",B78,"_",$O$2,"_",Parámetros!$C$6),DATA_KPI!$A:$H,6,FALSE),0)</f>
        <v>0</v>
      </c>
      <c r="Q78" s="122">
        <f t="shared" si="247"/>
        <v>0</v>
      </c>
      <c r="R78" s="101">
        <f>IFERROR(VLOOKUP(_xlfn.CONCAT($P$3,"_",B78,"_",$O$2,"_",Parámetros!$C$6),DATA_KPI_PRE!A:F,6,FALSE),0)</f>
        <v>0</v>
      </c>
      <c r="S78" s="102">
        <f>IFERROR(+(P78/R78)-1,0)</f>
        <v>0</v>
      </c>
      <c r="U78" s="108">
        <f>IFERROR(VLOOKUP(_xlfn.CONCAT($U$3,"_",B78,"_",$U$2,"_",Parámetros!$C$6),DATA_KPI!$A:$H,6,FALSE),0)</f>
        <v>0</v>
      </c>
      <c r="V78" s="101">
        <f>IFERROR(VLOOKUP(_xlfn.CONCAT($V$3,"_",B78,"_",$U$2,"_",Parámetros!$C$6),DATA_KPI!$A:$H,6,FALSE),0)</f>
        <v>201313.31999999995</v>
      </c>
      <c r="W78" s="122">
        <f t="shared" si="248"/>
        <v>0</v>
      </c>
      <c r="X78" s="101">
        <f>IFERROR(VLOOKUP(_xlfn.CONCAT($V$3,"_",B78,"_",$U$2,"_",Parámetros!$C$6),DATA_KPI_PRE!A:F,6,FALSE),0)</f>
        <v>611584.10931486776</v>
      </c>
      <c r="Y78" s="102">
        <f>IFERROR(+(V78/X78)-1,0)</f>
        <v>-0.67083297794391217</v>
      </c>
      <c r="Z78" s="7"/>
      <c r="AA78" s="108">
        <f>IFERROR(VLOOKUP(_xlfn.CONCAT($AA$3,"_",B78,"_",$AA$2,"_",Parámetros!$C$6),DATA_KPI!$A:$H,6,FALSE),0)</f>
        <v>0</v>
      </c>
      <c r="AB78" s="101">
        <f>IFERROR(VLOOKUP(_xlfn.CONCAT($AB$3,"_",B78,"_",$AA$2,"_",Parámetros!$C$6),DATA_KPI!$A:$H,6,FALSE),0)</f>
        <v>0</v>
      </c>
      <c r="AC78" s="122">
        <f t="shared" si="249"/>
        <v>0</v>
      </c>
      <c r="AD78" s="101">
        <f>IFERROR(VLOOKUP(_xlfn.CONCAT($AB$3,"_",B78,"_",$AA$2,"_",Parámetros!$C$6),DATA_KPI_PRE!A:F,6,FALSE),0)</f>
        <v>0</v>
      </c>
      <c r="AE78" s="102">
        <f>IFERROR(+(AB78/AD78)-1,0)</f>
        <v>0</v>
      </c>
      <c r="AF78" s="7"/>
      <c r="AG78" s="108">
        <f>IFERROR(VLOOKUP(_xlfn.CONCAT($AG$3,"_",B78,"_",$AG$2,"_",Parámetros!$C$6),DATA_KPI!$A:$H,6,FALSE),0)</f>
        <v>0</v>
      </c>
      <c r="AH78" s="101">
        <f>IFERROR(VLOOKUP(_xlfn.CONCAT($AH$3,"_",B78,"_",$AG$2,"_",Parámetros!$C$6),DATA_KPI!$A:$H,6,FALSE),0)</f>
        <v>0</v>
      </c>
      <c r="AI78" s="122">
        <f t="shared" si="250"/>
        <v>0</v>
      </c>
      <c r="AJ78" s="101">
        <f>IFERROR(VLOOKUP(_xlfn.CONCAT($AH$3,"_",B78,"_",$AG$2,"_",Parámetros!$C$6),DATA_KPI_PRE!A:F,6,FALSE),0)</f>
        <v>0</v>
      </c>
      <c r="AK78" s="102">
        <f>IFERROR(+(AH78/AJ78)-1,0)</f>
        <v>0</v>
      </c>
      <c r="AL78" s="8"/>
      <c r="AM78" s="108">
        <f>IFERROR(VLOOKUP(_xlfn.CONCAT($AM$3,"_",B78,"_",$AM$2,"_",Parámetros!$C$6),DATA_KPI!$A:$H,6,FALSE),0)</f>
        <v>0</v>
      </c>
      <c r="AN78" s="101">
        <f>IFERROR(VLOOKUP(_xlfn.CONCAT($AN$3,"_",B78,"_",$AM$2,"_",Parámetros!$C$6),DATA_KPI!$A:$H,6,FALSE),0)</f>
        <v>0</v>
      </c>
      <c r="AO78" s="122">
        <f t="shared" si="251"/>
        <v>0</v>
      </c>
      <c r="AP78" s="101">
        <f>IFERROR(VLOOKUP(_xlfn.CONCAT($AN$3,"_",B78,"_",$AM$2,"_",Parámetros!$C$6),DATA_KPI_PRE!A:F,6,FALSE),0)</f>
        <v>0</v>
      </c>
      <c r="AQ78" s="102">
        <f>IFERROR(+(AN78/AP78)-1,0)</f>
        <v>0</v>
      </c>
      <c r="AS78" s="121">
        <f t="shared" ref="AS78:AS79" si="256">+AM78+AG78</f>
        <v>0</v>
      </c>
      <c r="AT78" s="121">
        <f t="shared" ref="AT78:AT79" si="257">+AN78+AH78</f>
        <v>0</v>
      </c>
      <c r="AU78" s="122">
        <f t="shared" si="254"/>
        <v>0</v>
      </c>
      <c r="AV78" s="121">
        <f t="shared" si="255"/>
        <v>0</v>
      </c>
      <c r="AW78" s="102">
        <f>IFERROR(+(AT78/AV78)-1,0)</f>
        <v>0</v>
      </c>
      <c r="AX78" s="132"/>
    </row>
    <row r="79" spans="1:50" ht="14.4" hidden="1" outlineLevel="1" x14ac:dyDescent="0.3">
      <c r="A79" s="100" t="s">
        <v>641</v>
      </c>
      <c r="B79" s="100" t="s">
        <v>642</v>
      </c>
      <c r="C79" s="101">
        <f>IFERROR(VLOOKUP(_xlfn.CONCAT($C$3,"_",B79,"_",$C$2,"_",Parámetros!$C$6),DATA_KPI!$A:$H,6,FALSE),0)</f>
        <v>0</v>
      </c>
      <c r="D79" s="101">
        <f>IFERROR(VLOOKUP(_xlfn.CONCAT($D$3,"_",B79,"_",$C$2,"_",Parámetros!$C$6),DATA_KPI!A:H,6,FALSE),0)</f>
        <v>1611443.4600000016</v>
      </c>
      <c r="E79" s="102">
        <f t="shared" si="244"/>
        <v>0</v>
      </c>
      <c r="F79" s="101">
        <f>IFERROR(VLOOKUP(_xlfn.CONCAT($D$3,"_",B79,"_",$C$2,"_",Parámetros!$C$6),DATA_KPI_PRE!$A:$F,6,FALSE),0)</f>
        <v>2892062.6233499311</v>
      </c>
      <c r="G79" s="102">
        <f t="shared" si="245"/>
        <v>-0.44280478334406326</v>
      </c>
      <c r="H79" s="113"/>
      <c r="I79" s="108">
        <f>IFERROR(VLOOKUP(_xlfn.CONCAT($I$3,"_",B79,"_",$I$2,"_",Parámetros!$C$6),DATA_KPI!$A:$H,6,FALSE),0)</f>
        <v>0</v>
      </c>
      <c r="J79" s="101">
        <f>IFERROR(VLOOKUP(_xlfn.CONCAT($J$3,"_",B79,"_",$I$2,"_",Parámetros!$C$6),DATA_KPI!$A:$H,6,FALSE),0)</f>
        <v>1611443.4600000016</v>
      </c>
      <c r="K79" s="122">
        <f t="shared" si="246"/>
        <v>0</v>
      </c>
      <c r="L79" s="123">
        <f>IFERROR(VLOOKUP(_xlfn.CONCAT($J$3,"_",B79,"_",$I$2,"_",Parámetros!$C$6),DATA_KPI_PRE!A:F,6,FALSE),0)</f>
        <v>0</v>
      </c>
      <c r="M79" s="102">
        <f>IFERROR(+(J79/L79)-1,0)</f>
        <v>0</v>
      </c>
      <c r="O79" s="108">
        <f>IFERROR(VLOOKUP(_xlfn.CONCAT($O$3,"_",B79,"_",$O$2,"_",Parámetros!$C$6),DATA_KPI!$A:$H,6,FALSE),0)</f>
        <v>0</v>
      </c>
      <c r="P79" s="101">
        <f>IFERROR(VLOOKUP(_xlfn.CONCAT($P$3,"_",B79,"_",$O$2,"_",Parámetros!$C$6),DATA_KPI!$A:$H,6,FALSE),0)</f>
        <v>0</v>
      </c>
      <c r="Q79" s="122">
        <f t="shared" si="247"/>
        <v>0</v>
      </c>
      <c r="R79" s="123">
        <f>IFERROR(VLOOKUP(_xlfn.CONCAT($P$3,"_",B79,"_",$O$2,"_",Parámetros!$C$6),DATA_KPI_PRE!A:F,6,FALSE),0)</f>
        <v>0</v>
      </c>
      <c r="S79" s="102">
        <f>IFERROR(+(P79/R79)-1,0)</f>
        <v>0</v>
      </c>
      <c r="U79" s="108">
        <f>IFERROR(VLOOKUP(_xlfn.CONCAT($U$3,"_",B79,"_",$U$2,"_",Parámetros!$C$6),DATA_KPI!$A:$H,6,FALSE),0)</f>
        <v>0</v>
      </c>
      <c r="V79" s="101">
        <f>IFERROR(VLOOKUP(_xlfn.CONCAT($V$3,"_",B79,"_",$U$2,"_",Parámetros!$C$6),DATA_KPI!$A:$H,6,FALSE),0)</f>
        <v>0</v>
      </c>
      <c r="W79" s="122">
        <f t="shared" si="248"/>
        <v>0</v>
      </c>
      <c r="X79" s="123">
        <f>IFERROR(VLOOKUP(_xlfn.CONCAT($V$3,"_",B79,"_",$U$2,"_",Parámetros!$C$6),DATA_KPI_PRE!A:F,6,FALSE),0)</f>
        <v>2892062.6233499311</v>
      </c>
      <c r="Y79" s="102">
        <f>IFERROR(+(V79/X79)-1,0)</f>
        <v>-1</v>
      </c>
      <c r="AA79" s="108">
        <f>IFERROR(VLOOKUP(_xlfn.CONCAT($AA$3,"_",B79,"_",$AA$2,"_",Parámetros!$C$6),DATA_KPI!$A:$H,6,FALSE),0)</f>
        <v>0</v>
      </c>
      <c r="AB79" s="101">
        <f>IFERROR(VLOOKUP(_xlfn.CONCAT($AB$3,"_",B79,"_",$AA$2,"_",Parámetros!$C$6),DATA_KPI!$A:$H,6,FALSE),0)</f>
        <v>0</v>
      </c>
      <c r="AC79" s="122">
        <f t="shared" si="249"/>
        <v>0</v>
      </c>
      <c r="AD79" s="123">
        <f>IFERROR(VLOOKUP(_xlfn.CONCAT($AB$3,"_",B79,"_",$AA$2,"_",Parámetros!$C$6),DATA_KPI_PRE!A:F,6,FALSE),0)</f>
        <v>0</v>
      </c>
      <c r="AE79" s="102">
        <f>IFERROR(+(AB79/AD79)-1,0)</f>
        <v>0</v>
      </c>
      <c r="AG79" s="108">
        <f>IFERROR(VLOOKUP(_xlfn.CONCAT($AG$3,"_",B79,"_",$AG$2,"_",Parámetros!$C$6),DATA_KPI!$A:$H,6,FALSE),0)</f>
        <v>0</v>
      </c>
      <c r="AH79" s="101">
        <f>IFERROR(VLOOKUP(_xlfn.CONCAT($AH$3,"_",B79,"_",$AG$2,"_",Parámetros!$C$6),DATA_KPI!$A:$H,6,FALSE),0)</f>
        <v>0</v>
      </c>
      <c r="AI79" s="122">
        <f t="shared" si="250"/>
        <v>0</v>
      </c>
      <c r="AJ79" s="123">
        <f>IFERROR(VLOOKUP(_xlfn.CONCAT($AH$3,"_",B79,"_",$AG$2,"_",Parámetros!$C$6),DATA_KPI_PRE!A:F,6,FALSE),0)</f>
        <v>0</v>
      </c>
      <c r="AK79" s="102">
        <f>IFERROR(+(AH79/AJ79)-1,0)</f>
        <v>0</v>
      </c>
      <c r="AM79" s="108">
        <f>IFERROR(VLOOKUP(_xlfn.CONCAT($AM$3,"_",B79,"_",$AM$2,"_",Parámetros!$C$6),DATA_KPI!$A:$H,6,FALSE),0)</f>
        <v>0</v>
      </c>
      <c r="AN79" s="101">
        <f>IFERROR(VLOOKUP(_xlfn.CONCAT($AN$3,"_",B79,"_",$AM$2,"_",Parámetros!$C$6),DATA_KPI!$A:$H,6,FALSE),0)</f>
        <v>0</v>
      </c>
      <c r="AO79" s="122">
        <f t="shared" si="251"/>
        <v>0</v>
      </c>
      <c r="AP79" s="123">
        <f>IFERROR(VLOOKUP(_xlfn.CONCAT($AN$3,"_",B79,"_",$AM$2,"_",Parámetros!$C$6),DATA_KPI_PRE!A:F,6,FALSE),0)</f>
        <v>0</v>
      </c>
      <c r="AQ79" s="102">
        <f>IFERROR(+(AN79/AP79)-1,0)</f>
        <v>0</v>
      </c>
      <c r="AS79" s="121">
        <f t="shared" si="256"/>
        <v>0</v>
      </c>
      <c r="AT79" s="121">
        <f t="shared" si="257"/>
        <v>0</v>
      </c>
      <c r="AU79" s="122">
        <f t="shared" si="254"/>
        <v>0</v>
      </c>
      <c r="AV79" s="121">
        <f t="shared" si="255"/>
        <v>0</v>
      </c>
      <c r="AW79" s="102">
        <f>IFERROR(+(AT79/AV79)-1,0)</f>
        <v>0</v>
      </c>
      <c r="AX79" s="132"/>
    </row>
    <row r="80" spans="1:50" ht="14.4" collapsed="1" x14ac:dyDescent="0.3">
      <c r="A80" s="114" t="s">
        <v>2196</v>
      </c>
      <c r="B80" s="115"/>
      <c r="C80" s="117">
        <f>IFERROR(VLOOKUP(_xlfn.CONCAT($C$3,"_",A76,"_",$C$2,"_",Parámetros!$C$6),DATA_KPI!$A:$H,6,FALSE),0)</f>
        <v>0</v>
      </c>
      <c r="D80" s="117">
        <f>IFERROR(VLOOKUP(_xlfn.CONCAT(D3,"_",A76,"_",$C$2,"_",Parámetros!$C$6),DATA_KPI!$A:$H,6,FALSE),0)</f>
        <v>17168621.069999997</v>
      </c>
      <c r="E80" s="116">
        <f>IFERROR(D80/C80,0)</f>
        <v>0</v>
      </c>
      <c r="F80" s="117">
        <f>IFERROR(VLOOKUP(_xlfn.CONCAT($D$3,"_",A76,"_",$C$2,"_",Parámetros!$C$6),DATA_KPI_PRE!$A:$F,6,FALSE),0)</f>
        <v>28067030.692833573</v>
      </c>
      <c r="G80" s="116">
        <f>IFERROR(+(D80/F80)-1,0)</f>
        <v>-0.38829934459779869</v>
      </c>
      <c r="H80" s="134"/>
      <c r="I80" s="117">
        <f>IFERROR(VLOOKUP(_xlfn.CONCAT($I$3,"_",A76,"_",$I$2,"_",Parámetros!$C$6),DATA_KPI!$A:$H,6,FALSE),0)</f>
        <v>0</v>
      </c>
      <c r="J80" s="117">
        <f>IFERROR(VLOOKUP(_xlfn.CONCAT(J3,"_",A76,"_",$I$2,"_",Parámetros!$C$6),DATA_KPI!$A:$H,6,FALSE),0)</f>
        <v>16206247.619999997</v>
      </c>
      <c r="K80" s="116">
        <f>IFERROR(J80/I80,0)</f>
        <v>0</v>
      </c>
      <c r="L80" s="117">
        <f>IFERROR(VLOOKUP(_xlfn.CONCAT(J3,"_",A76,"_",I2,"_",Parámetros!$C$6),DATA_KPI_PRE!$A:$F,6,FALSE),0)</f>
        <v>23774027.151130617</v>
      </c>
      <c r="M80" s="116">
        <f>IFERROR(+(J80/L80)-1,0)</f>
        <v>-0.31832131270913944</v>
      </c>
      <c r="O80" s="117">
        <f>IFERROR(VLOOKUP(_xlfn.CONCAT(O3,"_",A76,"_",O2,"_",Parámetros!$C$6),DATA_KPI!$A:$H,6,FALSE),0)</f>
        <v>0</v>
      </c>
      <c r="P80" s="117">
        <f>IFERROR(VLOOKUP(_xlfn.CONCAT(P3,"_",A76,"_",O2,"_",Parámetros!$C$6),DATA_KPI!$A:$H,6,FALSE),0)</f>
        <v>0</v>
      </c>
      <c r="Q80" s="116">
        <f>IFERROR(P80/O80,0)</f>
        <v>0</v>
      </c>
      <c r="R80" s="117">
        <f>IFERROR(VLOOKUP(_xlfn.CONCAT(P3,"_",A76,"_",O2,"_",Parámetros!$C$6),DATA_KPI_PRE!$A:$F,6,FALSE),0)</f>
        <v>0</v>
      </c>
      <c r="S80" s="116">
        <f>IFERROR(+(P80/R80)-1,0)</f>
        <v>0</v>
      </c>
      <c r="U80" s="117">
        <f>IFERROR(VLOOKUP(_xlfn.CONCAT(U3,"_",A76,"_",U2,"_",Parámetros!$C$6),DATA_KPI!$A:$H,6,FALSE),0)</f>
        <v>0</v>
      </c>
      <c r="V80" s="117">
        <f>IFERROR(VLOOKUP(_xlfn.CONCAT(V3,"_",A76,"_",U2,"_",Parámetros!$C$6),DATA_KPI!$A:$H,6,FALSE),0)</f>
        <v>962373.44999999984</v>
      </c>
      <c r="W80" s="116">
        <f>IFERROR(V80/U80,0)</f>
        <v>0</v>
      </c>
      <c r="X80" s="117">
        <f>IFERROR(VLOOKUP(_xlfn.CONCAT(V3,"_",A76,"_",U2,"_",Parámetros!$C$6),DATA_KPI_PRE!$A:$F,6,FALSE),0)</f>
        <v>4293003.541702955</v>
      </c>
      <c r="Y80" s="116">
        <f>IFERROR(+(V80/X80)-1,0)</f>
        <v>-0.77582747355054726</v>
      </c>
      <c r="AA80" s="117">
        <f>IFERROR(VLOOKUP(_xlfn.CONCAT(AA3,"_",A76,"_",AA2,"_",Parámetros!$C$6),DATA_KPI!$A:$H,6,FALSE),0)</f>
        <v>0</v>
      </c>
      <c r="AB80" s="117">
        <f>IFERROR(VLOOKUP(_xlfn.CONCAT(AB3,"_",A76,"_",AA2,"_",Parámetros!$C$6),DATA_KPI!$A:$H,6,FALSE),0)</f>
        <v>0</v>
      </c>
      <c r="AC80" s="116">
        <f>IFERROR(AB80/AA80,0)</f>
        <v>0</v>
      </c>
      <c r="AD80" s="117">
        <f>IFERROR(VLOOKUP(_xlfn.CONCAT(AB3,"_",A76,"_",AA2,"_",Parámetros!$C$6),DATA_KPI_PRE!$A:$F,6,FALSE),0)</f>
        <v>0</v>
      </c>
      <c r="AE80" s="116">
        <f>IFERROR(+(AB80/AD80)-1,0)</f>
        <v>0</v>
      </c>
      <c r="AG80" s="117">
        <f>IFERROR(VLOOKUP(_xlfn.CONCAT(AG3,"_",A76,"_",AG2,"_",Parámetros!$C$6),DATA_KPI!$A:$H,6,FALSE),0)</f>
        <v>0</v>
      </c>
      <c r="AH80" s="117">
        <f>IFERROR(VLOOKUP(_xlfn.CONCAT(AH3,"_",A76,"_",AG2,"_",Parámetros!$C$6),DATA_KPI!$A:$H,6,FALSE),0)</f>
        <v>0</v>
      </c>
      <c r="AI80" s="116">
        <f>IFERROR(AH80/AG80,0)</f>
        <v>0</v>
      </c>
      <c r="AJ80" s="117">
        <f>IFERROR(VLOOKUP(_xlfn.CONCAT(AH3,"_",A76,"_",AG2,"_",Parámetros!$C$6),DATA_KPI_PRE!$A:$F,6,FALSE),0)</f>
        <v>0</v>
      </c>
      <c r="AK80" s="116">
        <f>IFERROR(+(AH80/AJ80)-1,0)</f>
        <v>0</v>
      </c>
      <c r="AM80" s="117">
        <f>IFERROR(VLOOKUP(_xlfn.CONCAT($AM$3,"_",$A$76,"_",$AM$2,"_",Parámetros!$C$6),DATA_KPI!$A:$H,6,FALSE),0)</f>
        <v>0</v>
      </c>
      <c r="AN80" s="117">
        <f>IFERROR(VLOOKUP(_xlfn.CONCAT($AN$3,"_",A76,"_",$AM$2,"_",Parámetros!$C$6),DATA_KPI!$A:$H,6,FALSE),0)</f>
        <v>0</v>
      </c>
      <c r="AO80" s="116">
        <f>IFERROR(AN80/AM80,0)</f>
        <v>0</v>
      </c>
      <c r="AP80" s="117">
        <f>IFERROR(VLOOKUP(_xlfn.CONCAT(P3,"_",A76,"_",AM2,"_",Parámetros!$C$6),DATA_KPI_PRE!$A:$F,6,FALSE),0)</f>
        <v>0</v>
      </c>
      <c r="AQ80" s="116">
        <f>IFERROR(+(AN80/AP80)-1,0)</f>
        <v>0</v>
      </c>
      <c r="AS80" s="117">
        <f>IFERROR(VLOOKUP(_xlfn.CONCAT($AM$3,"_",$A$76,"_",$AM$2,"_",Parámetros!$C$6),DATA_KPI!$A:$H,6,FALSE),0)</f>
        <v>0</v>
      </c>
      <c r="AT80" s="117">
        <f>IFERROR(VLOOKUP(_xlfn.CONCAT($AN$3,"_",G76,"_",$AM$2,"_",Parámetros!$C$6),DATA_KPI!$A:$H,6,FALSE),0)</f>
        <v>0</v>
      </c>
      <c r="AU80" s="116">
        <f>IFERROR(AT80/AS80,0)</f>
        <v>0</v>
      </c>
      <c r="AV80" s="117">
        <f>IFERROR(VLOOKUP(_xlfn.CONCAT(V3,"_",G76,"_",AS1,"_",Parámetros!$C$6),DATA_KPI_PRE!$A:$F,6,FALSE),0)</f>
        <v>0</v>
      </c>
      <c r="AW80" s="116">
        <f>IFERROR(+(AT80/AV80)-1,0)</f>
        <v>0</v>
      </c>
      <c r="AX80" s="132"/>
    </row>
    <row r="81" spans="1:50" thickBot="1" x14ac:dyDescent="0.35">
      <c r="C81" s="14"/>
      <c r="D81" s="14"/>
      <c r="E81" s="14"/>
      <c r="F81" s="14"/>
      <c r="G81" s="34"/>
      <c r="H81" s="134"/>
      <c r="I81" s="14"/>
      <c r="J81" s="73"/>
      <c r="K81" s="22"/>
      <c r="L81" s="73"/>
      <c r="M81" s="34"/>
      <c r="O81" s="14"/>
      <c r="P81" s="73"/>
      <c r="Q81" s="22"/>
      <c r="R81" s="73"/>
      <c r="S81" s="34"/>
      <c r="U81" s="14"/>
      <c r="V81" s="73"/>
      <c r="W81" s="22"/>
      <c r="X81" s="73"/>
      <c r="Y81" s="34"/>
      <c r="AA81" s="14"/>
      <c r="AB81" s="73"/>
      <c r="AC81" s="22"/>
      <c r="AD81" s="73"/>
      <c r="AE81" s="34"/>
      <c r="AG81" s="14"/>
      <c r="AH81" s="73"/>
      <c r="AI81" s="22"/>
      <c r="AJ81" s="73"/>
      <c r="AK81" s="34"/>
      <c r="AM81" s="14"/>
      <c r="AN81" s="73"/>
      <c r="AO81" s="22"/>
      <c r="AP81" s="73"/>
      <c r="AQ81" s="34"/>
      <c r="AS81" s="14"/>
      <c r="AT81" s="73"/>
      <c r="AU81" s="22"/>
      <c r="AV81" s="73"/>
      <c r="AW81" s="34"/>
      <c r="AX81" s="132"/>
    </row>
    <row r="82" spans="1:50" ht="21.6" customHeight="1" thickBot="1" x14ac:dyDescent="0.45">
      <c r="A82" s="125" t="s">
        <v>64</v>
      </c>
      <c r="B82" s="126" t="s">
        <v>666</v>
      </c>
      <c r="C82" s="127">
        <f>C54+C57+C80+C71</f>
        <v>516413951.11999995</v>
      </c>
      <c r="D82" s="127">
        <f>D54+D57+D80+D71</f>
        <v>492166247.74000013</v>
      </c>
      <c r="E82" s="128">
        <f t="shared" si="200"/>
        <v>-4.6954005265371523E-2</v>
      </c>
      <c r="F82" s="127">
        <f>F54+F57+F80+F71</f>
        <v>551681114.49662983</v>
      </c>
      <c r="G82" s="128">
        <f>IFERROR(+(D82/F82)-1,0)</f>
        <v>-0.10787910840655268</v>
      </c>
      <c r="H82" s="138"/>
      <c r="I82" s="127">
        <f>I54+I57+I80+I71</f>
        <v>337135254.13000011</v>
      </c>
      <c r="J82" s="127">
        <f>J54+J57+J80+J71</f>
        <v>329313786.6500001</v>
      </c>
      <c r="K82" s="128">
        <f t="shared" si="202"/>
        <v>-2.3199791134818626E-2</v>
      </c>
      <c r="L82" s="127">
        <f>L54+L57+L80+X71</f>
        <v>333021159.38448638</v>
      </c>
      <c r="M82" s="128">
        <f t="shared" ref="M82:M93" si="258">IFERROR(+(J82/L82)-1,0)</f>
        <v>-1.1132544074191952E-2</v>
      </c>
      <c r="N82" s="129"/>
      <c r="O82" s="127">
        <f>O54+O57+O80+O71</f>
        <v>121155602.67999998</v>
      </c>
      <c r="P82" s="127">
        <f>P54+P57+P80+P71</f>
        <v>117543674.05</v>
      </c>
      <c r="Q82" s="128">
        <f t="shared" si="203"/>
        <v>-2.9812312019444343E-2</v>
      </c>
      <c r="R82" s="127">
        <f>R54+R57+R80+R71</f>
        <v>122213929.23318648</v>
      </c>
      <c r="S82" s="128">
        <f t="shared" si="204"/>
        <v>-3.8213771641983252E-2</v>
      </c>
      <c r="T82" s="129"/>
      <c r="U82" s="127">
        <f>U54+U57+U80+U71</f>
        <v>49177466.260000005</v>
      </c>
      <c r="V82" s="127">
        <f>V54+V57+V80+V71</f>
        <v>37930489.480000071</v>
      </c>
      <c r="W82" s="128">
        <f t="shared" si="205"/>
        <v>-0.22870183511564945</v>
      </c>
      <c r="X82" s="127">
        <f>X54+X57+X80+L71</f>
        <v>82702012.269183248</v>
      </c>
      <c r="Y82" s="128">
        <f t="shared" ref="Y82:Y93" si="259">IFERROR(+(V82/X82)-1,0)</f>
        <v>-0.541359533592221</v>
      </c>
      <c r="Z82" s="129"/>
      <c r="AA82" s="127">
        <f>AA54+AA57+AA80+AA71</f>
        <v>1402823.57</v>
      </c>
      <c r="AB82" s="127">
        <f>AB54+AB57+AB80+AB71</f>
        <v>1678471.5399999996</v>
      </c>
      <c r="AC82" s="128">
        <f t="shared" si="207"/>
        <v>0.19649510878976706</v>
      </c>
      <c r="AD82" s="127">
        <f>AD54+AD57+AD80+AD71</f>
        <v>1688666.9438675442</v>
      </c>
      <c r="AE82" s="128">
        <f t="shared" si="208"/>
        <v>-6.0375457129481225E-3</v>
      </c>
      <c r="AF82" s="129"/>
      <c r="AG82" s="127">
        <f>AG54+AG57+AG80+AG71</f>
        <v>6892289.6600000001</v>
      </c>
      <c r="AH82" s="127">
        <f>AH54+AH57+AH80+AH71</f>
        <v>4766224.8</v>
      </c>
      <c r="AI82" s="128">
        <f t="shared" si="209"/>
        <v>-0.30847003896815328</v>
      </c>
      <c r="AJ82" s="127">
        <f>AJ54+AJ57+AJ80+AJ71</f>
        <v>11130302.018809425</v>
      </c>
      <c r="AK82" s="128">
        <f t="shared" si="210"/>
        <v>-0.57177938281050988</v>
      </c>
      <c r="AL82" s="129"/>
      <c r="AM82" s="127">
        <f>AM54+AM57+AM80+AM71</f>
        <v>650514.81999999995</v>
      </c>
      <c r="AN82" s="127">
        <f>AN54+AN57+AN80+AN71</f>
        <v>933601.22</v>
      </c>
      <c r="AO82" s="128">
        <f>IFERROR(AN82/AM82,0)</f>
        <v>1.4351728681600213</v>
      </c>
      <c r="AP82" s="127">
        <f>AP54+AP57+AP80+AP71</f>
        <v>925044.64709658525</v>
      </c>
      <c r="AQ82" s="128">
        <f t="shared" si="212"/>
        <v>9.2499026185071109E-3</v>
      </c>
      <c r="AR82" s="129"/>
      <c r="AS82" s="127">
        <f>AS54+AS57+AS80+AS71</f>
        <v>7542804.4800000004</v>
      </c>
      <c r="AT82" s="127">
        <f>AT54+AT57+AT80+AT71</f>
        <v>5699826.0199999996</v>
      </c>
      <c r="AU82" s="130">
        <f>IFERROR(+(AT82/AS82)-1,0)</f>
        <v>-0.24433597143963104</v>
      </c>
      <c r="AV82" s="120">
        <f>AV54+AV57+AV80+AV71</f>
        <v>12055346.66590601</v>
      </c>
      <c r="AW82" s="119">
        <f t="shared" ref="AW82" si="260">IFERROR(+(AT82/AV82)-1,0)</f>
        <v>-0.52719517920460945</v>
      </c>
      <c r="AX82" s="132"/>
    </row>
    <row r="83" spans="1:50" ht="15" customHeight="1" x14ac:dyDescent="0.3">
      <c r="B83" s="1"/>
      <c r="C83" s="68"/>
      <c r="D83" s="68"/>
      <c r="E83" s="34"/>
      <c r="F83" s="68"/>
      <c r="G83" s="34"/>
      <c r="H83" s="34"/>
      <c r="I83" s="68"/>
      <c r="J83" s="68"/>
      <c r="K83" s="22"/>
      <c r="L83" s="68"/>
      <c r="M83" s="34"/>
      <c r="O83" s="68"/>
      <c r="P83" s="68"/>
      <c r="Q83" s="25"/>
      <c r="R83" s="68"/>
      <c r="S83" s="25"/>
      <c r="U83" s="68"/>
      <c r="V83" s="68"/>
      <c r="W83" s="22"/>
      <c r="X83" s="68"/>
      <c r="Y83" s="25"/>
      <c r="AA83" s="68"/>
      <c r="AB83" s="68"/>
      <c r="AC83" s="4"/>
      <c r="AD83" s="68"/>
      <c r="AE83" s="25"/>
      <c r="AG83" s="68"/>
      <c r="AH83" s="68"/>
      <c r="AI83" s="22"/>
      <c r="AJ83" s="68"/>
      <c r="AK83" s="25"/>
      <c r="AM83" s="68"/>
      <c r="AN83" s="68"/>
      <c r="AO83" s="73"/>
      <c r="AP83" s="68"/>
      <c r="AQ83" s="25"/>
    </row>
    <row r="84" spans="1:50" ht="15" customHeight="1" x14ac:dyDescent="0.3">
      <c r="B84" s="1"/>
      <c r="C84" s="68"/>
      <c r="D84" s="68"/>
      <c r="E84" s="34"/>
      <c r="F84" s="68"/>
      <c r="G84" s="34"/>
      <c r="H84" s="34"/>
      <c r="I84" s="68"/>
      <c r="J84" s="68"/>
      <c r="K84" s="22"/>
      <c r="L84" s="68"/>
      <c r="M84" s="34"/>
      <c r="O84" s="68"/>
      <c r="P84" s="68"/>
      <c r="Q84" s="25"/>
      <c r="R84" s="68"/>
      <c r="S84" s="25"/>
      <c r="U84" s="68"/>
      <c r="V84" s="68"/>
      <c r="W84" s="22"/>
      <c r="X84" s="68"/>
      <c r="Y84" s="25"/>
      <c r="AA84" s="68"/>
      <c r="AB84" s="68"/>
      <c r="AC84" s="4"/>
      <c r="AD84" s="68"/>
      <c r="AE84" s="25"/>
      <c r="AG84" s="68"/>
      <c r="AH84" s="68"/>
      <c r="AI84" s="22"/>
      <c r="AJ84" s="68"/>
      <c r="AK84" s="25"/>
      <c r="AM84" s="68"/>
      <c r="AN84" s="68"/>
      <c r="AO84" s="73"/>
      <c r="AP84" s="68"/>
      <c r="AQ84" s="25"/>
    </row>
    <row r="85" spans="1:50" ht="15" customHeight="1" x14ac:dyDescent="0.3">
      <c r="B85" s="1"/>
      <c r="C85" s="68"/>
      <c r="D85" s="68"/>
      <c r="E85" s="34"/>
      <c r="F85" s="68"/>
      <c r="G85" s="34"/>
      <c r="H85" s="34"/>
      <c r="I85" s="68"/>
      <c r="J85" s="68"/>
      <c r="K85" s="22"/>
      <c r="L85" s="68"/>
      <c r="M85" s="34"/>
      <c r="O85" s="68"/>
      <c r="P85" s="68"/>
      <c r="Q85" s="25"/>
      <c r="R85" s="68"/>
      <c r="S85" s="25"/>
      <c r="U85" s="68"/>
      <c r="V85" s="68"/>
      <c r="W85" s="22"/>
      <c r="X85" s="68"/>
      <c r="Y85" s="25"/>
      <c r="AA85" s="68"/>
      <c r="AB85" s="68"/>
      <c r="AC85" s="4"/>
      <c r="AD85" s="68"/>
      <c r="AE85" s="25"/>
      <c r="AG85" s="68"/>
      <c r="AH85" s="68"/>
      <c r="AI85" s="22"/>
      <c r="AJ85" s="68"/>
      <c r="AK85" s="25"/>
      <c r="AM85" s="68"/>
      <c r="AN85" s="68"/>
      <c r="AO85" s="73"/>
      <c r="AP85" s="68"/>
      <c r="AQ85" s="25"/>
    </row>
    <row r="86" spans="1:50" ht="15" customHeight="1" x14ac:dyDescent="0.3">
      <c r="B86" s="1"/>
      <c r="C86" s="68"/>
      <c r="D86" s="68"/>
      <c r="E86" s="34"/>
      <c r="F86" s="68"/>
      <c r="G86" s="34"/>
      <c r="H86" s="34"/>
      <c r="I86" s="68"/>
      <c r="J86" s="68"/>
      <c r="K86" s="22"/>
      <c r="L86" s="68"/>
      <c r="M86" s="34"/>
      <c r="O86" s="68"/>
      <c r="P86" s="68"/>
      <c r="Q86" s="25"/>
      <c r="R86" s="68"/>
      <c r="S86" s="25"/>
      <c r="U86" s="68"/>
      <c r="V86" s="68"/>
      <c r="W86" s="22"/>
      <c r="X86" s="68"/>
      <c r="Y86" s="25"/>
      <c r="AA86" s="68"/>
      <c r="AB86" s="68"/>
      <c r="AC86" s="4"/>
      <c r="AD86" s="68"/>
      <c r="AE86" s="25"/>
      <c r="AG86" s="68"/>
      <c r="AH86" s="68"/>
      <c r="AI86" s="22"/>
      <c r="AJ86" s="68"/>
      <c r="AK86" s="25"/>
      <c r="AM86" s="68"/>
      <c r="AN86" s="68"/>
      <c r="AO86" s="73"/>
      <c r="AP86" s="68"/>
      <c r="AQ86" s="25"/>
    </row>
    <row r="87" spans="1:50" ht="15" customHeight="1" x14ac:dyDescent="0.3">
      <c r="A87" t="s">
        <v>689</v>
      </c>
      <c r="B87" s="1" t="s">
        <v>688</v>
      </c>
      <c r="C87" s="68">
        <f>C9+C38+C34+C44+C18+C33+C31+C6+C48+C45+C20</f>
        <v>219478391.79999995</v>
      </c>
      <c r="D87" s="68">
        <f>D9+D38+D34+D44+D18+D33+D31+D6+D48+D45+D20</f>
        <v>204171398.79000002</v>
      </c>
      <c r="E87" s="34">
        <f t="shared" si="200"/>
        <v>-6.9742596911082089E-2</v>
      </c>
      <c r="F87" s="68">
        <f>F9+F38+F34+F44+F18+F33+F31+F6+F48+F45+F20</f>
        <v>216245371.50094962</v>
      </c>
      <c r="G87" s="34">
        <f t="shared" ref="G87:G93" si="261">IFERROR(+(D87/F87)-1,0)</f>
        <v>-5.5834594873151233E-2</v>
      </c>
      <c r="H87" s="34"/>
      <c r="I87" s="68">
        <f>I9+I38+I34+I44+I18+I33+I31+I6+I48+I45+I20</f>
        <v>132061089.17999999</v>
      </c>
      <c r="J87" s="68">
        <f>J9+J38+J34+J44+J18+J33+J31+J6+J48+J45+J20</f>
        <v>122403651.67000003</v>
      </c>
      <c r="K87" s="22">
        <f t="shared" si="202"/>
        <v>-7.3128561713108553E-2</v>
      </c>
      <c r="L87" s="68">
        <f>L9+L38+L34+L44+L18+L33+L31+L6+L48+L45+L20</f>
        <v>124522999.79605994</v>
      </c>
      <c r="M87" s="34">
        <f t="shared" si="258"/>
        <v>-1.7019732334837001E-2</v>
      </c>
      <c r="O87" s="68">
        <f>O9+O38+O34+O44+O18+O33+O31+O6+O48+O45+O20</f>
        <v>64478946.269999959</v>
      </c>
      <c r="P87" s="68">
        <f>P9+P38+P34+P44+P18+P33+P31+P6+P48+P45+P20</f>
        <v>62056428.349999994</v>
      </c>
      <c r="Q87" s="25">
        <f t="shared" si="203"/>
        <v>-3.7570680976327986E-2</v>
      </c>
      <c r="R87" s="68">
        <f>R9+R38+R34+R44+R18+R33+R31+R6+R48+R45+R20</f>
        <v>64150522.853489228</v>
      </c>
      <c r="S87" s="25">
        <f t="shared" si="204"/>
        <v>-3.264345184328199E-2</v>
      </c>
      <c r="U87" s="68">
        <f>U9+U38+U34+U44+U18+U33+U31+U6+U48+U45+U20</f>
        <v>15433086.42</v>
      </c>
      <c r="V87" s="68">
        <f>V9+V38+V34+V44+V18+V33+V31+V6+V48+V45+V20</f>
        <v>13322424.100000001</v>
      </c>
      <c r="W87" s="22">
        <f t="shared" si="205"/>
        <v>-0.13676216555521614</v>
      </c>
      <c r="X87" s="68">
        <f>X9+X38+X34+X44+X18+X33+X31+X6+X48+X45+X20</f>
        <v>16097115.602394519</v>
      </c>
      <c r="Y87" s="25">
        <f t="shared" si="259"/>
        <v>-0.17237196842779523</v>
      </c>
      <c r="AA87" s="68">
        <f>AA9+AA38+AA34+AA44+AA18+AA33+AA31+AA6+AA48+AA45+AA20</f>
        <v>1402823.57</v>
      </c>
      <c r="AB87" s="68">
        <f>AB9+AB38+AB34+AB44+AB18+AB33+AB31+AB6+AB48+AB45+AB20</f>
        <v>1678471.5399999996</v>
      </c>
      <c r="AC87" s="4">
        <f t="shared" si="207"/>
        <v>0.19649510878976706</v>
      </c>
      <c r="AD87" s="68">
        <f>AD9+AD38+AD34+AD44+AD18+AD33+AD31+AD6+AD48+AD45+AD20</f>
        <v>1688666.9438675442</v>
      </c>
      <c r="AE87" s="25">
        <f t="shared" si="208"/>
        <v>-6.0375457129481225E-3</v>
      </c>
      <c r="AG87" s="68">
        <f>AG9+AG38+AG34+AG44+AG18+AG33+AG31+AG6+AG48+AG45+AG20</f>
        <v>5559484.6299999999</v>
      </c>
      <c r="AH87" s="68">
        <f>AH9+AH38+AH34+AH44+AH18+AH33+AH31+AH6+AH48+AH45+AH20</f>
        <v>4155095.4599999995</v>
      </c>
      <c r="AI87" s="22">
        <f t="shared" si="209"/>
        <v>-0.25261139538396393</v>
      </c>
      <c r="AJ87" s="68">
        <f>AJ9+AJ38+AJ34+AJ44+AJ18+AJ33+AJ31+AJ6+AJ48+AJ45+AJ20</f>
        <v>9027682.7183710542</v>
      </c>
      <c r="AK87" s="25">
        <f t="shared" si="210"/>
        <v>-0.53973842572640385</v>
      </c>
      <c r="AM87" s="68">
        <f>AM9+AM38+AM34+AM44+AM18+AM33+AM31+AM6+AM48+AM45+AM20</f>
        <v>542961.7300000001</v>
      </c>
      <c r="AN87" s="68">
        <f>AN9+AN38+AN34+AN44+AN18+AN33+AN31+AN6+AN48+AN45+AN20</f>
        <v>555327.67000000004</v>
      </c>
      <c r="AO87" s="73">
        <f t="shared" ref="AO87:AO93" si="262">IFERROR(AN87/AM87,0)</f>
        <v>1.0227749753191628</v>
      </c>
      <c r="AP87" s="68">
        <f>AP9+AP38+AP34+AP44+AP18+AP33+AP31+AP6+AP48+AP45+AP20</f>
        <v>758383.58676733845</v>
      </c>
      <c r="AQ87" s="25">
        <f t="shared" si="212"/>
        <v>-0.26774830087354351</v>
      </c>
    </row>
    <row r="88" spans="1:50" ht="15" customHeight="1" x14ac:dyDescent="0.3">
      <c r="A88" t="s">
        <v>712</v>
      </c>
      <c r="B88" s="1" t="s">
        <v>711</v>
      </c>
      <c r="C88" s="68">
        <f>C32+C49+C12+C7+C39+C17+C77+C78</f>
        <v>125814426.45000005</v>
      </c>
      <c r="D88" s="68">
        <f>D32+D49+D12+D7+D39+D17+D77+D78</f>
        <v>129146918.16000001</v>
      </c>
      <c r="E88" s="34">
        <f t="shared" si="200"/>
        <v>2.6487357642760667E-2</v>
      </c>
      <c r="F88" s="68">
        <f>F32+F49+F12+F7+F39+F17+F77+F78</f>
        <v>145786772.98825762</v>
      </c>
      <c r="G88" s="34">
        <f t="shared" si="261"/>
        <v>-0.1141383027224141</v>
      </c>
      <c r="H88" s="34"/>
      <c r="I88" s="68">
        <f>I32+I49+I12+I7+I39+I17+I77+I78</f>
        <v>111554250.40000005</v>
      </c>
      <c r="J88" s="68">
        <f>J32+J49+J12+J7+J39+J17+J77+J78</f>
        <v>114257525.7</v>
      </c>
      <c r="K88" s="22">
        <f t="shared" si="202"/>
        <v>2.4232831024428192E-2</v>
      </c>
      <c r="L88" s="68">
        <f>L32+L49+L12+L7+L39+L17+L77+L78</f>
        <v>129152869.52200507</v>
      </c>
      <c r="M88" s="34">
        <f t="shared" si="258"/>
        <v>-0.11533111015754238</v>
      </c>
      <c r="O88" s="68">
        <f>O32+O49+O12+O7+O39+O17+O77+O78</f>
        <v>10750029.359999999</v>
      </c>
      <c r="P88" s="68">
        <f>P32+P49+P12+P7+P39+P17+P77+P78</f>
        <v>11232520.860000003</v>
      </c>
      <c r="Q88" s="25">
        <f t="shared" si="203"/>
        <v>4.4882807650304279E-2</v>
      </c>
      <c r="R88" s="68">
        <f>R32+R49+R12+R7+R39+R17+R77+R78</f>
        <v>10308106.827858754</v>
      </c>
      <c r="S88" s="25">
        <f t="shared" si="204"/>
        <v>8.9678351959151525E-2</v>
      </c>
      <c r="U88" s="68">
        <f>U32+U49+U12+U7+U39+U17+U77+U78</f>
        <v>3510146.69</v>
      </c>
      <c r="V88" s="68">
        <f>V32+V49+V12+V7+V39+V17+V77+V78</f>
        <v>3656871.6</v>
      </c>
      <c r="W88" s="22">
        <f t="shared" si="205"/>
        <v>4.1800221745148747E-2</v>
      </c>
      <c r="X88" s="68">
        <f>X32+X49+X12+X7+X39+X17+X77+X78</f>
        <v>6325796.6383938082</v>
      </c>
      <c r="Y88" s="25">
        <f t="shared" si="259"/>
        <v>-0.42191129291052876</v>
      </c>
      <c r="AA88" s="68">
        <f>AA32+AA49+AA12+AA7+AA39+AA17+AA77+AA78</f>
        <v>0</v>
      </c>
      <c r="AB88" s="68">
        <f>AB32+AB49+AB12+AB7+AB39+AB17+AB77+AB78</f>
        <v>0</v>
      </c>
      <c r="AC88" s="4">
        <f t="shared" si="207"/>
        <v>0</v>
      </c>
      <c r="AD88" s="68">
        <f>AD32+AD49+AD12+AD7+AD39+AD17+AD77+AD78</f>
        <v>0</v>
      </c>
      <c r="AE88" s="25">
        <f t="shared" si="208"/>
        <v>0</v>
      </c>
      <c r="AG88" s="68">
        <f>AG32+AG49+AG12+AG7+AG39+AG17+AG77+AG78</f>
        <v>0</v>
      </c>
      <c r="AH88" s="68">
        <f>AH32+AH49+AH12+AH7+AH39+AH17+AH77+AH78</f>
        <v>0</v>
      </c>
      <c r="AI88" s="22">
        <f t="shared" si="209"/>
        <v>0</v>
      </c>
      <c r="AJ88" s="68">
        <f>AJ32+AJ49+AJ12+AJ7+AJ39+AJ17+AJ77+AJ78</f>
        <v>0</v>
      </c>
      <c r="AK88" s="25">
        <f t="shared" si="210"/>
        <v>0</v>
      </c>
      <c r="AM88" s="68">
        <f>AM32+AM49+AM12+AM7+AM39+AM17+AM77+AM78</f>
        <v>0</v>
      </c>
      <c r="AN88" s="68">
        <f>AN32+AN49+AN12+AN7+AN39+AN17+AN77+AN78</f>
        <v>0</v>
      </c>
      <c r="AO88" s="73">
        <f t="shared" si="262"/>
        <v>0</v>
      </c>
      <c r="AP88" s="68">
        <f>AP32+AP49+AP12+AP7+AP39+AP17+AP77+AP78</f>
        <v>0</v>
      </c>
      <c r="AQ88" s="25">
        <f t="shared" si="212"/>
        <v>0</v>
      </c>
    </row>
    <row r="89" spans="1:50" ht="15" customHeight="1" x14ac:dyDescent="0.3">
      <c r="A89" t="s">
        <v>735</v>
      </c>
      <c r="B89" s="1" t="s">
        <v>734</v>
      </c>
      <c r="C89" s="68">
        <f>C13+C14+C35+C41+C19+C40+C8</f>
        <v>92597986.339999974</v>
      </c>
      <c r="D89" s="68">
        <f>D13+D14+D35+D41+D19+D40+D8</f>
        <v>89600290.949999973</v>
      </c>
      <c r="E89" s="34">
        <f t="shared" si="200"/>
        <v>-3.2373224391652577E-2</v>
      </c>
      <c r="F89" s="68">
        <f>F13+F14+F35+F41+F19+F40+F8</f>
        <v>97317486.296382934</v>
      </c>
      <c r="G89" s="34">
        <f t="shared" si="261"/>
        <v>-7.9299164416146595E-2</v>
      </c>
      <c r="H89" s="34"/>
      <c r="I89" s="68">
        <f>I13+I14+I35+I41+I19+I40+I8</f>
        <v>55700940.909999996</v>
      </c>
      <c r="J89" s="68">
        <f>J13+J14+J35+J41+J19+J40+J8</f>
        <v>57141731.939999998</v>
      </c>
      <c r="K89" s="22">
        <f t="shared" si="202"/>
        <v>2.5866547431002918E-2</v>
      </c>
      <c r="L89" s="68">
        <f>L13+L14+L35+L41+L19+L40+L8</f>
        <v>58504516.509472735</v>
      </c>
      <c r="M89" s="34">
        <f t="shared" si="258"/>
        <v>-2.3293664331916708E-2</v>
      </c>
      <c r="O89" s="68">
        <f>O13+O14+O35+O41+O19+O40+O8</f>
        <v>27713181.269999988</v>
      </c>
      <c r="P89" s="68">
        <f>P13+P14+P35+P41+P19+P40+P8</f>
        <v>26493835.069999989</v>
      </c>
      <c r="Q89" s="25">
        <f t="shared" si="203"/>
        <v>-4.3998781234111273E-2</v>
      </c>
      <c r="R89" s="68">
        <f>R13+R14+R35+R41+R19+R40+R8</f>
        <v>28329879.10796966</v>
      </c>
      <c r="S89" s="25">
        <f t="shared" si="204"/>
        <v>-6.4809455450629216E-2</v>
      </c>
      <c r="U89" s="68">
        <f>U13+U14+U35+U41+U19+U40+U8</f>
        <v>7754116.6600000001</v>
      </c>
      <c r="V89" s="68">
        <f>V13+V14+V35+V41+V19+V40+V8</f>
        <v>4975321.0499999989</v>
      </c>
      <c r="W89" s="22">
        <f t="shared" si="205"/>
        <v>-0.35836391581965199</v>
      </c>
      <c r="X89" s="68">
        <f>X13+X14+X35+X41+X19+X40+X8</f>
        <v>8213810.3181729168</v>
      </c>
      <c r="Y89" s="25">
        <f t="shared" si="259"/>
        <v>-0.39427368574701749</v>
      </c>
      <c r="AA89" s="68">
        <f>AA13+AA14+AA35+AA41+AA19+AA40+AA8</f>
        <v>0</v>
      </c>
      <c r="AB89" s="68">
        <f>AB13+AB14+AB35+AB41+AB19+AB40+AB8</f>
        <v>0</v>
      </c>
      <c r="AC89" s="4">
        <f t="shared" si="207"/>
        <v>0</v>
      </c>
      <c r="AD89" s="68">
        <f>AD13+AD14+AD35+AD41+AD19+AD40+AD8</f>
        <v>0</v>
      </c>
      <c r="AE89" s="25">
        <f t="shared" si="208"/>
        <v>0</v>
      </c>
      <c r="AG89" s="68">
        <f>AG13+AG14+AG35+AG41+AG19+AG40+AG8</f>
        <v>1322194.4100000001</v>
      </c>
      <c r="AH89" s="68">
        <f>AH13+AH14+AH35+AH41+AH19+AH40+AH8</f>
        <v>611129.34000000008</v>
      </c>
      <c r="AI89" s="22">
        <f t="shared" si="209"/>
        <v>-0.53779161719493285</v>
      </c>
      <c r="AJ89" s="68">
        <f>AJ13+AJ14+AJ35+AJ41+AJ19+AJ40+AJ8</f>
        <v>2102619.3004383715</v>
      </c>
      <c r="AK89" s="25">
        <f t="shared" si="210"/>
        <v>-0.70934855402849828</v>
      </c>
      <c r="AM89" s="68">
        <f>AM13+AM14+AM35+AM41+AM19+AM40+AM8</f>
        <v>107553.09</v>
      </c>
      <c r="AN89" s="68">
        <f>AN13+AN14+AN35+AN41+AN19+AN40+AN8</f>
        <v>378273.55</v>
      </c>
      <c r="AO89" s="73">
        <f t="shared" si="262"/>
        <v>3.5170867708217401</v>
      </c>
      <c r="AP89" s="68">
        <f>AP13+AP14+AP35+AP41+AP19+AP40+AP8</f>
        <v>166661.06032924689</v>
      </c>
      <c r="AQ89" s="25">
        <f t="shared" si="212"/>
        <v>1.2697176488179212</v>
      </c>
    </row>
    <row r="93" spans="1:50" ht="15" customHeight="1" x14ac:dyDescent="0.3">
      <c r="A93" t="s">
        <v>848</v>
      </c>
      <c r="B93" s="1" t="s">
        <v>847</v>
      </c>
      <c r="C93" s="68">
        <f>C77+C78</f>
        <v>0</v>
      </c>
      <c r="D93" s="68">
        <f>D77+D78</f>
        <v>15557177.609999996</v>
      </c>
      <c r="E93" s="34">
        <f t="shared" si="200"/>
        <v>0</v>
      </c>
      <c r="F93" s="68">
        <f>F77+F78</f>
        <v>25174968.069483642</v>
      </c>
      <c r="G93" s="34">
        <f t="shared" si="261"/>
        <v>-0.38203784143591624</v>
      </c>
      <c r="H93" s="4"/>
      <c r="I93" s="68">
        <f>I77+I78</f>
        <v>0</v>
      </c>
      <c r="J93" s="68">
        <f>J77+J78</f>
        <v>14594804.159999996</v>
      </c>
      <c r="K93" s="22">
        <f t="shared" si="202"/>
        <v>0</v>
      </c>
      <c r="L93" s="68">
        <f>L77+L78</f>
        <v>23774027.151130617</v>
      </c>
      <c r="M93" s="34">
        <f t="shared" si="258"/>
        <v>-0.38610299099848067</v>
      </c>
      <c r="O93" s="68">
        <f>O77+O78</f>
        <v>0</v>
      </c>
      <c r="P93" s="68">
        <f>P77+P78</f>
        <v>0</v>
      </c>
      <c r="Q93" s="25">
        <f t="shared" si="203"/>
        <v>0</v>
      </c>
      <c r="R93" s="68">
        <f>R77+R78</f>
        <v>0</v>
      </c>
      <c r="S93" s="25">
        <f t="shared" si="204"/>
        <v>0</v>
      </c>
      <c r="U93" s="68">
        <f>U77+U78</f>
        <v>0</v>
      </c>
      <c r="V93" s="68">
        <f>V77+V78</f>
        <v>962373.44999999984</v>
      </c>
      <c r="W93" s="22">
        <f t="shared" si="205"/>
        <v>0</v>
      </c>
      <c r="X93" s="68">
        <f>X77+X78</f>
        <v>1400940.9183530239</v>
      </c>
      <c r="Y93" s="25">
        <f t="shared" si="259"/>
        <v>-0.31305207993254514</v>
      </c>
      <c r="AA93" s="68">
        <f>AA77+AA78</f>
        <v>0</v>
      </c>
      <c r="AB93" s="68">
        <f>AB77+AB78</f>
        <v>0</v>
      </c>
      <c r="AC93" s="4">
        <f t="shared" si="207"/>
        <v>0</v>
      </c>
      <c r="AD93" s="68">
        <f>AD77+AD78</f>
        <v>0</v>
      </c>
      <c r="AE93" s="25">
        <f t="shared" si="208"/>
        <v>0</v>
      </c>
      <c r="AG93" s="68">
        <f>AG77+AG78</f>
        <v>0</v>
      </c>
      <c r="AH93" s="68">
        <f>AH77+AH78</f>
        <v>0</v>
      </c>
      <c r="AI93" s="22">
        <f t="shared" si="209"/>
        <v>0</v>
      </c>
      <c r="AJ93" s="68">
        <f>AJ77+AJ78</f>
        <v>0</v>
      </c>
      <c r="AK93" s="25">
        <f t="shared" si="210"/>
        <v>0</v>
      </c>
      <c r="AM93" s="68">
        <f>AM77+AM78</f>
        <v>0</v>
      </c>
      <c r="AN93" s="68">
        <f>AN77+AN78</f>
        <v>0</v>
      </c>
      <c r="AO93" s="73">
        <f t="shared" si="262"/>
        <v>0</v>
      </c>
      <c r="AP93" s="68">
        <f>AP77+AP78</f>
        <v>0</v>
      </c>
      <c r="AQ93" s="25">
        <f t="shared" si="212"/>
        <v>0</v>
      </c>
    </row>
    <row r="94" spans="1:50" ht="15" customHeight="1" x14ac:dyDescent="0.3">
      <c r="C94" s="68"/>
      <c r="D94" s="68"/>
      <c r="E94" s="68"/>
      <c r="F94" s="68"/>
      <c r="G94" s="4"/>
      <c r="H94" s="4"/>
      <c r="K94" s="22"/>
      <c r="L94" s="30"/>
      <c r="M94" s="22"/>
      <c r="Q94" s="22"/>
      <c r="W94" s="22"/>
      <c r="X94" s="22"/>
      <c r="Y94" s="22"/>
      <c r="AO94" s="22"/>
    </row>
    <row r="95" spans="1:50" ht="15" customHeight="1" x14ac:dyDescent="0.3">
      <c r="C95" s="68"/>
      <c r="D95" s="68"/>
      <c r="E95" s="68"/>
      <c r="F95" s="68"/>
      <c r="G95" s="4"/>
      <c r="H95" s="4"/>
      <c r="K95" s="22"/>
      <c r="L95" s="30"/>
      <c r="M95" s="22"/>
      <c r="Q95" s="22"/>
      <c r="W95" s="22"/>
      <c r="X95" s="22"/>
      <c r="Y95" s="22"/>
      <c r="AO95" s="22"/>
    </row>
    <row r="96" spans="1:50" ht="15" customHeight="1" x14ac:dyDescent="0.3">
      <c r="C96" s="68"/>
      <c r="D96" s="68"/>
      <c r="E96" s="4"/>
      <c r="F96" s="4"/>
      <c r="G96" s="4"/>
      <c r="H96" s="4"/>
      <c r="K96" s="22"/>
      <c r="L96" s="30"/>
      <c r="M96" s="22"/>
      <c r="Q96" s="22"/>
      <c r="W96" s="22"/>
      <c r="X96" s="22"/>
      <c r="Y96" s="22"/>
      <c r="AO96" s="22"/>
    </row>
    <row r="97" spans="3:41" ht="15" customHeight="1" x14ac:dyDescent="0.3">
      <c r="C97" s="68"/>
      <c r="D97" s="68"/>
      <c r="E97" s="22"/>
      <c r="F97" s="16"/>
      <c r="G97" s="34"/>
      <c r="H97" s="34"/>
      <c r="K97" s="22"/>
      <c r="L97" s="30"/>
      <c r="M97" s="22"/>
      <c r="Q97" s="22"/>
      <c r="W97" s="22"/>
      <c r="X97" s="22"/>
      <c r="Y97" s="22"/>
      <c r="AO97" s="22"/>
    </row>
    <row r="98" spans="3:41" ht="15" customHeight="1" x14ac:dyDescent="0.3">
      <c r="E98" s="4"/>
      <c r="F98" s="4"/>
      <c r="G98" s="4"/>
      <c r="H98" s="4"/>
      <c r="K98" s="22"/>
      <c r="L98" s="30"/>
      <c r="M98" s="22"/>
      <c r="Q98" s="22"/>
      <c r="W98" s="22"/>
      <c r="X98" s="22"/>
      <c r="Y98" s="22"/>
      <c r="AO98" s="22"/>
    </row>
    <row r="99" spans="3:41" ht="15" customHeight="1" x14ac:dyDescent="0.3">
      <c r="E99" s="4"/>
      <c r="F99" s="4"/>
      <c r="G99" s="4"/>
      <c r="H99" s="4"/>
      <c r="K99" s="22"/>
      <c r="L99" s="30"/>
      <c r="M99" s="22"/>
      <c r="Q99" s="22"/>
      <c r="W99" s="22"/>
      <c r="X99" s="22"/>
      <c r="Y99" s="22"/>
      <c r="AO99" s="22"/>
    </row>
    <row r="100" spans="3:41" ht="15" customHeight="1" x14ac:dyDescent="0.3">
      <c r="E100" s="4"/>
      <c r="F100" s="4"/>
      <c r="G100" s="4"/>
      <c r="H100" s="4"/>
      <c r="K100" s="22"/>
      <c r="L100" s="30"/>
      <c r="M100" s="22"/>
      <c r="Q100" s="22"/>
      <c r="W100" s="22"/>
      <c r="X100" s="22"/>
      <c r="Y100" s="22"/>
      <c r="AO100" s="22"/>
    </row>
    <row r="101" spans="3:41" ht="15" customHeight="1" x14ac:dyDescent="0.3">
      <c r="C101" s="68"/>
      <c r="D101" s="68"/>
      <c r="E101" s="68"/>
      <c r="F101" s="68"/>
      <c r="G101" s="4"/>
      <c r="H101" s="4"/>
      <c r="K101" s="22"/>
      <c r="L101" s="30"/>
      <c r="M101" s="22"/>
      <c r="Q101" s="22"/>
      <c r="W101" s="22"/>
      <c r="X101" s="22"/>
      <c r="Y101" s="22"/>
      <c r="AO101" s="22"/>
    </row>
    <row r="102" spans="3:41" ht="15" customHeight="1" x14ac:dyDescent="0.3">
      <c r="E102" s="4"/>
      <c r="F102" s="4"/>
      <c r="G102" s="4"/>
      <c r="H102" s="4"/>
      <c r="K102" s="22"/>
      <c r="L102" s="30"/>
      <c r="M102" s="22"/>
      <c r="Q102" s="22"/>
      <c r="W102" s="22"/>
      <c r="X102" s="22"/>
      <c r="Y102" s="22"/>
      <c r="AO102" s="22"/>
    </row>
    <row r="103" spans="3:41" ht="15" customHeight="1" x14ac:dyDescent="0.3">
      <c r="C103" s="68"/>
      <c r="D103" s="68"/>
      <c r="E103" s="68"/>
      <c r="F103" s="68"/>
      <c r="G103" s="4"/>
      <c r="H103" s="4"/>
      <c r="K103" s="22"/>
      <c r="L103" s="30"/>
      <c r="M103" s="22"/>
      <c r="Q103" s="22"/>
      <c r="W103" s="22"/>
      <c r="X103" s="22"/>
      <c r="Y103" s="22"/>
      <c r="AO103" s="22"/>
    </row>
    <row r="104" spans="3:41" ht="15" customHeight="1" x14ac:dyDescent="0.3">
      <c r="E104" s="4"/>
      <c r="F104" s="4"/>
      <c r="G104" s="4"/>
      <c r="H104" s="4"/>
      <c r="K104" s="22"/>
      <c r="L104" s="30"/>
      <c r="M104" s="22"/>
      <c r="Q104" s="22"/>
      <c r="W104" s="22"/>
      <c r="X104" s="22"/>
      <c r="Y104" s="22"/>
      <c r="AO104" s="22"/>
    </row>
    <row r="105" spans="3:41" ht="15" customHeight="1" x14ac:dyDescent="0.3">
      <c r="E105" s="4"/>
      <c r="F105" s="4"/>
      <c r="G105" s="4"/>
      <c r="H105" s="4"/>
      <c r="K105" s="22"/>
      <c r="L105" s="30"/>
      <c r="M105" s="22"/>
      <c r="Q105" s="22"/>
      <c r="W105" s="22"/>
      <c r="X105" s="22"/>
      <c r="Y105" s="22"/>
      <c r="AO105" s="22"/>
    </row>
    <row r="106" spans="3:41" ht="15" customHeight="1" x14ac:dyDescent="0.3">
      <c r="E106" s="4"/>
      <c r="F106" s="4"/>
      <c r="G106" s="4"/>
      <c r="H106" s="4"/>
      <c r="K106" s="22"/>
      <c r="L106" s="30"/>
      <c r="M106" s="22"/>
      <c r="Q106" s="22"/>
      <c r="W106" s="22"/>
      <c r="X106" s="22"/>
      <c r="Y106" s="22"/>
      <c r="AO106" s="22"/>
    </row>
    <row r="107" spans="3:41" ht="15" customHeight="1" x14ac:dyDescent="0.3">
      <c r="E107" s="4"/>
      <c r="F107" s="4"/>
      <c r="G107" s="4"/>
      <c r="H107" s="4"/>
      <c r="K107" s="22"/>
      <c r="L107" s="30"/>
      <c r="M107" s="22"/>
      <c r="Q107" s="22"/>
      <c r="W107" s="22"/>
      <c r="X107" s="22"/>
      <c r="Y107" s="22"/>
      <c r="AO107" s="22"/>
    </row>
    <row r="108" spans="3:41" ht="15" customHeight="1" x14ac:dyDescent="0.3">
      <c r="E108" s="4"/>
      <c r="F108" s="4"/>
      <c r="G108" s="4"/>
      <c r="H108" s="4"/>
      <c r="K108" s="4"/>
      <c r="L108" s="31"/>
      <c r="M108" s="4"/>
      <c r="Q108" s="22"/>
      <c r="W108" s="22"/>
      <c r="X108" s="22"/>
      <c r="Y108" s="22"/>
      <c r="AO108" s="22"/>
    </row>
    <row r="109" spans="3:41" ht="15" customHeight="1" x14ac:dyDescent="0.3">
      <c r="E109" s="4"/>
      <c r="F109" s="4"/>
      <c r="G109" s="4"/>
      <c r="H109" s="4"/>
      <c r="Q109" s="22"/>
      <c r="W109" s="22"/>
      <c r="X109" s="22"/>
      <c r="Y109" s="22"/>
      <c r="AO109" s="22"/>
    </row>
    <row r="110" spans="3:41" ht="15" customHeight="1" x14ac:dyDescent="0.3">
      <c r="E110" s="4"/>
      <c r="F110" s="4"/>
      <c r="G110" s="4"/>
      <c r="H110" s="4"/>
      <c r="Q110" s="22"/>
      <c r="W110" s="22"/>
      <c r="X110" s="22"/>
      <c r="Y110" s="22"/>
      <c r="AO110" s="22"/>
    </row>
    <row r="111" spans="3:41" ht="15" customHeight="1" x14ac:dyDescent="0.3">
      <c r="E111" s="4"/>
      <c r="F111" s="4"/>
      <c r="G111" s="4"/>
      <c r="H111" s="4"/>
      <c r="Q111" s="22"/>
      <c r="W111" s="22"/>
      <c r="X111" s="22"/>
      <c r="Y111" s="22"/>
      <c r="AO111" s="22"/>
    </row>
    <row r="112" spans="3:41" ht="15" customHeight="1" x14ac:dyDescent="0.3">
      <c r="E112" s="4"/>
      <c r="F112" s="4"/>
      <c r="G112" s="4"/>
      <c r="H112" s="4"/>
      <c r="Q112" s="22"/>
      <c r="W112" s="22"/>
      <c r="X112" s="22"/>
      <c r="Y112" s="22"/>
      <c r="AO112" s="22"/>
    </row>
    <row r="113" spans="5:41" ht="15" customHeight="1" x14ac:dyDescent="0.3">
      <c r="E113" s="4"/>
      <c r="F113" s="4"/>
      <c r="G113" s="4"/>
      <c r="H113" s="4"/>
      <c r="Q113" s="22"/>
      <c r="W113" s="22"/>
      <c r="X113" s="22"/>
      <c r="Y113" s="22"/>
      <c r="AO113" s="22"/>
    </row>
    <row r="114" spans="5:41" ht="15" customHeight="1" x14ac:dyDescent="0.3">
      <c r="E114" s="4"/>
      <c r="F114" s="4"/>
      <c r="G114" s="4"/>
      <c r="H114" s="4"/>
      <c r="Q114" s="22"/>
      <c r="W114" s="22"/>
      <c r="X114" s="22"/>
      <c r="Y114" s="22"/>
      <c r="AO114" s="22"/>
    </row>
    <row r="115" spans="5:41" ht="15" customHeight="1" x14ac:dyDescent="0.3">
      <c r="E115" s="4"/>
      <c r="F115" s="4"/>
      <c r="G115" s="4"/>
      <c r="H115" s="4"/>
      <c r="Q115" s="22"/>
      <c r="W115" s="22"/>
      <c r="X115" s="22"/>
      <c r="Y115" s="22"/>
      <c r="AO115" s="22"/>
    </row>
    <row r="116" spans="5:41" ht="15" customHeight="1" x14ac:dyDescent="0.3">
      <c r="E116" s="4"/>
      <c r="F116" s="4"/>
      <c r="G116" s="4"/>
      <c r="H116" s="4"/>
      <c r="Q116" s="22"/>
      <c r="W116" s="22"/>
      <c r="X116" s="22"/>
      <c r="Y116" s="22"/>
      <c r="AO116" s="22"/>
    </row>
    <row r="117" spans="5:41" ht="15" customHeight="1" x14ac:dyDescent="0.3">
      <c r="E117" s="4"/>
      <c r="F117" s="4"/>
      <c r="G117" s="4"/>
      <c r="H117" s="4"/>
      <c r="Q117" s="22"/>
      <c r="W117" s="22"/>
      <c r="X117" s="22"/>
      <c r="Y117" s="22"/>
      <c r="AO117" s="22"/>
    </row>
    <row r="118" spans="5:41" ht="15" customHeight="1" x14ac:dyDescent="0.3">
      <c r="E118" s="4"/>
      <c r="F118" s="4"/>
      <c r="G118" s="4"/>
      <c r="H118" s="4"/>
      <c r="Q118" s="22"/>
      <c r="W118" s="22"/>
      <c r="X118" s="22"/>
      <c r="Y118" s="22"/>
      <c r="AO118" s="22"/>
    </row>
    <row r="119" spans="5:41" ht="15" customHeight="1" x14ac:dyDescent="0.3">
      <c r="E119" s="4"/>
      <c r="F119" s="4"/>
      <c r="G119" s="4"/>
      <c r="H119" s="4"/>
      <c r="Q119" s="22"/>
      <c r="W119" s="22"/>
      <c r="X119" s="22"/>
      <c r="Y119" s="22"/>
      <c r="AO119" s="22"/>
    </row>
    <row r="120" spans="5:41" ht="15" customHeight="1" x14ac:dyDescent="0.3">
      <c r="E120" s="4"/>
      <c r="F120" s="4"/>
      <c r="G120" s="4"/>
      <c r="H120" s="4"/>
      <c r="Q120" s="22"/>
      <c r="W120" s="22"/>
      <c r="X120" s="22"/>
      <c r="Y120" s="22"/>
      <c r="AO120" s="22"/>
    </row>
    <row r="121" spans="5:41" ht="15" customHeight="1" x14ac:dyDescent="0.3">
      <c r="E121" s="4"/>
      <c r="F121" s="4"/>
      <c r="G121" s="4"/>
      <c r="H121" s="4"/>
      <c r="Q121" s="22"/>
      <c r="W121" s="22"/>
      <c r="X121" s="22"/>
      <c r="Y121" s="22"/>
      <c r="AO121" s="22"/>
    </row>
    <row r="122" spans="5:41" ht="15" customHeight="1" x14ac:dyDescent="0.3">
      <c r="E122" s="4"/>
      <c r="F122" s="4"/>
      <c r="G122" s="4"/>
      <c r="H122" s="4"/>
      <c r="Q122" s="22"/>
      <c r="W122" s="22"/>
      <c r="X122" s="22"/>
      <c r="Y122" s="22"/>
      <c r="AO122" s="22"/>
    </row>
    <row r="123" spans="5:41" ht="15" customHeight="1" x14ac:dyDescent="0.3">
      <c r="E123" s="4"/>
      <c r="F123" s="4"/>
      <c r="G123" s="4"/>
      <c r="H123" s="4"/>
      <c r="Q123" s="22"/>
      <c r="AO123" s="22"/>
    </row>
    <row r="124" spans="5:41" ht="15" customHeight="1" x14ac:dyDescent="0.3">
      <c r="E124" s="4"/>
      <c r="F124" s="4"/>
      <c r="G124" s="4"/>
      <c r="H124" s="4"/>
      <c r="Q124" s="22"/>
      <c r="AO124" s="22"/>
    </row>
    <row r="125" spans="5:41" ht="15" customHeight="1" x14ac:dyDescent="0.3">
      <c r="E125" s="4"/>
      <c r="F125" s="4"/>
      <c r="G125" s="4"/>
      <c r="H125" s="4"/>
      <c r="Q125" s="22"/>
      <c r="AO125" s="22"/>
    </row>
    <row r="126" spans="5:41" ht="15" customHeight="1" x14ac:dyDescent="0.3">
      <c r="E126" s="4"/>
      <c r="F126" s="4"/>
      <c r="G126" s="4"/>
      <c r="H126" s="4"/>
      <c r="Q126" s="22"/>
      <c r="AO126" s="22"/>
    </row>
    <row r="127" spans="5:41" ht="15" customHeight="1" x14ac:dyDescent="0.3">
      <c r="E127" s="4"/>
      <c r="F127" s="4"/>
      <c r="G127" s="4"/>
      <c r="H127" s="4"/>
      <c r="Q127" s="22"/>
      <c r="AO127" s="22"/>
    </row>
    <row r="128" spans="5:41" ht="15" customHeight="1" x14ac:dyDescent="0.3">
      <c r="E128" s="4"/>
      <c r="F128" s="4"/>
      <c r="G128" s="4"/>
      <c r="H128" s="4"/>
      <c r="Q128" s="22"/>
      <c r="AO128" s="22"/>
    </row>
    <row r="129" spans="5:41" ht="15" customHeight="1" x14ac:dyDescent="0.3">
      <c r="E129" s="4"/>
      <c r="F129" s="4"/>
      <c r="G129" s="4"/>
      <c r="H129" s="4"/>
      <c r="Q129" s="22"/>
      <c r="AO129" s="22"/>
    </row>
    <row r="130" spans="5:41" ht="15" customHeight="1" x14ac:dyDescent="0.3">
      <c r="E130" s="4"/>
      <c r="F130" s="4"/>
      <c r="G130" s="4"/>
      <c r="H130" s="4"/>
      <c r="Q130" s="22"/>
      <c r="AO130" s="22"/>
    </row>
    <row r="131" spans="5:41" ht="15" customHeight="1" x14ac:dyDescent="0.3">
      <c r="E131" s="4"/>
      <c r="F131" s="4"/>
      <c r="G131" s="4"/>
      <c r="H131" s="4"/>
      <c r="Q131" s="22"/>
      <c r="AO131" s="22"/>
    </row>
    <row r="132" spans="5:41" ht="15" customHeight="1" x14ac:dyDescent="0.3">
      <c r="E132" s="4"/>
      <c r="F132" s="4"/>
      <c r="G132" s="4"/>
      <c r="H132" s="4"/>
      <c r="Q132" s="22"/>
      <c r="AO132" s="22"/>
    </row>
    <row r="133" spans="5:41" ht="15" customHeight="1" x14ac:dyDescent="0.3">
      <c r="E133" s="4"/>
      <c r="F133" s="4"/>
      <c r="G133" s="4"/>
      <c r="H133" s="4"/>
      <c r="Q133" s="22"/>
      <c r="AO133" s="22"/>
    </row>
    <row r="134" spans="5:41" ht="15" customHeight="1" x14ac:dyDescent="0.3">
      <c r="E134" s="4"/>
      <c r="F134" s="4"/>
      <c r="G134" s="4"/>
      <c r="H134" s="4"/>
      <c r="Q134" s="22"/>
      <c r="AO134" s="22"/>
    </row>
    <row r="135" spans="5:41" ht="15" customHeight="1" x14ac:dyDescent="0.3">
      <c r="E135" s="4"/>
      <c r="F135" s="4"/>
      <c r="G135" s="4"/>
      <c r="H135" s="4"/>
      <c r="Q135" s="22"/>
      <c r="AO135" s="22"/>
    </row>
    <row r="136" spans="5:41" ht="15" customHeight="1" x14ac:dyDescent="0.3">
      <c r="E136" s="4"/>
      <c r="F136" s="4"/>
      <c r="G136" s="4"/>
      <c r="H136" s="4"/>
      <c r="Q136" s="22"/>
      <c r="AO136" s="22"/>
    </row>
    <row r="137" spans="5:41" ht="15" customHeight="1" x14ac:dyDescent="0.3">
      <c r="E137" s="4"/>
      <c r="F137" s="4"/>
      <c r="G137" s="4"/>
      <c r="H137" s="4"/>
      <c r="Q137" s="22"/>
      <c r="AO137" s="22"/>
    </row>
    <row r="138" spans="5:41" ht="15" customHeight="1" x14ac:dyDescent="0.3">
      <c r="E138" s="4"/>
      <c r="F138" s="4"/>
      <c r="G138" s="4"/>
      <c r="H138" s="4"/>
      <c r="Q138" s="22"/>
      <c r="AO138" s="22"/>
    </row>
    <row r="139" spans="5:41" ht="15" customHeight="1" x14ac:dyDescent="0.3">
      <c r="E139" s="4"/>
      <c r="F139" s="4"/>
      <c r="G139" s="4"/>
      <c r="H139" s="4"/>
      <c r="Q139" s="22"/>
      <c r="AO139" s="22"/>
    </row>
    <row r="140" spans="5:41" ht="15" customHeight="1" x14ac:dyDescent="0.3">
      <c r="E140" s="4"/>
      <c r="F140" s="4"/>
      <c r="G140" s="4"/>
      <c r="H140" s="4"/>
      <c r="Q140" s="22"/>
      <c r="AO140" s="22"/>
    </row>
    <row r="141" spans="5:41" ht="15" customHeight="1" x14ac:dyDescent="0.3">
      <c r="E141" s="4"/>
      <c r="F141" s="4"/>
      <c r="G141" s="4"/>
      <c r="H141" s="4"/>
      <c r="Q141" s="22"/>
      <c r="AO141" s="22"/>
    </row>
    <row r="142" spans="5:41" ht="15" customHeight="1" x14ac:dyDescent="0.3">
      <c r="E142" s="4"/>
      <c r="F142" s="4"/>
      <c r="G142" s="4"/>
      <c r="H142" s="4"/>
      <c r="Q142" s="22"/>
      <c r="AO142" s="22"/>
    </row>
    <row r="143" spans="5:41" ht="15" customHeight="1" x14ac:dyDescent="0.3">
      <c r="E143" s="4"/>
      <c r="F143" s="4"/>
      <c r="G143" s="4"/>
      <c r="H143" s="4"/>
      <c r="Q143" s="22"/>
      <c r="AO143" s="22"/>
    </row>
    <row r="144" spans="5:41" ht="15" customHeight="1" x14ac:dyDescent="0.3">
      <c r="E144" s="4"/>
      <c r="F144" s="4"/>
      <c r="G144" s="4"/>
      <c r="H144" s="4"/>
      <c r="Q144" s="22"/>
      <c r="AO144" s="22"/>
    </row>
    <row r="145" spans="5:41" ht="15" customHeight="1" x14ac:dyDescent="0.3">
      <c r="E145" s="4"/>
      <c r="F145" s="4"/>
      <c r="G145" s="4"/>
      <c r="H145" s="4"/>
      <c r="Q145" s="22"/>
      <c r="AO145" s="22"/>
    </row>
    <row r="146" spans="5:41" ht="15" customHeight="1" x14ac:dyDescent="0.3">
      <c r="E146" s="4"/>
      <c r="F146" s="4"/>
      <c r="G146" s="4"/>
      <c r="H146" s="4"/>
      <c r="Q146" s="22"/>
      <c r="AO146" s="22"/>
    </row>
    <row r="147" spans="5:41" ht="15" customHeight="1" x14ac:dyDescent="0.3">
      <c r="E147" s="4"/>
      <c r="F147" s="4"/>
      <c r="G147" s="4"/>
      <c r="H147" s="4"/>
      <c r="Q147" s="22"/>
      <c r="AO147" s="22"/>
    </row>
    <row r="148" spans="5:41" ht="15" customHeight="1" x14ac:dyDescent="0.3">
      <c r="E148" s="4"/>
      <c r="F148" s="4"/>
      <c r="G148" s="4"/>
      <c r="H148" s="4"/>
    </row>
    <row r="149" spans="5:41" ht="15" customHeight="1" x14ac:dyDescent="0.3">
      <c r="E149" s="4"/>
      <c r="F149" s="4"/>
      <c r="G149" s="4"/>
      <c r="H149" s="4"/>
    </row>
    <row r="150" spans="5:41" ht="15" customHeight="1" x14ac:dyDescent="0.3">
      <c r="E150" s="4"/>
      <c r="F150" s="4"/>
      <c r="G150" s="4"/>
      <c r="H150" s="4"/>
    </row>
    <row r="151" spans="5:41" ht="15" customHeight="1" x14ac:dyDescent="0.3">
      <c r="E151" s="4"/>
      <c r="F151" s="4"/>
      <c r="G151" s="4"/>
      <c r="H151" s="4"/>
    </row>
    <row r="152" spans="5:41" ht="15" customHeight="1" x14ac:dyDescent="0.3">
      <c r="E152" s="4"/>
      <c r="F152" s="4"/>
      <c r="G152" s="4"/>
      <c r="H152" s="4"/>
    </row>
    <row r="153" spans="5:41" ht="15" customHeight="1" x14ac:dyDescent="0.3">
      <c r="E153" s="4"/>
      <c r="F153" s="4"/>
      <c r="G153" s="4"/>
      <c r="H153" s="4"/>
    </row>
    <row r="154" spans="5:41" ht="15" customHeight="1" x14ac:dyDescent="0.3">
      <c r="E154" s="4"/>
      <c r="F154" s="4"/>
      <c r="G154" s="4"/>
      <c r="H154" s="4"/>
    </row>
    <row r="155" spans="5:41" ht="15" customHeight="1" x14ac:dyDescent="0.3">
      <c r="E155" s="4"/>
      <c r="F155" s="4"/>
      <c r="G155" s="4"/>
      <c r="H155" s="4"/>
    </row>
    <row r="156" spans="5:41" ht="15" customHeight="1" x14ac:dyDescent="0.3">
      <c r="E156" s="4"/>
      <c r="F156" s="4"/>
      <c r="G156" s="4"/>
      <c r="H156" s="4"/>
    </row>
    <row r="157" spans="5:41" ht="15" customHeight="1" x14ac:dyDescent="0.3">
      <c r="E157" s="4"/>
      <c r="F157" s="4"/>
      <c r="G157" s="4"/>
      <c r="H157" s="4"/>
    </row>
    <row r="158" spans="5:41" ht="15" customHeight="1" x14ac:dyDescent="0.3">
      <c r="E158" s="4"/>
      <c r="F158" s="4"/>
      <c r="G158" s="4"/>
      <c r="H158" s="4"/>
    </row>
    <row r="159" spans="5:41" ht="15" customHeight="1" x14ac:dyDescent="0.3">
      <c r="E159" s="4"/>
      <c r="F159" s="4"/>
      <c r="G159" s="4"/>
      <c r="H159" s="4"/>
    </row>
    <row r="160" spans="5:41" ht="15" customHeight="1" x14ac:dyDescent="0.3">
      <c r="E160" s="4"/>
      <c r="F160" s="4"/>
      <c r="G160" s="4"/>
      <c r="H160" s="4"/>
    </row>
    <row r="161" spans="5:8" ht="15" customHeight="1" x14ac:dyDescent="0.3">
      <c r="E161" s="4"/>
      <c r="F161" s="4"/>
      <c r="G161" s="4"/>
      <c r="H161" s="4"/>
    </row>
    <row r="162" spans="5:8" ht="15" customHeight="1" x14ac:dyDescent="0.3">
      <c r="E162" s="4"/>
      <c r="F162" s="4"/>
      <c r="G162" s="4"/>
      <c r="H162" s="4"/>
    </row>
    <row r="163" spans="5:8" ht="15" customHeight="1" x14ac:dyDescent="0.3">
      <c r="E163" s="4"/>
      <c r="F163" s="4"/>
      <c r="G163" s="4"/>
      <c r="H163" s="4"/>
    </row>
    <row r="164" spans="5:8" ht="15" customHeight="1" x14ac:dyDescent="0.3">
      <c r="E164" s="4"/>
      <c r="F164" s="4"/>
      <c r="G164" s="4"/>
      <c r="H164" s="4"/>
    </row>
    <row r="165" spans="5:8" ht="15" customHeight="1" x14ac:dyDescent="0.3">
      <c r="E165" s="4"/>
      <c r="F165" s="4"/>
      <c r="G165" s="4"/>
      <c r="H165" s="4"/>
    </row>
    <row r="166" spans="5:8" ht="15" customHeight="1" x14ac:dyDescent="0.3">
      <c r="E166" s="4"/>
      <c r="F166" s="4"/>
      <c r="G166" s="4"/>
      <c r="H166" s="4"/>
    </row>
    <row r="167" spans="5:8" ht="15" customHeight="1" x14ac:dyDescent="0.3">
      <c r="E167" s="4"/>
      <c r="F167" s="4"/>
      <c r="G167" s="4"/>
      <c r="H167" s="4"/>
    </row>
    <row r="168" spans="5:8" ht="15" customHeight="1" x14ac:dyDescent="0.3">
      <c r="E168" s="4"/>
      <c r="F168" s="4"/>
      <c r="G168" s="4"/>
      <c r="H168" s="4"/>
    </row>
    <row r="169" spans="5:8" ht="15" customHeight="1" x14ac:dyDescent="0.3">
      <c r="E169" s="4"/>
      <c r="F169" s="4"/>
      <c r="G169" s="4"/>
      <c r="H169" s="4"/>
    </row>
    <row r="170" spans="5:8" ht="15" customHeight="1" x14ac:dyDescent="0.3">
      <c r="E170" s="4"/>
      <c r="F170" s="4"/>
      <c r="G170" s="4"/>
      <c r="H170" s="4"/>
    </row>
    <row r="171" spans="5:8" ht="15" customHeight="1" x14ac:dyDescent="0.3">
      <c r="E171" s="4"/>
      <c r="F171" s="4"/>
      <c r="G171" s="4"/>
      <c r="H171" s="4"/>
    </row>
    <row r="172" spans="5:8" ht="15" customHeight="1" x14ac:dyDescent="0.3">
      <c r="E172" s="4"/>
      <c r="F172" s="4"/>
      <c r="G172" s="4"/>
      <c r="H172" s="4"/>
    </row>
    <row r="173" spans="5:8" ht="15" customHeight="1" x14ac:dyDescent="0.3">
      <c r="E173" s="4"/>
      <c r="F173" s="4"/>
      <c r="G173" s="4"/>
      <c r="H173" s="4"/>
    </row>
    <row r="174" spans="5:8" ht="15" customHeight="1" x14ac:dyDescent="0.3">
      <c r="E174" s="4"/>
      <c r="F174" s="4"/>
      <c r="G174" s="4"/>
      <c r="H174" s="4"/>
    </row>
    <row r="175" spans="5:8" ht="15" customHeight="1" x14ac:dyDescent="0.3">
      <c r="E175" s="4"/>
      <c r="F175" s="4"/>
      <c r="G175" s="4"/>
      <c r="H175" s="4"/>
    </row>
    <row r="176" spans="5:8" ht="15" customHeight="1" x14ac:dyDescent="0.3">
      <c r="E176" s="4"/>
      <c r="F176" s="4"/>
      <c r="G176" s="4"/>
      <c r="H176" s="4"/>
    </row>
    <row r="177" spans="5:8" ht="15" customHeight="1" x14ac:dyDescent="0.3">
      <c r="E177" s="4"/>
      <c r="F177" s="4"/>
      <c r="G177" s="4"/>
      <c r="H177" s="4"/>
    </row>
    <row r="178" spans="5:8" ht="15" customHeight="1" x14ac:dyDescent="0.3">
      <c r="E178" s="4"/>
      <c r="F178" s="4"/>
      <c r="G178" s="4"/>
      <c r="H178" s="4"/>
    </row>
    <row r="179" spans="5:8" ht="15" customHeight="1" x14ac:dyDescent="0.3">
      <c r="E179" s="4"/>
      <c r="F179" s="4"/>
      <c r="G179" s="4"/>
      <c r="H179" s="4"/>
    </row>
    <row r="180" spans="5:8" ht="15" customHeight="1" x14ac:dyDescent="0.3">
      <c r="E180" s="4"/>
      <c r="F180" s="4"/>
      <c r="G180" s="4"/>
      <c r="H180" s="4"/>
    </row>
    <row r="181" spans="5:8" ht="15" customHeight="1" x14ac:dyDescent="0.3">
      <c r="E181" s="4"/>
      <c r="F181" s="4"/>
      <c r="G181" s="4"/>
      <c r="H181" s="4"/>
    </row>
    <row r="182" spans="5:8" ht="15" customHeight="1" x14ac:dyDescent="0.3">
      <c r="E182" s="4"/>
      <c r="F182" s="4"/>
      <c r="G182" s="4"/>
      <c r="H182" s="4"/>
    </row>
    <row r="183" spans="5:8" ht="15" customHeight="1" x14ac:dyDescent="0.3">
      <c r="E183" s="4"/>
      <c r="F183" s="4"/>
      <c r="G183" s="4"/>
      <c r="H183" s="4"/>
    </row>
    <row r="184" spans="5:8" ht="15" customHeight="1" x14ac:dyDescent="0.3">
      <c r="E184" s="4"/>
      <c r="F184" s="4"/>
      <c r="G184" s="4"/>
      <c r="H184" s="4"/>
    </row>
    <row r="185" spans="5:8" ht="15" customHeight="1" x14ac:dyDescent="0.3">
      <c r="E185" s="4"/>
      <c r="F185" s="4"/>
      <c r="G185" s="4"/>
      <c r="H185" s="4"/>
    </row>
    <row r="186" spans="5:8" ht="15" customHeight="1" x14ac:dyDescent="0.3">
      <c r="E186" s="4"/>
      <c r="F186" s="4"/>
      <c r="G186" s="4"/>
      <c r="H186" s="4"/>
    </row>
    <row r="187" spans="5:8" ht="15" customHeight="1" x14ac:dyDescent="0.3">
      <c r="E187" s="4"/>
      <c r="F187" s="4"/>
      <c r="G187" s="4"/>
      <c r="H187" s="4"/>
    </row>
    <row r="188" spans="5:8" ht="15" customHeight="1" x14ac:dyDescent="0.3">
      <c r="E188" s="4"/>
      <c r="F188" s="4"/>
      <c r="G188" s="4"/>
      <c r="H188" s="4"/>
    </row>
    <row r="189" spans="5:8" ht="15" customHeight="1" x14ac:dyDescent="0.3">
      <c r="E189" s="4"/>
      <c r="F189" s="4"/>
      <c r="G189" s="4"/>
      <c r="H189" s="4"/>
    </row>
    <row r="190" spans="5:8" ht="15" customHeight="1" x14ac:dyDescent="0.3">
      <c r="E190" s="4"/>
      <c r="F190" s="4"/>
      <c r="G190" s="4"/>
      <c r="H190" s="4"/>
    </row>
    <row r="191" spans="5:8" ht="15" customHeight="1" x14ac:dyDescent="0.3">
      <c r="E191" s="4"/>
      <c r="F191" s="4"/>
      <c r="G191" s="4"/>
      <c r="H191" s="4"/>
    </row>
    <row r="192" spans="5:8" ht="15" customHeight="1" x14ac:dyDescent="0.3">
      <c r="E192" s="4"/>
      <c r="F192" s="4"/>
      <c r="G192" s="4"/>
      <c r="H192" s="4"/>
    </row>
    <row r="193" spans="5:8" ht="15" customHeight="1" x14ac:dyDescent="0.3">
      <c r="E193" s="4"/>
      <c r="F193" s="4"/>
      <c r="G193" s="4"/>
      <c r="H193" s="4"/>
    </row>
  </sheetData>
  <mergeCells count="8">
    <mergeCell ref="AM2:AQ2"/>
    <mergeCell ref="AS1:AW2"/>
    <mergeCell ref="C2:G2"/>
    <mergeCell ref="I2:M2"/>
    <mergeCell ref="U2:Y2"/>
    <mergeCell ref="AA2:AE2"/>
    <mergeCell ref="AG2:AK2"/>
    <mergeCell ref="O2:S2"/>
  </mergeCells>
  <conditionalFormatting sqref="E60:E72 E74">
    <cfRule type="cellIs" priority="941" stopIfTrue="1" operator="equal">
      <formula>0</formula>
    </cfRule>
  </conditionalFormatting>
  <conditionalFormatting sqref="E70">
    <cfRule type="cellIs" priority="1023" stopIfTrue="1" operator="equal">
      <formula>0</formula>
    </cfRule>
  </conditionalFormatting>
  <conditionalFormatting sqref="E77:E79">
    <cfRule type="cellIs" priority="1031" stopIfTrue="1" operator="equal">
      <formula>0</formula>
    </cfRule>
  </conditionalFormatting>
  <conditionalFormatting sqref="E79:E80">
    <cfRule type="cellIs" priority="933" stopIfTrue="1" operator="equal">
      <formula>0</formula>
    </cfRule>
  </conditionalFormatting>
  <conditionalFormatting sqref="E82:E89">
    <cfRule type="cellIs" priority="65" stopIfTrue="1" operator="equal">
      <formula>0</formula>
    </cfRule>
  </conditionalFormatting>
  <conditionalFormatting sqref="G71:G72 G74">
    <cfRule type="cellIs" priority="945" stopIfTrue="1" operator="equal">
      <formula>0</formula>
    </cfRule>
  </conditionalFormatting>
  <conditionalFormatting sqref="G93">
    <cfRule type="cellIs" priority="957" stopIfTrue="1" operator="equal">
      <formula>0</formula>
    </cfRule>
  </conditionalFormatting>
  <conditionalFormatting sqref="G75:H89">
    <cfRule type="cellIs" priority="69" stopIfTrue="1" operator="equal">
      <formula>0</formula>
    </cfRule>
  </conditionalFormatting>
  <conditionalFormatting sqref="G77:H79">
    <cfRule type="cellIs" priority="1047" stopIfTrue="1" operator="equal">
      <formula>0</formula>
    </cfRule>
  </conditionalFormatting>
  <conditionalFormatting sqref="G79:H79">
    <cfRule type="cellIs" priority="1043" stopIfTrue="1" operator="equal">
      <formula>0</formula>
    </cfRule>
  </conditionalFormatting>
  <conditionalFormatting sqref="G97:H97">
    <cfRule type="cellIs" priority="1071" stopIfTrue="1" operator="equal">
      <formula>0</formula>
    </cfRule>
  </conditionalFormatting>
  <conditionalFormatting sqref="H52 G70:H70 M70 K70 S70 Q70 Y70 W70 AE70 AC70 AK70 AI70 AQ70 AO70 G6:H14 M6:M15 S6:S15 Y6:Y15 AE6:AE15 AK6:AK15 AQ6:AQ15 G15 G17:H20 M17:M21 S17:S21 Y17:Y21 AE17:AE21 AK17:AK21 AQ17:AQ21 G21 G23:H24 M23:M25 S23:S25 Y23:Y25 AE23:AE25 AK23:AK25 AQ23:AQ25 G25 G31:H50 M31:M50 S31:S50 Y31:Y50 AE31:AE50 AK31:AK50 AQ31:AQ50">
    <cfRule type="cellIs" priority="1152" stopIfTrue="1" operator="equal">
      <formula>0</formula>
    </cfRule>
  </conditionalFormatting>
  <conditionalFormatting sqref="K6:K15">
    <cfRule type="cellIs" priority="901" stopIfTrue="1" operator="equal">
      <formula>0</formula>
    </cfRule>
  </conditionalFormatting>
  <conditionalFormatting sqref="K17:K21">
    <cfRule type="cellIs" priority="897" stopIfTrue="1" operator="equal">
      <formula>0</formula>
    </cfRule>
  </conditionalFormatting>
  <conditionalFormatting sqref="K23:K25">
    <cfRule type="cellIs" priority="893" stopIfTrue="1" operator="equal">
      <formula>0</formula>
    </cfRule>
  </conditionalFormatting>
  <conditionalFormatting sqref="K31:K50">
    <cfRule type="cellIs" priority="877" stopIfTrue="1" operator="equal">
      <formula>0</formula>
    </cfRule>
  </conditionalFormatting>
  <conditionalFormatting sqref="K54:K57 M54:M57">
    <cfRule type="cellIs" priority="869" stopIfTrue="1" operator="equal">
      <formula>0</formula>
    </cfRule>
  </conditionalFormatting>
  <conditionalFormatting sqref="K60:K72">
    <cfRule type="cellIs" priority="861" stopIfTrue="1" operator="equal">
      <formula>0</formula>
    </cfRule>
  </conditionalFormatting>
  <conditionalFormatting sqref="K74">
    <cfRule type="cellIs" priority="853" stopIfTrue="1" operator="equal">
      <formula>0</formula>
    </cfRule>
  </conditionalFormatting>
  <conditionalFormatting sqref="K77:K79">
    <cfRule type="cellIs" priority="1039" stopIfTrue="1" operator="equal">
      <formula>0</formula>
    </cfRule>
  </conditionalFormatting>
  <conditionalFormatting sqref="K80">
    <cfRule type="cellIs" priority="845" stopIfTrue="1" operator="equal">
      <formula>0</formula>
    </cfRule>
  </conditionalFormatting>
  <conditionalFormatting sqref="K82:K89">
    <cfRule type="cellIs" priority="57" stopIfTrue="1" operator="equal">
      <formula>0</formula>
    </cfRule>
  </conditionalFormatting>
  <conditionalFormatting sqref="M60:M72">
    <cfRule type="cellIs" priority="865" stopIfTrue="1" operator="equal">
      <formula>0</formula>
    </cfRule>
  </conditionalFormatting>
  <conditionalFormatting sqref="M74">
    <cfRule type="cellIs" priority="857" stopIfTrue="1" operator="equal">
      <formula>0</formula>
    </cfRule>
  </conditionalFormatting>
  <conditionalFormatting sqref="M77:M79">
    <cfRule type="cellIs" priority="1067" stopIfTrue="1" operator="equal">
      <formula>0</formula>
    </cfRule>
  </conditionalFormatting>
  <conditionalFormatting sqref="M80">
    <cfRule type="cellIs" priority="849" stopIfTrue="1" operator="equal">
      <formula>0</formula>
    </cfRule>
  </conditionalFormatting>
  <conditionalFormatting sqref="M82:M89">
    <cfRule type="cellIs" priority="61" stopIfTrue="1" operator="equal">
      <formula>0</formula>
    </cfRule>
  </conditionalFormatting>
  <conditionalFormatting sqref="Q6:Q15">
    <cfRule type="cellIs" priority="737" stopIfTrue="1" operator="equal">
      <formula>0</formula>
    </cfRule>
  </conditionalFormatting>
  <conditionalFormatting sqref="Q17:Q21">
    <cfRule type="cellIs" priority="733" stopIfTrue="1" operator="equal">
      <formula>0</formula>
    </cfRule>
  </conditionalFormatting>
  <conditionalFormatting sqref="Q23:Q25">
    <cfRule type="cellIs" priority="205" stopIfTrue="1" operator="equal">
      <formula>0</formula>
    </cfRule>
  </conditionalFormatting>
  <conditionalFormatting sqref="Q31:Q50">
    <cfRule type="cellIs" priority="713" stopIfTrue="1" operator="equal">
      <formula>0</formula>
    </cfRule>
  </conditionalFormatting>
  <conditionalFormatting sqref="Q54:Q57 S54:S57">
    <cfRule type="cellIs" priority="777" stopIfTrue="1" operator="equal">
      <formula>0</formula>
    </cfRule>
  </conditionalFormatting>
  <conditionalFormatting sqref="Q60:Q72">
    <cfRule type="cellIs" priority="769" stopIfTrue="1" operator="equal">
      <formula>0</formula>
    </cfRule>
  </conditionalFormatting>
  <conditionalFormatting sqref="Q74">
    <cfRule type="cellIs" priority="705" stopIfTrue="1" operator="equal">
      <formula>0</formula>
    </cfRule>
  </conditionalFormatting>
  <conditionalFormatting sqref="Q77:Q80">
    <cfRule type="cellIs" priority="753" stopIfTrue="1" operator="equal">
      <formula>0</formula>
    </cfRule>
  </conditionalFormatting>
  <conditionalFormatting sqref="Q82:Q89">
    <cfRule type="cellIs" priority="49" stopIfTrue="1" operator="equal">
      <formula>0</formula>
    </cfRule>
  </conditionalFormatting>
  <conditionalFormatting sqref="Q58:S59">
    <cfRule type="cellIs" priority="833" stopIfTrue="1" operator="equal">
      <formula>0</formula>
    </cfRule>
  </conditionalFormatting>
  <conditionalFormatting sqref="Q75:S79 W75:Y79 AC75:AE79 AI75:AK79 AO75:AQ79 E6:E15 E17:E21 E23:E25 E27 G27:H27 K27 M27 Q27 S27 W27 Y27 AC27 AE27 AI27 AK27 AO27 AQ27 E31:E46 E48:E50 E52 G52:H52 K52 M52 Q52 S52 W52 Y52 AC52 AE52 AI52 AK52 AO52 AQ52 E54:E57 G54:H58 K58:M59 G60:H70 H71:H74 K73:M73 Q73:S73 W73:Y73 AC73:AE73 AI73:AK73 AO73:AQ73 K75:M79 K81:M81 Q81:S81 W81:Y81 AC81:AE81 AI81:AK81 AO81:AQ81 E93 K93 M93 Q93 S93 W93 Y93 AC93 AE93 AI93 AK93 AQ93">
    <cfRule type="cellIs" priority="1035" stopIfTrue="1" operator="equal">
      <formula>0</formula>
    </cfRule>
  </conditionalFormatting>
  <conditionalFormatting sqref="S60:S72">
    <cfRule type="cellIs" priority="773" stopIfTrue="1" operator="equal">
      <formula>0</formula>
    </cfRule>
  </conditionalFormatting>
  <conditionalFormatting sqref="S74">
    <cfRule type="cellIs" priority="709" stopIfTrue="1" operator="equal">
      <formula>0</formula>
    </cfRule>
  </conditionalFormatting>
  <conditionalFormatting sqref="S77:S80">
    <cfRule type="cellIs" priority="757" stopIfTrue="1" operator="equal">
      <formula>0</formula>
    </cfRule>
  </conditionalFormatting>
  <conditionalFormatting sqref="S82:S89">
    <cfRule type="cellIs" priority="53" stopIfTrue="1" operator="equal">
      <formula>0</formula>
    </cfRule>
  </conditionalFormatting>
  <conditionalFormatting sqref="W6:W15">
    <cfRule type="cellIs" priority="317" stopIfTrue="1" operator="equal">
      <formula>0</formula>
    </cfRule>
  </conditionalFormatting>
  <conditionalFormatting sqref="W17:W21">
    <cfRule type="cellIs" priority="301" stopIfTrue="1" operator="equal">
      <formula>0</formula>
    </cfRule>
  </conditionalFormatting>
  <conditionalFormatting sqref="W23:W25">
    <cfRule type="cellIs" priority="285" stopIfTrue="1" operator="equal">
      <formula>0</formula>
    </cfRule>
  </conditionalFormatting>
  <conditionalFormatting sqref="W31:W50">
    <cfRule type="cellIs" priority="221" stopIfTrue="1" operator="equal">
      <formula>0</formula>
    </cfRule>
  </conditionalFormatting>
  <conditionalFormatting sqref="W54:W57 Y54:Y57">
    <cfRule type="cellIs" priority="677" stopIfTrue="1" operator="equal">
      <formula>0</formula>
    </cfRule>
  </conditionalFormatting>
  <conditionalFormatting sqref="W60:W72">
    <cfRule type="cellIs" priority="669" stopIfTrue="1" operator="equal">
      <formula>0</formula>
    </cfRule>
  </conditionalFormatting>
  <conditionalFormatting sqref="W74">
    <cfRule type="cellIs" priority="197" stopIfTrue="1" operator="equal">
      <formula>0</formula>
    </cfRule>
  </conditionalFormatting>
  <conditionalFormatting sqref="W77:W80">
    <cfRule type="cellIs" priority="661" stopIfTrue="1" operator="equal">
      <formula>0</formula>
    </cfRule>
  </conditionalFormatting>
  <conditionalFormatting sqref="W82:W89">
    <cfRule type="cellIs" priority="41" stopIfTrue="1" operator="equal">
      <formula>0</formula>
    </cfRule>
  </conditionalFormatting>
  <conditionalFormatting sqref="W58:Y59">
    <cfRule type="cellIs" priority="701" stopIfTrue="1" operator="equal">
      <formula>0</formula>
    </cfRule>
  </conditionalFormatting>
  <conditionalFormatting sqref="Y60:Y72">
    <cfRule type="cellIs" priority="673" stopIfTrue="1" operator="equal">
      <formula>0</formula>
    </cfRule>
  </conditionalFormatting>
  <conditionalFormatting sqref="Y74">
    <cfRule type="cellIs" priority="201" stopIfTrue="1" operator="equal">
      <formula>0</formula>
    </cfRule>
  </conditionalFormatting>
  <conditionalFormatting sqref="Y77:Y80">
    <cfRule type="cellIs" priority="665" stopIfTrue="1" operator="equal">
      <formula>0</formula>
    </cfRule>
  </conditionalFormatting>
  <conditionalFormatting sqref="Y82:Y89">
    <cfRule type="cellIs" priority="45" stopIfTrue="1" operator="equal">
      <formula>0</formula>
    </cfRule>
  </conditionalFormatting>
  <conditionalFormatting sqref="AC6:AC15">
    <cfRule type="cellIs" priority="313" stopIfTrue="1" operator="equal">
      <formula>0</formula>
    </cfRule>
  </conditionalFormatting>
  <conditionalFormatting sqref="AC17:AC21">
    <cfRule type="cellIs" priority="297" stopIfTrue="1" operator="equal">
      <formula>0</formula>
    </cfRule>
  </conditionalFormatting>
  <conditionalFormatting sqref="AC23:AC25">
    <cfRule type="cellIs" priority="281" stopIfTrue="1" operator="equal">
      <formula>0</formula>
    </cfRule>
  </conditionalFormatting>
  <conditionalFormatting sqref="AC31:AC50">
    <cfRule type="cellIs" priority="217" stopIfTrue="1" operator="equal">
      <formula>0</formula>
    </cfRule>
  </conditionalFormatting>
  <conditionalFormatting sqref="AC54:AC57 AE54:AE57">
    <cfRule type="cellIs" priority="585" stopIfTrue="1" operator="equal">
      <formula>0</formula>
    </cfRule>
  </conditionalFormatting>
  <conditionalFormatting sqref="AC60:AC72">
    <cfRule type="cellIs" priority="577" stopIfTrue="1" operator="equal">
      <formula>0</formula>
    </cfRule>
  </conditionalFormatting>
  <conditionalFormatting sqref="AC74">
    <cfRule type="cellIs" priority="189" stopIfTrue="1" operator="equal">
      <formula>0</formula>
    </cfRule>
  </conditionalFormatting>
  <conditionalFormatting sqref="AC77:AC80">
    <cfRule type="cellIs" priority="569" stopIfTrue="1" operator="equal">
      <formula>0</formula>
    </cfRule>
  </conditionalFormatting>
  <conditionalFormatting sqref="AC82:AC89">
    <cfRule type="cellIs" priority="33" stopIfTrue="1" operator="equal">
      <formula>0</formula>
    </cfRule>
  </conditionalFormatting>
  <conditionalFormatting sqref="AC58:AE59">
    <cfRule type="cellIs" priority="609" stopIfTrue="1" operator="equal">
      <formula>0</formula>
    </cfRule>
  </conditionalFormatting>
  <conditionalFormatting sqref="AE60:AE72">
    <cfRule type="cellIs" priority="581" stopIfTrue="1" operator="equal">
      <formula>0</formula>
    </cfRule>
  </conditionalFormatting>
  <conditionalFormatting sqref="AE74">
    <cfRule type="cellIs" priority="193" stopIfTrue="1" operator="equal">
      <formula>0</formula>
    </cfRule>
  </conditionalFormatting>
  <conditionalFormatting sqref="AE77:AE80">
    <cfRule type="cellIs" priority="573" stopIfTrue="1" operator="equal">
      <formula>0</formula>
    </cfRule>
  </conditionalFormatting>
  <conditionalFormatting sqref="AE82:AE89">
    <cfRule type="cellIs" priority="37" stopIfTrue="1" operator="equal">
      <formula>0</formula>
    </cfRule>
  </conditionalFormatting>
  <conditionalFormatting sqref="AI6:AI15">
    <cfRule type="cellIs" priority="309" stopIfTrue="1" operator="equal">
      <formula>0</formula>
    </cfRule>
  </conditionalFormatting>
  <conditionalFormatting sqref="AI17:AI21">
    <cfRule type="cellIs" priority="293" stopIfTrue="1" operator="equal">
      <formula>0</formula>
    </cfRule>
  </conditionalFormatting>
  <conditionalFormatting sqref="AI23:AI25">
    <cfRule type="cellIs" priority="277" stopIfTrue="1" operator="equal">
      <formula>0</formula>
    </cfRule>
  </conditionalFormatting>
  <conditionalFormatting sqref="AI31:AI50">
    <cfRule type="cellIs" priority="213" stopIfTrue="1" operator="equal">
      <formula>0</formula>
    </cfRule>
  </conditionalFormatting>
  <conditionalFormatting sqref="AI54:AI57 AK54:AK57">
    <cfRule type="cellIs" priority="493" stopIfTrue="1" operator="equal">
      <formula>0</formula>
    </cfRule>
  </conditionalFormatting>
  <conditionalFormatting sqref="AI60:AI72">
    <cfRule type="cellIs" priority="485" stopIfTrue="1" operator="equal">
      <formula>0</formula>
    </cfRule>
  </conditionalFormatting>
  <conditionalFormatting sqref="AI74">
    <cfRule type="cellIs" priority="181" stopIfTrue="1" operator="equal">
      <formula>0</formula>
    </cfRule>
  </conditionalFormatting>
  <conditionalFormatting sqref="AI77:AI80">
    <cfRule type="cellIs" priority="477" stopIfTrue="1" operator="equal">
      <formula>0</formula>
    </cfRule>
  </conditionalFormatting>
  <conditionalFormatting sqref="AI82:AI89">
    <cfRule type="cellIs" priority="25" stopIfTrue="1" operator="equal">
      <formula>0</formula>
    </cfRule>
  </conditionalFormatting>
  <conditionalFormatting sqref="AI58:AK59">
    <cfRule type="cellIs" priority="517" stopIfTrue="1" operator="equal">
      <formula>0</formula>
    </cfRule>
  </conditionalFormatting>
  <conditionalFormatting sqref="AK60:AK72">
    <cfRule type="cellIs" priority="489" stopIfTrue="1" operator="equal">
      <formula>0</formula>
    </cfRule>
  </conditionalFormatting>
  <conditionalFormatting sqref="AK74">
    <cfRule type="cellIs" priority="185" stopIfTrue="1" operator="equal">
      <formula>0</formula>
    </cfRule>
  </conditionalFormatting>
  <conditionalFormatting sqref="AK77:AK80">
    <cfRule type="cellIs" priority="481" stopIfTrue="1" operator="equal">
      <formula>0</formula>
    </cfRule>
  </conditionalFormatting>
  <conditionalFormatting sqref="AK82:AK89">
    <cfRule type="cellIs" priority="29" stopIfTrue="1" operator="equal">
      <formula>0</formula>
    </cfRule>
  </conditionalFormatting>
  <conditionalFormatting sqref="AO6:AO15">
    <cfRule type="cellIs" priority="305" stopIfTrue="1" operator="equal">
      <formula>0</formula>
    </cfRule>
  </conditionalFormatting>
  <conditionalFormatting sqref="AO17:AO21">
    <cfRule type="cellIs" priority="289" stopIfTrue="1" operator="equal">
      <formula>0</formula>
    </cfRule>
  </conditionalFormatting>
  <conditionalFormatting sqref="AO23:AO25">
    <cfRule type="cellIs" priority="273" stopIfTrue="1" operator="equal">
      <formula>0</formula>
    </cfRule>
  </conditionalFormatting>
  <conditionalFormatting sqref="AO31:AO50">
    <cfRule type="cellIs" priority="209" stopIfTrue="1" operator="equal">
      <formula>0</formula>
    </cfRule>
  </conditionalFormatting>
  <conditionalFormatting sqref="AO54:AO57 AQ54:AQ57">
    <cfRule type="cellIs" priority="401" stopIfTrue="1" operator="equal">
      <formula>0</formula>
    </cfRule>
  </conditionalFormatting>
  <conditionalFormatting sqref="AO60:AO72">
    <cfRule type="cellIs" priority="393" stopIfTrue="1" operator="equal">
      <formula>0</formula>
    </cfRule>
  </conditionalFormatting>
  <conditionalFormatting sqref="AO74">
    <cfRule type="cellIs" priority="173" stopIfTrue="1" operator="equal">
      <formula>0</formula>
    </cfRule>
  </conditionalFormatting>
  <conditionalFormatting sqref="AO77:AO80">
    <cfRule type="cellIs" priority="385" stopIfTrue="1" operator="equal">
      <formula>0</formula>
    </cfRule>
  </conditionalFormatting>
  <conditionalFormatting sqref="AO82">
    <cfRule type="cellIs" priority="17" stopIfTrue="1" operator="equal">
      <formula>0</formula>
    </cfRule>
  </conditionalFormatting>
  <conditionalFormatting sqref="AO58:AQ59">
    <cfRule type="cellIs" priority="425" stopIfTrue="1" operator="equal">
      <formula>0</formula>
    </cfRule>
  </conditionalFormatting>
  <conditionalFormatting sqref="AQ60:AQ72">
    <cfRule type="cellIs" priority="397" stopIfTrue="1" operator="equal">
      <formula>0</formula>
    </cfRule>
  </conditionalFormatting>
  <conditionalFormatting sqref="AQ74">
    <cfRule type="cellIs" priority="177" stopIfTrue="1" operator="equal">
      <formula>0</formula>
    </cfRule>
  </conditionalFormatting>
  <conditionalFormatting sqref="AQ77:AQ80">
    <cfRule type="cellIs" priority="389" stopIfTrue="1" operator="equal">
      <formula>0</formula>
    </cfRule>
  </conditionalFormatting>
  <conditionalFormatting sqref="AQ82:AQ89">
    <cfRule type="cellIs" priority="21" stopIfTrue="1" operator="equal">
      <formula>0</formula>
    </cfRule>
  </conditionalFormatting>
  <conditionalFormatting sqref="AU6:AU15">
    <cfRule type="cellIs" priority="105" stopIfTrue="1" operator="equal">
      <formula>0</formula>
    </cfRule>
  </conditionalFormatting>
  <conditionalFormatting sqref="AU17:AU21">
    <cfRule type="cellIs" priority="101" stopIfTrue="1" operator="equal">
      <formula>0</formula>
    </cfRule>
  </conditionalFormatting>
  <conditionalFormatting sqref="AU23:AU25">
    <cfRule type="cellIs" priority="97" stopIfTrue="1" operator="equal">
      <formula>0</formula>
    </cfRule>
  </conditionalFormatting>
  <conditionalFormatting sqref="AU31:AU50">
    <cfRule type="cellIs" priority="81" stopIfTrue="1" operator="equal">
      <formula>0</formula>
    </cfRule>
  </conditionalFormatting>
  <conditionalFormatting sqref="AU54:AU57">
    <cfRule type="cellIs" priority="9" stopIfTrue="1" operator="equal">
      <formula>0</formula>
    </cfRule>
  </conditionalFormatting>
  <conditionalFormatting sqref="AU60:AU72">
    <cfRule type="cellIs" priority="129" stopIfTrue="1" operator="equal">
      <formula>0</formula>
    </cfRule>
  </conditionalFormatting>
  <conditionalFormatting sqref="AU74">
    <cfRule type="cellIs" priority="73" stopIfTrue="1" operator="equal">
      <formula>0</formula>
    </cfRule>
  </conditionalFormatting>
  <conditionalFormatting sqref="AU77:AU80">
    <cfRule type="cellIs" priority="121" stopIfTrue="1" operator="equal">
      <formula>0</formula>
    </cfRule>
  </conditionalFormatting>
  <conditionalFormatting sqref="AU82">
    <cfRule type="cellIs" priority="1" stopIfTrue="1" operator="equal">
      <formula>0</formula>
    </cfRule>
  </conditionalFormatting>
  <conditionalFormatting sqref="AU58:AW59">
    <cfRule type="cellIs" priority="161" stopIfTrue="1" operator="equal">
      <formula>0</formula>
    </cfRule>
  </conditionalFormatting>
  <conditionalFormatting sqref="AW54:AW57">
    <cfRule type="cellIs" priority="137" stopIfTrue="1" operator="equal">
      <formula>0</formula>
    </cfRule>
  </conditionalFormatting>
  <conditionalFormatting sqref="AW60:AW72">
    <cfRule type="cellIs" priority="133" stopIfTrue="1" operator="equal">
      <formula>0</formula>
    </cfRule>
  </conditionalFormatting>
  <conditionalFormatting sqref="AW70 AU70 AW6:AW15 AW17:AW21 AW23:AW25 AW31:AW50">
    <cfRule type="cellIs" priority="169" stopIfTrue="1" operator="equal">
      <formula>0</formula>
    </cfRule>
  </conditionalFormatting>
  <conditionalFormatting sqref="AW74">
    <cfRule type="cellIs" priority="77" stopIfTrue="1" operator="equal">
      <formula>0</formula>
    </cfRule>
  </conditionalFormatting>
  <conditionalFormatting sqref="AW77:AW79 AU77:AU79 AU27 AW27 AU52 AW52 AU73:AW73 AU75:AW76 AU81:AW81">
    <cfRule type="cellIs" priority="165" stopIfTrue="1" operator="equal">
      <formula>0</formula>
    </cfRule>
  </conditionalFormatting>
  <conditionalFormatting sqref="AW77:AW80">
    <cfRule type="cellIs" priority="125" stopIfTrue="1" operator="equal">
      <formula>0</formula>
    </cfRule>
  </conditionalFormatting>
  <conditionalFormatting sqref="AW82">
    <cfRule type="cellIs" priority="117" stopIfTrue="1" operator="equal">
      <formula>0</formula>
    </cfRule>
  </conditionalFormatting>
  <pageMargins left="0.7" right="0.7" top="0.75" bottom="0.75" header="0.3" footer="0.3"/>
  <pageSetup orientation="portrait" r:id="rId1"/>
  <ignoredErrors>
    <ignoredError sqref="E10 E15:E25 K10:AQ70 K75:AQ82 K74:T74 Z74 AF74 AL74 K72:AQ73 K71:V71 Z71:AQ71 X71 AC74 E27:E52 E74 E82 AU82 AU74 AU10:AU73 AU75:AU81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037" operator="between" id="{F21EE694-BF1C-4663-B755-6C99EBDB5869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1036" operator="greaterThanOrEqual" id="{9ADDDAF0-EFA2-487C-B9A4-88BA8B392376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1038" operator="lessThan" id="{409433F0-DC39-4237-91B1-34D582CC8FEC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E6:E15 E17:E21 E23:E25 E27 G27:H27 K27 M27 Q27 S27 W27 Y27 AC27 AE27 AI27 AK27 AO27 AQ27 E31:E46 E48:E50 E52 G52:H52 K52 M52 Q52 S52 W52 Y52 AC52 AE52 AI52 AK52 AO52 AQ52 E54:E57 G54:H58 K58:M59 G60:H70 H71:H74 K73:M73 Q73:S73 W73:Y73 AC73:AE73 AI73:AK73 AO73:AQ73 K75:M79 Q75:S79 W75:Y79 AC75:AE79 AI75:AK79 AO75:AQ79 K81:M81 Q81:S81 W81:Y81 AC81:AE81 AI81:AK81 AO81:AQ81 E93 K93 M93 Q93 S93 W93 Y93 AC93 AE93 AI93 AK93 AQ93</xm:sqref>
        </x14:conditionalFormatting>
        <x14:conditionalFormatting xmlns:xm="http://schemas.microsoft.com/office/excel/2006/main">
          <x14:cfRule type="cellIs" priority="943" operator="between" id="{27613FA9-9C53-474B-AD7A-D11528D06E0C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942" operator="greaterThanOrEqual" id="{C2FB9B0A-FCD6-4D13-A354-E4A5EDA28ED2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944" operator="lessThan" id="{D984A5C5-A670-4782-B942-7D2678F4E44E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E60:E72 E74</xm:sqref>
        </x14:conditionalFormatting>
        <x14:conditionalFormatting xmlns:xm="http://schemas.microsoft.com/office/excel/2006/main">
          <x14:cfRule type="cellIs" priority="1026" operator="lessThan" id="{F9E39EFE-81C0-4366-A5F5-3F26605063B1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1025" operator="between" id="{DE9007A2-9B8D-473B-89E1-A163FA03D30A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1024" operator="greaterThanOrEqual" id="{5D2335A2-3244-497A-A6DC-8030B19CEE2F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E70</xm:sqref>
        </x14:conditionalFormatting>
        <x14:conditionalFormatting xmlns:xm="http://schemas.microsoft.com/office/excel/2006/main">
          <x14:cfRule type="cellIs" priority="1033" operator="between" id="{9EE74ED3-66CA-4B6B-B7D5-25352F51637B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1034" operator="lessThan" id="{DD3E9555-BA66-4AF3-B412-BDC81ADE66CB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1032" operator="greaterThanOrEqual" id="{BDB8AA9B-CD1A-4122-B231-840904707307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E77:E79</xm:sqref>
        </x14:conditionalFormatting>
        <x14:conditionalFormatting xmlns:xm="http://schemas.microsoft.com/office/excel/2006/main">
          <x14:cfRule type="cellIs" priority="936" operator="lessThan" id="{EE2F61A8-7643-43C4-9D09-6D14EBF8E523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935" operator="between" id="{97AEFC7E-81BE-4ECD-890A-79FDC321795C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934" operator="greaterThanOrEqual" id="{05FF1243-CBAB-47C7-99F1-D6A5D7C34CEF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E79:E80</xm:sqref>
        </x14:conditionalFormatting>
        <x14:conditionalFormatting xmlns:xm="http://schemas.microsoft.com/office/excel/2006/main">
          <x14:cfRule type="cellIs" priority="66" operator="greaterThanOrEqual" id="{8FAC9F71-96EF-4351-8D44-F4A4B1317EFB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67" operator="between" id="{881CF5FD-FC60-4076-8707-7AD9FCCCDAF6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68" operator="lessThan" id="{86F63ADE-D6E7-4F6B-A7F2-574C3A622DE8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E82:E89</xm:sqref>
        </x14:conditionalFormatting>
        <x14:conditionalFormatting xmlns:xm="http://schemas.microsoft.com/office/excel/2006/main">
          <x14:cfRule type="cellIs" priority="948" operator="lessThan" id="{220A1E0A-EACF-40D3-A54C-A3AB528F93B9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947" operator="between" id="{7F0A1450-79B9-491C-BC30-51DA80922D8F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946" operator="greaterThanOrEqual" id="{D799DBA7-4C77-45C1-A165-400F03A18B74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G71:G72 G74</xm:sqref>
        </x14:conditionalFormatting>
        <x14:conditionalFormatting xmlns:xm="http://schemas.microsoft.com/office/excel/2006/main">
          <x14:cfRule type="cellIs" priority="958" operator="greaterThanOrEqual" id="{18D52718-028C-4578-96C3-10D3B716C7F2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959" operator="between" id="{5097D8A8-B5E4-4062-BF2A-7BF9639AC86A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960" operator="lessThan" id="{E14F59E5-33A8-491B-A667-A899F2A489C1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G93</xm:sqref>
        </x14:conditionalFormatting>
        <x14:conditionalFormatting xmlns:xm="http://schemas.microsoft.com/office/excel/2006/main">
          <x14:cfRule type="cellIs" priority="1154" operator="between" id="{81BAC91B-13F9-4BC1-B828-3824E6CBF896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1155" operator="lessThan" id="{CE389643-2973-484E-8513-E311151A06F8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1153" operator="greaterThanOrEqual" id="{C1959586-D938-4DAB-884B-3833FE6A62BA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G6:H14 M6:M15 S6:S15 Y6:Y15 AE6:AE15 AK6:AK15 AQ6:AQ15 G15 G17:H20 M17:M21 S17:S21 Y17:Y21 AE17:AE21 AK17:AK21 AQ17:AQ21 G21 G23:H24 M23:M25 S23:S25 Y23:Y25 AE23:AE25 AK23:AK25 AQ23:AQ25 G25 G31:H50 M31:M50 S31:S50 Y31:Y50 AE31:AE50 AK31:AK50 AQ31:AQ50 H52 G70:H70 K70 M70 Q70 S70 W70 Y70 AC70 AE70 AI70 AK70 AO70 AQ70</xm:sqref>
        </x14:conditionalFormatting>
        <x14:conditionalFormatting xmlns:xm="http://schemas.microsoft.com/office/excel/2006/main">
          <x14:cfRule type="cellIs" priority="71" operator="between" id="{392ECC55-4971-4E98-B634-AE90F2434826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70" operator="greaterThanOrEqual" id="{8ECFFC3F-9EFB-4AA3-AA6E-3F832968E9C3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72" operator="lessThan" id="{9DE1A43F-D2E0-4D8F-BBB5-D72BE104BD5F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G75:H89</xm:sqref>
        </x14:conditionalFormatting>
        <x14:conditionalFormatting xmlns:xm="http://schemas.microsoft.com/office/excel/2006/main">
          <x14:cfRule type="cellIs" priority="1049" operator="between" id="{26E8A92D-0486-4F32-99BE-7A8BEDF573F4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1048" operator="greaterThanOrEqual" id="{02E93C23-FC72-49D8-B03F-1B9A6F7B07FC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1050" operator="lessThan" id="{CEE0F1E7-D6FC-49B6-B05A-603D3904A96F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G77:H79</xm:sqref>
        </x14:conditionalFormatting>
        <x14:conditionalFormatting xmlns:xm="http://schemas.microsoft.com/office/excel/2006/main">
          <x14:cfRule type="cellIs" priority="1046" operator="lessThan" id="{8F46BDAA-E7A3-4896-B3F5-A3E3F4C50E11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1044" operator="greaterThanOrEqual" id="{614AE402-4968-421A-83DA-0003C62FEBF0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1045" operator="between" id="{D8323152-57C1-4222-9C08-68E07D0A42DB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G79:H79</xm:sqref>
        </x14:conditionalFormatting>
        <x14:conditionalFormatting xmlns:xm="http://schemas.microsoft.com/office/excel/2006/main">
          <x14:cfRule type="cellIs" priority="1073" operator="between" id="{671825B3-6854-461A-BD8A-E375D85E5038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1074" operator="lessThan" id="{1A48582C-95EF-4A84-B108-186CECD6BA66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1072" operator="greaterThanOrEqual" id="{F7CE6839-3642-43E4-A330-F3B807962117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G97:H97</xm:sqref>
        </x14:conditionalFormatting>
        <x14:conditionalFormatting xmlns:xm="http://schemas.microsoft.com/office/excel/2006/main">
          <x14:cfRule type="cellIs" priority="904" operator="lessThan" id="{BEACCCBC-0182-4B58-A95A-41C9073FD7E2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903" operator="between" id="{E4EE9DCA-0ABB-4B70-89B9-0E763D5FCE8C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902" operator="greaterThanOrEqual" id="{25E077E3-5977-4745-AF36-48618EAAEBA1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K6:K15</xm:sqref>
        </x14:conditionalFormatting>
        <x14:conditionalFormatting xmlns:xm="http://schemas.microsoft.com/office/excel/2006/main">
          <x14:cfRule type="cellIs" priority="900" operator="lessThan" id="{03A00912-15B9-45A2-A434-EFCE79D79CA7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899" operator="between" id="{8147D62A-2E4A-47F0-A550-8C930E168BBD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898" operator="greaterThanOrEqual" id="{5E76FB7E-6F56-4DFA-8537-D8333243B7C9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K17:K21</xm:sqref>
        </x14:conditionalFormatting>
        <x14:conditionalFormatting xmlns:xm="http://schemas.microsoft.com/office/excel/2006/main">
          <x14:cfRule type="cellIs" priority="896" operator="lessThan" id="{EE7CAA20-A7ED-4CB1-B29D-566CB0C5A86B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894" operator="greaterThanOrEqual" id="{27441845-3313-44C2-B531-8F3F21605A88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895" operator="between" id="{A5F61520-D317-47AE-B43B-5DC5FA9893FE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K23:K25</xm:sqref>
        </x14:conditionalFormatting>
        <x14:conditionalFormatting xmlns:xm="http://schemas.microsoft.com/office/excel/2006/main">
          <x14:cfRule type="cellIs" priority="880" operator="lessThan" id="{52A45C9E-DDF7-4613-8ADC-C5A17BB095BF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879" operator="between" id="{EE2A32DF-62B1-43FE-BAD4-82A244084644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878" operator="greaterThanOrEqual" id="{E5ED4851-22E4-49DD-8FE5-ACB3F618C80E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K31:K50</xm:sqref>
        </x14:conditionalFormatting>
        <x14:conditionalFormatting xmlns:xm="http://schemas.microsoft.com/office/excel/2006/main">
          <x14:cfRule type="cellIs" priority="870" operator="greaterThanOrEqual" id="{5D6201AE-99DD-4C50-A00D-93CED45A5D4A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871" operator="between" id="{3EFCA2EC-0D94-48B5-8535-BE4006A29CE2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872" operator="lessThan" id="{DD1C9D2B-119D-4BFF-B98D-F328D030DF8D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K54:K57 M54:M57</xm:sqref>
        </x14:conditionalFormatting>
        <x14:conditionalFormatting xmlns:xm="http://schemas.microsoft.com/office/excel/2006/main">
          <x14:cfRule type="cellIs" priority="862" operator="greaterThanOrEqual" id="{AF59732E-FF3C-4E02-B7EE-90E0D8F34A1D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863" operator="between" id="{B4B32AA5-630C-4CC0-82BB-32C840464EE0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864" operator="lessThan" id="{71DB81F4-6336-4B7D-8494-5A729FFF60D8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K60:K72</xm:sqref>
        </x14:conditionalFormatting>
        <x14:conditionalFormatting xmlns:xm="http://schemas.microsoft.com/office/excel/2006/main">
          <x14:cfRule type="cellIs" priority="855" operator="between" id="{9F1E469F-97F1-4C69-AB72-FBE881AA70DC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854" operator="greaterThanOrEqual" id="{7F644675-F9EA-4075-9D68-1F80D5309E9C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856" operator="lessThan" id="{442073EF-2CD7-487B-AAB3-732EA2587746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K74</xm:sqref>
        </x14:conditionalFormatting>
        <x14:conditionalFormatting xmlns:xm="http://schemas.microsoft.com/office/excel/2006/main">
          <x14:cfRule type="cellIs" priority="1041" operator="between" id="{15116C05-B622-4C80-8145-7B808B53AFA3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1040" operator="greaterThanOrEqual" id="{0FBB7B18-3045-4806-8287-FB2DE1B51D45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1042" operator="lessThan" id="{F2A5A9FE-96CC-4784-B6A1-C801E45558EE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K77:K79</xm:sqref>
        </x14:conditionalFormatting>
        <x14:conditionalFormatting xmlns:xm="http://schemas.microsoft.com/office/excel/2006/main">
          <x14:cfRule type="cellIs" priority="846" operator="greaterThanOrEqual" id="{103C0E13-0952-44D7-A982-FA16A5B67C72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847" operator="between" id="{ADFC0E61-86F8-4E30-8D6D-5EBB75E143C9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848" operator="lessThan" id="{9D6D3E52-4FBB-4347-A8D1-140649FEC7F8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K80</xm:sqref>
        </x14:conditionalFormatting>
        <x14:conditionalFormatting xmlns:xm="http://schemas.microsoft.com/office/excel/2006/main">
          <x14:cfRule type="cellIs" priority="59" operator="between" id="{6F7F81B7-5E7E-4039-9AA3-F15B916D5A1B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58" operator="greaterThanOrEqual" id="{F90CA01C-402A-46F9-AB86-BE2B2E6D74EE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60" operator="lessThan" id="{72E06EC7-EDBF-4CC1-9323-9DDCC935667E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K82:K89</xm:sqref>
        </x14:conditionalFormatting>
        <x14:conditionalFormatting xmlns:xm="http://schemas.microsoft.com/office/excel/2006/main">
          <x14:cfRule type="cellIs" priority="868" operator="lessThan" id="{FE15744B-9191-4A62-8908-7A686DDCA480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867" operator="between" id="{A370B352-AA48-4CA8-9711-5BFCA00DCA10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866" operator="greaterThanOrEqual" id="{2B4A3254-7DCD-4CEE-BDDB-F829079E4C08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M60:M72</xm:sqref>
        </x14:conditionalFormatting>
        <x14:conditionalFormatting xmlns:xm="http://schemas.microsoft.com/office/excel/2006/main">
          <x14:cfRule type="cellIs" priority="858" operator="greaterThanOrEqual" id="{62AA98D3-55BC-4CDE-B58B-8B35C3458BD5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859" operator="between" id="{CF4850DA-EAAA-438E-AF4E-C3588DB895F8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860" operator="lessThan" id="{761EFD34-28E9-4D9A-8F86-A75847F65784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M74</xm:sqref>
        </x14:conditionalFormatting>
        <x14:conditionalFormatting xmlns:xm="http://schemas.microsoft.com/office/excel/2006/main">
          <x14:cfRule type="cellIs" priority="1070" operator="lessThan" id="{215FC9DE-3382-44BB-A963-48B6BABD8432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1069" operator="between" id="{91587550-07FC-461C-B029-61AC9D796D73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1068" operator="greaterThanOrEqual" id="{1C8631CA-3F8E-482F-A2B3-84441FEE5894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M77:M79</xm:sqref>
        </x14:conditionalFormatting>
        <x14:conditionalFormatting xmlns:xm="http://schemas.microsoft.com/office/excel/2006/main">
          <x14:cfRule type="cellIs" priority="852" operator="lessThan" id="{A395A988-7753-4E13-A3AF-03BDD47175C5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851" operator="between" id="{F7C8F714-19DB-48F9-9A40-862D5B5AE10A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850" operator="greaterThanOrEqual" id="{BCC59C72-56DD-4F0D-9CB5-721AA63EA9AE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M80</xm:sqref>
        </x14:conditionalFormatting>
        <x14:conditionalFormatting xmlns:xm="http://schemas.microsoft.com/office/excel/2006/main">
          <x14:cfRule type="cellIs" priority="63" operator="between" id="{21B6C899-0CF8-4961-8495-E1C5B1A68538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64" operator="lessThan" id="{06EB89B9-9855-4897-B630-69D4463A4814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62" operator="greaterThanOrEqual" id="{529D451B-5B2F-4AC0-B335-B0BC4E94CCD3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M82:M89</xm:sqref>
        </x14:conditionalFormatting>
        <x14:conditionalFormatting xmlns:xm="http://schemas.microsoft.com/office/excel/2006/main">
          <x14:cfRule type="cellIs" priority="739" operator="between" id="{6693FDEA-CF25-4579-AFD3-D1FEE5FEEC28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740" operator="lessThan" id="{3FE6C4E1-2317-4763-8329-D3638E90B0B6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738" operator="greaterThanOrEqual" id="{33EE1B85-1022-4125-9AD1-73A890D19B99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Q6:Q15</xm:sqref>
        </x14:conditionalFormatting>
        <x14:conditionalFormatting xmlns:xm="http://schemas.microsoft.com/office/excel/2006/main">
          <x14:cfRule type="cellIs" priority="734" operator="greaterThanOrEqual" id="{7C3F5CBE-F1B9-45CC-876F-B4A116BA7FFD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735" operator="between" id="{7EDADFA0-D7DE-4D41-8BE8-207F9682CCE2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736" operator="lessThan" id="{2751438C-A34A-4A3C-881C-4BB75D051BA5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Q17:Q21</xm:sqref>
        </x14:conditionalFormatting>
        <x14:conditionalFormatting xmlns:xm="http://schemas.microsoft.com/office/excel/2006/main">
          <x14:cfRule type="cellIs" priority="206" operator="greaterThanOrEqual" id="{C66113D7-3E44-44F1-B944-58CB2F579378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208" operator="lessThan" id="{FBB2F15B-7C67-4482-BC7E-A422A1A32EF7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207" operator="between" id="{0794D822-160B-4DAB-B9EA-572F188DB512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Q23:Q25</xm:sqref>
        </x14:conditionalFormatting>
        <x14:conditionalFormatting xmlns:xm="http://schemas.microsoft.com/office/excel/2006/main">
          <x14:cfRule type="cellIs" priority="716" operator="lessThan" id="{2F1DCFBD-E7F2-4543-8976-E886EF14F34F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715" operator="between" id="{AA41FC74-F988-4C7F-A3AB-9582EA0A8DC9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714" operator="greaterThanOrEqual" id="{FFEACD16-D53C-4241-90A0-84F6433F13BB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Q31:Q50</xm:sqref>
        </x14:conditionalFormatting>
        <x14:conditionalFormatting xmlns:xm="http://schemas.microsoft.com/office/excel/2006/main">
          <x14:cfRule type="cellIs" priority="778" operator="greaterThanOrEqual" id="{70AC1D9D-5E33-4F7E-8849-7F0FE4143BD9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779" operator="between" id="{04A2DC04-711D-499C-9498-32965F7A550C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780" operator="lessThan" id="{74323E44-C109-4469-B060-0E0E1C50969E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Q54:Q57 S54:S57</xm:sqref>
        </x14:conditionalFormatting>
        <x14:conditionalFormatting xmlns:xm="http://schemas.microsoft.com/office/excel/2006/main">
          <x14:cfRule type="cellIs" priority="772" operator="lessThan" id="{414EFDFF-E3B7-478D-B027-721D351C466D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771" operator="between" id="{9FA9C1A1-F5A6-4E08-882D-EF3D75C84A23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770" operator="greaterThanOrEqual" id="{D90D3E7A-3C4E-4F3E-873E-F7E07093EBC4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Q60:Q72</xm:sqref>
        </x14:conditionalFormatting>
        <x14:conditionalFormatting xmlns:xm="http://schemas.microsoft.com/office/excel/2006/main">
          <x14:cfRule type="cellIs" priority="708" operator="lessThan" id="{7498E400-764C-440C-B820-F9DE15E028F0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707" operator="between" id="{A2670546-69FD-45BF-BFA6-172C826ACC23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706" operator="greaterThanOrEqual" id="{5C911E47-ACDA-467F-8FDA-978B14C47AC5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Q74</xm:sqref>
        </x14:conditionalFormatting>
        <x14:conditionalFormatting xmlns:xm="http://schemas.microsoft.com/office/excel/2006/main">
          <x14:cfRule type="cellIs" priority="756" operator="lessThan" id="{A21F26B7-B917-4E82-975E-77F7CE1AB357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754" operator="greaterThanOrEqual" id="{7E3F8572-DFDD-4B91-A5CB-E5A9976A790E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755" operator="between" id="{DAC846E9-BABC-4158-B360-E97B5B4D3311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Q77:Q80</xm:sqref>
        </x14:conditionalFormatting>
        <x14:conditionalFormatting xmlns:xm="http://schemas.microsoft.com/office/excel/2006/main">
          <x14:cfRule type="cellIs" priority="50" operator="greaterThanOrEqual" id="{27AD737E-0001-4B0B-A8FE-B05823D7619B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51" operator="between" id="{82113BFE-64D1-4D1C-BF2E-BD533D35ADAC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52" operator="lessThan" id="{33DA4EF8-184C-4279-8707-07CDD11C66ED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Q82:Q89</xm:sqref>
        </x14:conditionalFormatting>
        <x14:conditionalFormatting xmlns:xm="http://schemas.microsoft.com/office/excel/2006/main">
          <x14:cfRule type="cellIs" priority="834" operator="greaterThanOrEqual" id="{E37A61C2-7CDD-4399-8352-28C08B71F557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835" operator="between" id="{3DE64AB9-EFB4-438C-BD44-35A41EA850B1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836" operator="lessThan" id="{2F2466AB-2BEC-4560-8550-1357D4453FED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Q58:S59</xm:sqref>
        </x14:conditionalFormatting>
        <x14:conditionalFormatting xmlns:xm="http://schemas.microsoft.com/office/excel/2006/main">
          <x14:cfRule type="cellIs" priority="776" operator="lessThan" id="{005B1788-B86F-447A-B744-33F79B5A893D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775" operator="between" id="{2B326CE5-662D-4135-A707-09049746B2F1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774" operator="greaterThanOrEqual" id="{E998DFEB-5C39-449C-8B02-2E173D8F150C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S60:S72</xm:sqref>
        </x14:conditionalFormatting>
        <x14:conditionalFormatting xmlns:xm="http://schemas.microsoft.com/office/excel/2006/main">
          <x14:cfRule type="cellIs" priority="710" operator="greaterThanOrEqual" id="{AE3DF650-1E5F-4FED-AE04-4460C3BC887E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712" operator="lessThan" id="{CE1CF5CE-22C3-48CE-ADD1-54771CEC6673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711" operator="between" id="{FD6AD466-A81D-4B10-B791-ABCBC0B7A9AF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S74</xm:sqref>
        </x14:conditionalFormatting>
        <x14:conditionalFormatting xmlns:xm="http://schemas.microsoft.com/office/excel/2006/main">
          <x14:cfRule type="cellIs" priority="760" operator="lessThan" id="{2700ED94-46F2-4AEC-BBEF-1244F641D8FB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759" operator="between" id="{E7591B32-B7DD-4519-B41A-736B4062168D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758" operator="greaterThanOrEqual" id="{541962CC-2A9E-4FF8-8ADD-773BEFF72C8D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S77:S80</xm:sqref>
        </x14:conditionalFormatting>
        <x14:conditionalFormatting xmlns:xm="http://schemas.microsoft.com/office/excel/2006/main">
          <x14:cfRule type="cellIs" priority="54" operator="greaterThanOrEqual" id="{AE69B1C4-E94C-4C94-A8FE-317AB3DAA3FA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55" operator="between" id="{7CC7BF9E-4557-4836-B5E6-1AE69F4FD972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56" operator="lessThan" id="{F020B7C1-A1E5-4590-B99D-7C1F98650FC1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S82:S89</xm:sqref>
        </x14:conditionalFormatting>
        <x14:conditionalFormatting xmlns:xm="http://schemas.microsoft.com/office/excel/2006/main">
          <x14:cfRule type="cellIs" priority="319" operator="between" id="{CDFF61AC-1C6C-47B1-8A54-17DDAE22EE0F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318" operator="greaterThanOrEqual" id="{5AF723FA-7ECC-43D6-B995-0568595E37ED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320" operator="lessThan" id="{7FDA3794-BF42-4F94-B114-754911961A4B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W6:W15</xm:sqref>
        </x14:conditionalFormatting>
        <x14:conditionalFormatting xmlns:xm="http://schemas.microsoft.com/office/excel/2006/main">
          <x14:cfRule type="cellIs" priority="304" operator="lessThan" id="{E3C3C0D1-33B5-45A2-800B-144C563DBDB4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303" operator="between" id="{4A679AFD-5785-40FC-BE74-DE9705DB8D21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302" operator="greaterThanOrEqual" id="{AEA17062-7E12-4576-A577-664DEBD3D109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W17:W21</xm:sqref>
        </x14:conditionalFormatting>
        <x14:conditionalFormatting xmlns:xm="http://schemas.microsoft.com/office/excel/2006/main">
          <x14:cfRule type="cellIs" priority="286" operator="greaterThanOrEqual" id="{FE6BD960-EA98-4799-AA59-029E9D90DEA8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287" operator="between" id="{BADDE689-5300-448D-B466-3D60027B53A3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288" operator="lessThan" id="{F9DB03A2-1883-4490-867B-C2A3308E2396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W23:W25</xm:sqref>
        </x14:conditionalFormatting>
        <x14:conditionalFormatting xmlns:xm="http://schemas.microsoft.com/office/excel/2006/main">
          <x14:cfRule type="cellIs" priority="222" operator="greaterThanOrEqual" id="{B72B3037-285D-4488-8D96-9F59D8315892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224" operator="lessThan" id="{CF7CFC8F-E2DA-4916-B341-A2708CF1D7A3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223" operator="between" id="{C7306556-7B14-4D9D-8FF7-AE3A5B7FD405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W31:W50</xm:sqref>
        </x14:conditionalFormatting>
        <x14:conditionalFormatting xmlns:xm="http://schemas.microsoft.com/office/excel/2006/main">
          <x14:cfRule type="cellIs" priority="678" operator="greaterThanOrEqual" id="{8B2A49E6-34D4-486C-BD9E-DEF2AE7F83F6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679" operator="between" id="{9A970EA2-5C4F-45AB-9225-B56022137CA0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680" operator="lessThan" id="{A28AE9AB-A65C-445D-B5DF-E8E835E61E64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W54:W57 Y54:Y57</xm:sqref>
        </x14:conditionalFormatting>
        <x14:conditionalFormatting xmlns:xm="http://schemas.microsoft.com/office/excel/2006/main">
          <x14:cfRule type="cellIs" priority="670" operator="greaterThanOrEqual" id="{39CE1A5C-4139-4473-B44C-194D0FD35F00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672" operator="lessThan" id="{507144A8-C99C-4EAC-B430-1932DF8D2373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671" operator="between" id="{213C6FAB-D16C-406D-81AC-503C2EF8A057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W60:W72</xm:sqref>
        </x14:conditionalFormatting>
        <x14:conditionalFormatting xmlns:xm="http://schemas.microsoft.com/office/excel/2006/main">
          <x14:cfRule type="cellIs" priority="200" operator="lessThan" id="{7C9AF465-AECD-4615-994A-C42624E26757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199" operator="between" id="{0A87DFCA-5DC5-475F-B00A-D60977E4FA3D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198" operator="greaterThanOrEqual" id="{ACC9F1D5-C48B-442C-B4C9-4F38BB0D0802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W74</xm:sqref>
        </x14:conditionalFormatting>
        <x14:conditionalFormatting xmlns:xm="http://schemas.microsoft.com/office/excel/2006/main">
          <x14:cfRule type="cellIs" priority="663" operator="between" id="{8D46F58E-7185-4B53-A1C0-91D9CF03E1CB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662" operator="greaterThanOrEqual" id="{98FE83E1-B1CA-41A5-99FE-0B0E887F99A8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664" operator="lessThan" id="{91DAC1BF-99DB-4C7A-8622-A170BCD390A2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W77:W80</xm:sqref>
        </x14:conditionalFormatting>
        <x14:conditionalFormatting xmlns:xm="http://schemas.microsoft.com/office/excel/2006/main">
          <x14:cfRule type="cellIs" priority="42" operator="greaterThanOrEqual" id="{6A1D6E43-BE6E-49AB-BFE5-23C22F7A9AC2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43" operator="between" id="{EC28498E-2387-4FAD-9C56-A6B51AD680DF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44" operator="lessThan" id="{8C1119C2-3E42-4A4C-AF47-26B38B457468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W82:W89</xm:sqref>
        </x14:conditionalFormatting>
        <x14:conditionalFormatting xmlns:xm="http://schemas.microsoft.com/office/excel/2006/main">
          <x14:cfRule type="cellIs" priority="704" operator="lessThan" id="{22812AE3-D513-4609-95B3-0907770B44F0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703" operator="between" id="{1F0D54F0-E85F-4F83-A6E9-C766E2426642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702" operator="greaterThanOrEqual" id="{5AE783DF-0A4E-4AFE-B5E6-2DCC5E6A768E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W58:Y59</xm:sqref>
        </x14:conditionalFormatting>
        <x14:conditionalFormatting xmlns:xm="http://schemas.microsoft.com/office/excel/2006/main">
          <x14:cfRule type="cellIs" priority="676" operator="lessThan" id="{DB3C5C1D-99C4-4FE7-8A5D-6DF741663F5E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674" operator="greaterThanOrEqual" id="{1ED0E3BA-2A6E-4805-B06F-CDAB79D01CE8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675" operator="between" id="{BEF47D6C-E118-43BC-BF44-CC0D9E38FADC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Y60:Y72</xm:sqref>
        </x14:conditionalFormatting>
        <x14:conditionalFormatting xmlns:xm="http://schemas.microsoft.com/office/excel/2006/main">
          <x14:cfRule type="cellIs" priority="202" operator="greaterThanOrEqual" id="{25B56FE4-35B6-4429-977A-D9C91AD66B95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203" operator="between" id="{E5418414-9451-4F55-BAAE-CCD3D00E247E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204" operator="lessThan" id="{B1B8DC64-DA85-4FAF-8379-B56E689CA11B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Y74</xm:sqref>
        </x14:conditionalFormatting>
        <x14:conditionalFormatting xmlns:xm="http://schemas.microsoft.com/office/excel/2006/main">
          <x14:cfRule type="cellIs" priority="668" operator="lessThan" id="{B06823AD-127C-454D-A39F-1F1E87717E45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666" operator="greaterThanOrEqual" id="{5ECF5F7A-0329-4FE6-AEB2-6A9A3C1440CF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667" operator="between" id="{EF4D9E2C-27FB-49E3-8870-F917360FBD47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Y77:Y80</xm:sqref>
        </x14:conditionalFormatting>
        <x14:conditionalFormatting xmlns:xm="http://schemas.microsoft.com/office/excel/2006/main">
          <x14:cfRule type="cellIs" priority="48" operator="lessThan" id="{C9B4BFAF-75CE-47B4-AEC4-AA4F61FA7D48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47" operator="between" id="{ACF74DC4-DEBF-4663-BBCB-9856FFB952B7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46" operator="greaterThanOrEqual" id="{45D65D44-D345-43D0-B014-8990CFBC71B9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Y82:Y89</xm:sqref>
        </x14:conditionalFormatting>
        <x14:conditionalFormatting xmlns:xm="http://schemas.microsoft.com/office/excel/2006/main">
          <x14:cfRule type="cellIs" priority="316" operator="lessThan" id="{57A02F02-7B75-4DBB-936C-0267833CC3FC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314" operator="greaterThanOrEqual" id="{B1222D89-367E-4BD9-90E9-3EA175315C92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315" operator="between" id="{5DF28333-3E05-4EDF-9DEF-91D42FAE2202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AC6:AC15</xm:sqref>
        </x14:conditionalFormatting>
        <x14:conditionalFormatting xmlns:xm="http://schemas.microsoft.com/office/excel/2006/main">
          <x14:cfRule type="cellIs" priority="300" operator="lessThan" id="{F2816A17-9BBC-476A-8087-85DB3CFCA1CF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298" operator="greaterThanOrEqual" id="{157064F9-143D-4A7A-855E-F31BD59E8B3E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299" operator="between" id="{3CF19E62-7227-4747-886D-768E9BE662E2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AC17:AC21</xm:sqref>
        </x14:conditionalFormatting>
        <x14:conditionalFormatting xmlns:xm="http://schemas.microsoft.com/office/excel/2006/main">
          <x14:cfRule type="cellIs" priority="283" operator="between" id="{E255771A-7325-4FCE-916C-ECA73A987075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282" operator="greaterThanOrEqual" id="{5394AAE1-8762-4067-887C-5B9D3A598B6E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284" operator="lessThan" id="{FF66861B-622C-44CD-8345-E0C9072D209A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AC23:AC25</xm:sqref>
        </x14:conditionalFormatting>
        <x14:conditionalFormatting xmlns:xm="http://schemas.microsoft.com/office/excel/2006/main">
          <x14:cfRule type="cellIs" priority="218" operator="greaterThanOrEqual" id="{E618E4CB-D206-41A1-A0B2-F4503EF663B8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219" operator="between" id="{27DCF638-9238-463B-AD0E-0D346360B6E4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220" operator="lessThan" id="{F433693D-DC06-4BEC-A549-73AC2940EA7C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AC31:AC50</xm:sqref>
        </x14:conditionalFormatting>
        <x14:conditionalFormatting xmlns:xm="http://schemas.microsoft.com/office/excel/2006/main">
          <x14:cfRule type="cellIs" priority="586" operator="greaterThanOrEqual" id="{5081078D-438F-42D3-AD87-88C2CAAEECD0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588" operator="lessThan" id="{0F0D3D98-750A-4F9C-9A2B-D851C12707CC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587" operator="between" id="{96A63D82-8831-4631-A50A-EF8717CDF130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AC54:AC57 AE54:AE57</xm:sqref>
        </x14:conditionalFormatting>
        <x14:conditionalFormatting xmlns:xm="http://schemas.microsoft.com/office/excel/2006/main">
          <x14:cfRule type="cellIs" priority="579" operator="between" id="{35074137-1548-47FF-B8B1-B66222CF56D6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580" operator="lessThan" id="{9583530A-E5E3-4463-A02B-FE2422E48A33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578" operator="greaterThanOrEqual" id="{53D598EB-4098-4B4F-8A65-AF2244C5F32F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AC60:AC72</xm:sqref>
        </x14:conditionalFormatting>
        <x14:conditionalFormatting xmlns:xm="http://schemas.microsoft.com/office/excel/2006/main">
          <x14:cfRule type="cellIs" priority="191" operator="between" id="{F8753FB7-76EE-494A-9A40-46B3CC31C212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192" operator="lessThan" id="{5C890472-5E45-49B3-A276-2837FF52CB49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190" operator="greaterThanOrEqual" id="{8E340688-0033-48BE-B17D-F8D5979B9254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AC74</xm:sqref>
        </x14:conditionalFormatting>
        <x14:conditionalFormatting xmlns:xm="http://schemas.microsoft.com/office/excel/2006/main">
          <x14:cfRule type="cellIs" priority="571" operator="between" id="{6708780C-DA05-418A-83F0-47E91181D723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572" operator="lessThan" id="{DFA30222-4E8B-4C92-9405-0166FA538B36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570" operator="greaterThanOrEqual" id="{6F01D0B9-CC74-4BF9-B5B7-D1BAD8E34D5E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AC77:AC80</xm:sqref>
        </x14:conditionalFormatting>
        <x14:conditionalFormatting xmlns:xm="http://schemas.microsoft.com/office/excel/2006/main">
          <x14:cfRule type="cellIs" priority="34" operator="greaterThanOrEqual" id="{8B5FAB43-C31E-4F36-A6EB-87791E5A481E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36" operator="lessThan" id="{15F35736-E3F6-4969-B1E3-C8211E53D468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35" operator="between" id="{4C1CD50D-32D1-425C-A900-405C1816B101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AC82:AC89</xm:sqref>
        </x14:conditionalFormatting>
        <x14:conditionalFormatting xmlns:xm="http://schemas.microsoft.com/office/excel/2006/main">
          <x14:cfRule type="cellIs" priority="610" operator="greaterThanOrEqual" id="{038CF9B9-3905-47E9-8903-9E1DD42D30BD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611" operator="between" id="{6243E235-86B3-447D-B9A7-71A1D62B5CD1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612" operator="lessThan" id="{878D1F82-BCFF-4654-BB41-9184BB6D0C6E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AC58:AE59</xm:sqref>
        </x14:conditionalFormatting>
        <x14:conditionalFormatting xmlns:xm="http://schemas.microsoft.com/office/excel/2006/main">
          <x14:cfRule type="cellIs" priority="582" operator="greaterThanOrEqual" id="{661B734B-290A-4B4B-A776-DC99DF690F81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583" operator="between" id="{B68A0F8B-D2F6-4944-BC25-3FA66E23BECA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584" operator="lessThan" id="{145FF267-B120-469A-8A4C-5B142F24A047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AE60:AE72</xm:sqref>
        </x14:conditionalFormatting>
        <x14:conditionalFormatting xmlns:xm="http://schemas.microsoft.com/office/excel/2006/main">
          <x14:cfRule type="cellIs" priority="194" operator="greaterThanOrEqual" id="{04D20931-7F0A-43D4-88CC-915097192AAD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195" operator="between" id="{C884B089-E70E-4B00-9BC1-64AED3339FB1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196" operator="lessThan" id="{1D69757A-0BF4-4A9F-A4CC-7503C8415D34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AE74</xm:sqref>
        </x14:conditionalFormatting>
        <x14:conditionalFormatting xmlns:xm="http://schemas.microsoft.com/office/excel/2006/main">
          <x14:cfRule type="cellIs" priority="574" operator="greaterThanOrEqual" id="{5691AFB2-4601-42B6-9AC7-764F5BFC20EE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576" operator="lessThan" id="{27C73088-0FA3-40D5-A421-26DB69CCED36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575" operator="between" id="{BC8C64D0-C1A4-46DE-ACC9-2CC38E0E7207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AE77:AE80</xm:sqref>
        </x14:conditionalFormatting>
        <x14:conditionalFormatting xmlns:xm="http://schemas.microsoft.com/office/excel/2006/main">
          <x14:cfRule type="cellIs" priority="38" operator="greaterThanOrEqual" id="{75045836-6AFF-420C-ABB2-AE678483A0A5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39" operator="between" id="{546BEE00-6379-4953-88B6-116F87EC113D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40" operator="lessThan" id="{1C462AAE-0330-477E-82F7-98A16068BA72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AE82:AE89</xm:sqref>
        </x14:conditionalFormatting>
        <x14:conditionalFormatting xmlns:xm="http://schemas.microsoft.com/office/excel/2006/main">
          <x14:cfRule type="cellIs" priority="312" operator="lessThan" id="{176DE764-28CE-401C-A733-2EC4CE67276A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310" operator="greaterThanOrEqual" id="{98C14CBA-1500-4690-8A2E-929D4806996A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311" operator="between" id="{94289A70-A490-4050-9FD8-EF1B0C0C67A8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AI6:AI15</xm:sqref>
        </x14:conditionalFormatting>
        <x14:conditionalFormatting xmlns:xm="http://schemas.microsoft.com/office/excel/2006/main">
          <x14:cfRule type="cellIs" priority="294" operator="greaterThanOrEqual" id="{4614F151-DAC2-4936-AC94-35C88DAF240B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295" operator="between" id="{5EE8CCF6-AF11-4F76-AAB9-8D2AEADB22B8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296" operator="lessThan" id="{674D59A8-49CC-4166-90BE-345DD1D90510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AI17:AI21</xm:sqref>
        </x14:conditionalFormatting>
        <x14:conditionalFormatting xmlns:xm="http://schemas.microsoft.com/office/excel/2006/main">
          <x14:cfRule type="cellIs" priority="279" operator="between" id="{5D4A4869-3A61-462D-B472-FD6DB6BF6289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280" operator="lessThan" id="{5C79053A-2C09-4CEC-91FC-652A80A14E86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278" operator="greaterThanOrEqual" id="{48E10306-8477-4BB2-AF85-038D53892851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AI23:AI25</xm:sqref>
        </x14:conditionalFormatting>
        <x14:conditionalFormatting xmlns:xm="http://schemas.microsoft.com/office/excel/2006/main">
          <x14:cfRule type="cellIs" priority="214" operator="greaterThanOrEqual" id="{B5AF70DF-2997-404B-BB1F-6B166A4AADA1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215" operator="between" id="{ADECFDA5-4C70-4C00-94F0-462856588216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216" operator="lessThan" id="{267C740D-B0F7-4BC8-AE47-6E61DA770CB2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AI31:AI50</xm:sqref>
        </x14:conditionalFormatting>
        <x14:conditionalFormatting xmlns:xm="http://schemas.microsoft.com/office/excel/2006/main">
          <x14:cfRule type="cellIs" priority="494" operator="greaterThanOrEqual" id="{1B0E2552-DD11-46E7-AB98-0C5AF9C5F2C5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496" operator="lessThan" id="{CD6EF6BD-E3AA-4A0E-B092-892AA62384D7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495" operator="between" id="{06D44A14-8B6A-491D-8B8D-684615992841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AI54:AI57 AK54:AK57</xm:sqref>
        </x14:conditionalFormatting>
        <x14:conditionalFormatting xmlns:xm="http://schemas.microsoft.com/office/excel/2006/main">
          <x14:cfRule type="cellIs" priority="488" operator="lessThan" id="{A8977EC9-F49A-44BB-A785-A13635005065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487" operator="between" id="{D83F5C5B-EB8F-4C3A-97BA-D8BB3655D887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486" operator="greaterThanOrEqual" id="{64D52A9B-C6B0-48FE-BE29-3E7D58F90ED8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AI60:AI72</xm:sqref>
        </x14:conditionalFormatting>
        <x14:conditionalFormatting xmlns:xm="http://schemas.microsoft.com/office/excel/2006/main">
          <x14:cfRule type="cellIs" priority="182" operator="greaterThanOrEqual" id="{33AB4452-0F39-4C0D-9CCC-E651BB245093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184" operator="lessThan" id="{2BD377E6-F527-4C23-AE85-F284421179E2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183" operator="between" id="{2855794B-FF3C-4B14-95CD-DF032ABF3F93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AI74</xm:sqref>
        </x14:conditionalFormatting>
        <x14:conditionalFormatting xmlns:xm="http://schemas.microsoft.com/office/excel/2006/main">
          <x14:cfRule type="cellIs" priority="478" operator="greaterThanOrEqual" id="{414A81A3-DB53-4531-9B5D-E971BB72BE07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480" operator="lessThan" id="{81615574-6912-42E2-9F67-02738E494DE5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479" operator="between" id="{CB73829C-60AA-4DE0-A110-B8B13BFE4ECC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AI77:AI80</xm:sqref>
        </x14:conditionalFormatting>
        <x14:conditionalFormatting xmlns:xm="http://schemas.microsoft.com/office/excel/2006/main">
          <x14:cfRule type="cellIs" priority="28" operator="lessThan" id="{78BB8216-5D08-4C12-9571-5CA88E72DDB2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27" operator="between" id="{E2A8EDDA-EB81-4315-A58B-683F40B20510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26" operator="greaterThanOrEqual" id="{611E8C33-FCF8-48A8-B283-C6EF9F4C84F0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AI82:AI89</xm:sqref>
        </x14:conditionalFormatting>
        <x14:conditionalFormatting xmlns:xm="http://schemas.microsoft.com/office/excel/2006/main">
          <x14:cfRule type="cellIs" priority="519" operator="between" id="{F19B54B5-8884-4AA6-B7F4-E9FABE9A8DC0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518" operator="greaterThanOrEqual" id="{5922A24D-23A2-4176-AFE1-33CE2A175AF3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520" operator="lessThan" id="{456C5604-EC37-412C-A8F8-9D58790A5938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AI58:AK59</xm:sqref>
        </x14:conditionalFormatting>
        <x14:conditionalFormatting xmlns:xm="http://schemas.microsoft.com/office/excel/2006/main">
          <x14:cfRule type="cellIs" priority="490" operator="greaterThanOrEqual" id="{50F40BC6-8381-4836-B94D-BFDE39D5F1C0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491" operator="between" id="{B1158F3C-0779-415A-BBC9-C215336EBEE9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492" operator="lessThan" id="{6416091F-7DD6-4C76-99BA-1184FD385989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AK60:AK72</xm:sqref>
        </x14:conditionalFormatting>
        <x14:conditionalFormatting xmlns:xm="http://schemas.microsoft.com/office/excel/2006/main">
          <x14:cfRule type="cellIs" priority="186" operator="greaterThanOrEqual" id="{48D9641F-E11A-411D-AE2D-A6379E00E559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187" operator="between" id="{3D5D7455-E6DD-4B35-8914-E5B6669BC892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188" operator="lessThan" id="{F81C0B05-277D-42D0-9E31-113B5D78E2E1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AK74</xm:sqref>
        </x14:conditionalFormatting>
        <x14:conditionalFormatting xmlns:xm="http://schemas.microsoft.com/office/excel/2006/main">
          <x14:cfRule type="cellIs" priority="483" operator="between" id="{27AA6189-3E37-4A18-AE0E-122E61DD67C6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484" operator="lessThan" id="{5DF27758-6073-4F60-B6FC-EB2BFCD025EC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482" operator="greaterThanOrEqual" id="{F449F918-47C6-404F-B21B-C968996073B4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AK77:AK80</xm:sqref>
        </x14:conditionalFormatting>
        <x14:conditionalFormatting xmlns:xm="http://schemas.microsoft.com/office/excel/2006/main">
          <x14:cfRule type="cellIs" priority="30" operator="greaterThanOrEqual" id="{9559202E-DC20-4040-ABAC-C618EAA6C8C6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31" operator="between" id="{ECF4A7B6-78A5-43FE-8B92-284B27E820C3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32" operator="lessThan" id="{25E23BDC-5FC4-491B-B0DD-68437177D76D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AK82:AK89</xm:sqref>
        </x14:conditionalFormatting>
        <x14:conditionalFormatting xmlns:xm="http://schemas.microsoft.com/office/excel/2006/main">
          <x14:cfRule type="cellIs" priority="306" operator="greaterThanOrEqual" id="{D58F9EE7-F5C3-4305-9362-D4514E4BDAD9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308" operator="lessThan" id="{76402171-97CA-47BA-B41D-C3127487EFC6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307" operator="between" id="{BB46362F-0537-4068-A4A8-FE3C65818C47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AO6:AO15</xm:sqref>
        </x14:conditionalFormatting>
        <x14:conditionalFormatting xmlns:xm="http://schemas.microsoft.com/office/excel/2006/main">
          <x14:cfRule type="cellIs" priority="291" operator="between" id="{4C2B2E7A-1E34-42A1-863F-327BF4A80ED0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292" operator="lessThan" id="{9C2B6ED2-A57D-4FB6-A80D-987A43A289CB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290" operator="greaterThanOrEqual" id="{DDAA6E37-ED10-4ABC-B984-87166DD49115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AO17:AO21</xm:sqref>
        </x14:conditionalFormatting>
        <x14:conditionalFormatting xmlns:xm="http://schemas.microsoft.com/office/excel/2006/main">
          <x14:cfRule type="cellIs" priority="274" operator="greaterThanOrEqual" id="{0FBAB4B7-2588-45DE-9E0C-D824413897E1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275" operator="between" id="{E832ACBD-FDFD-49F7-AC32-24891D573DC0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276" operator="lessThan" id="{1C92E1D6-F43F-4537-974C-C9B0423C4C2F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AO23:AO25</xm:sqref>
        </x14:conditionalFormatting>
        <x14:conditionalFormatting xmlns:xm="http://schemas.microsoft.com/office/excel/2006/main">
          <x14:cfRule type="cellIs" priority="210" operator="greaterThanOrEqual" id="{8781A7F2-C8E2-49A6-B3DB-E5543FD832EB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211" operator="between" id="{6571CE7C-05A5-47D5-AB92-356DBC936A88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212" operator="lessThan" id="{D5F80EAD-A0CB-4062-B3B6-9E323A0DDFA0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AO31:AO50</xm:sqref>
        </x14:conditionalFormatting>
        <x14:conditionalFormatting xmlns:xm="http://schemas.microsoft.com/office/excel/2006/main">
          <x14:cfRule type="cellIs" priority="403" operator="between" id="{254B5B87-87F9-42F0-8274-1FCB68CE9D49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402" operator="greaterThanOrEqual" id="{0E303E77-ADBB-4DD3-A757-90F7CA3C0D4D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404" operator="lessThan" id="{4D95A79B-F619-4B10-967C-1878D24EF07D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AO54:AO57 AQ54:AQ57</xm:sqref>
        </x14:conditionalFormatting>
        <x14:conditionalFormatting xmlns:xm="http://schemas.microsoft.com/office/excel/2006/main">
          <x14:cfRule type="cellIs" priority="394" operator="greaterThanOrEqual" id="{46E80C4C-AABE-4ECB-A3A4-F750CA94CB79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396" operator="lessThan" id="{87CF7123-E1A4-4066-87F5-C3B1B7C8B45D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395" operator="between" id="{B69153DA-99D2-4F91-BAF9-A7794F209439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AO60:AO72</xm:sqref>
        </x14:conditionalFormatting>
        <x14:conditionalFormatting xmlns:xm="http://schemas.microsoft.com/office/excel/2006/main">
          <x14:cfRule type="cellIs" priority="176" operator="lessThan" id="{D5B42B4C-DC59-4863-9B4D-6C6EBE3DF682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175" operator="between" id="{C9B7C5CA-8EC2-49E8-B184-A53611CE4E2A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174" operator="greaterThanOrEqual" id="{2D74049B-F272-42F1-A263-29898131DAA9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AO74</xm:sqref>
        </x14:conditionalFormatting>
        <x14:conditionalFormatting xmlns:xm="http://schemas.microsoft.com/office/excel/2006/main">
          <x14:cfRule type="cellIs" priority="388" operator="lessThan" id="{03365A96-F639-4AB7-B798-915654547D97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387" operator="between" id="{4A258B37-7EB1-46E4-B94B-0A8CE1B383D4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386" operator="greaterThanOrEqual" id="{5D149A3A-C3B8-4BFE-9EB8-F23FED8CF8E4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AO77:AO80</xm:sqref>
        </x14:conditionalFormatting>
        <x14:conditionalFormatting xmlns:xm="http://schemas.microsoft.com/office/excel/2006/main">
          <x14:cfRule type="cellIs" priority="19" operator="between" id="{0D1CF686-4ECC-457E-AAF8-0A24FA35DFE8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20" operator="lessThan" id="{F3B6FBEC-894F-4566-9A05-3B88E7F3A116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18" operator="greaterThanOrEqual" id="{224D0798-9789-4731-A09A-3E5D78E40141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AO82</xm:sqref>
        </x14:conditionalFormatting>
        <x14:conditionalFormatting xmlns:xm="http://schemas.microsoft.com/office/excel/2006/main">
          <x14:cfRule type="cellIs" priority="428" operator="lessThan" id="{C03F924A-6B17-4987-BD8F-5CD8393D5113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427" operator="between" id="{582A117C-8E96-4976-B575-A059047A51CA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426" operator="greaterThanOrEqual" id="{ECE42B9F-DA01-40DF-BF12-415BE0764582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AO58:AQ59</xm:sqref>
        </x14:conditionalFormatting>
        <x14:conditionalFormatting xmlns:xm="http://schemas.microsoft.com/office/excel/2006/main">
          <x14:cfRule type="cellIs" priority="398" operator="greaterThanOrEqual" id="{6090734C-5233-440F-9A55-B0AB99FFC6D1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399" operator="between" id="{A9BE17B0-CDA5-4A06-973A-4C99081D4A95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400" operator="lessThan" id="{3D5F9942-B963-42DA-830E-AFF1AA538F15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AQ60:AQ72</xm:sqref>
        </x14:conditionalFormatting>
        <x14:conditionalFormatting xmlns:xm="http://schemas.microsoft.com/office/excel/2006/main">
          <x14:cfRule type="cellIs" priority="179" operator="between" id="{17AC2953-4F95-45DA-9BA7-51B41635E007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178" operator="greaterThanOrEqual" id="{2CB29930-5352-493E-8418-21652C18563E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180" operator="lessThan" id="{1260164B-334A-46FC-A641-D0DBDC259A95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AQ74</xm:sqref>
        </x14:conditionalFormatting>
        <x14:conditionalFormatting xmlns:xm="http://schemas.microsoft.com/office/excel/2006/main">
          <x14:cfRule type="cellIs" priority="392" operator="lessThan" id="{88101F9D-6BF9-4047-A27A-6C5A2C033AC7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391" operator="between" id="{CABB1202-9DF6-4807-88C6-C79197D8E6A6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390" operator="greaterThanOrEqual" id="{59A12200-F53E-4E10-BA9C-C60A26CBB3BF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AQ77:AQ80</xm:sqref>
        </x14:conditionalFormatting>
        <x14:conditionalFormatting xmlns:xm="http://schemas.microsoft.com/office/excel/2006/main">
          <x14:cfRule type="cellIs" priority="22" operator="greaterThanOrEqual" id="{9ADCF849-51B4-41A3-BEEC-EBE8B7C874C9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23" operator="between" id="{C6FB3E89-39C8-459E-A17B-29D5199BA9F0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24" operator="lessThan" id="{B4803F73-C5D3-4AB3-931A-2862417F0DEF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AQ82:AQ89</xm:sqref>
        </x14:conditionalFormatting>
        <x14:conditionalFormatting xmlns:xm="http://schemas.microsoft.com/office/excel/2006/main">
          <x14:cfRule type="cellIs" priority="107" operator="between" id="{44AFA044-F27B-4EA5-96FB-D26C84E9D841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108" operator="lessThan" id="{4D2FA333-697C-4D3E-AD04-15296F8D6BA6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106" operator="greaterThanOrEqual" id="{A26F916D-F592-4890-9ED8-8741C7B63EBD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AU6:AU15</xm:sqref>
        </x14:conditionalFormatting>
        <x14:conditionalFormatting xmlns:xm="http://schemas.microsoft.com/office/excel/2006/main">
          <x14:cfRule type="cellIs" priority="104" operator="lessThan" id="{65E35D7E-E3AD-4D38-A531-E401058A7577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103" operator="between" id="{7DB14BBA-CDBE-4DE8-BF6A-05995937347A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102" operator="greaterThanOrEqual" id="{451F5DC0-0236-40EE-9B2F-77F4D0FB6440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AU17:AU21</xm:sqref>
        </x14:conditionalFormatting>
        <x14:conditionalFormatting xmlns:xm="http://schemas.microsoft.com/office/excel/2006/main">
          <x14:cfRule type="cellIs" priority="99" operator="between" id="{A342B103-A3DE-449B-922F-7507E6FF6994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100" operator="lessThan" id="{CD2C60EF-F738-41E2-A9B8-A2610A8EBAEB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98" operator="greaterThanOrEqual" id="{23CDA54B-0ACA-44F0-8786-8AA395851654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AU23:AU25</xm:sqref>
        </x14:conditionalFormatting>
        <x14:conditionalFormatting xmlns:xm="http://schemas.microsoft.com/office/excel/2006/main">
          <x14:cfRule type="cellIs" priority="167" operator="between" id="{DC396BF0-8341-4915-B439-DE58AE7C20EC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168" operator="lessThan" id="{2EA60332-CF4E-43E3-9006-25C9BDCCC948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166" operator="greaterThanOrEqual" id="{5103B30F-55EE-49C9-A344-802F77B908BA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AU27 AW27 AU52 AW52 AU73:AW73 AU75:AW76 AU77:AU79 AW77:AW79 AU81:AW81</xm:sqref>
        </x14:conditionalFormatting>
        <x14:conditionalFormatting xmlns:xm="http://schemas.microsoft.com/office/excel/2006/main">
          <x14:cfRule type="cellIs" priority="82" operator="greaterThanOrEqual" id="{0AB9B7F3-E3AD-4FDA-86F6-97C7A4C91B88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83" operator="between" id="{54DFCE17-7667-43A4-87C8-AE7A82F91A24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84" operator="lessThan" id="{FE6578E1-26D7-438D-996F-15B1358FAF4A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AU31:AU50</xm:sqref>
        </x14:conditionalFormatting>
        <x14:conditionalFormatting xmlns:xm="http://schemas.microsoft.com/office/excel/2006/main">
          <x14:cfRule type="cellIs" priority="10" operator="greaterThanOrEqual" id="{1E5AF65D-9404-4049-B967-F5D77742C03E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11" operator="between" id="{B3ABCA82-4560-47A1-A84C-FFE9CD717532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12" operator="lessThan" id="{9B3227B2-D489-4161-A842-BC37FDF897C7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AU54:AU57</xm:sqref>
        </x14:conditionalFormatting>
        <x14:conditionalFormatting xmlns:xm="http://schemas.microsoft.com/office/excel/2006/main">
          <x14:cfRule type="cellIs" priority="132" operator="lessThan" id="{97293D9A-8AD1-41C4-A87C-020D9B14D646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131" operator="between" id="{E61BAD05-6115-4B46-B0FF-41C62182A783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130" operator="greaterThanOrEqual" id="{47703898-7506-48CD-B62D-21968CA77CBF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AU60:AU72</xm:sqref>
        </x14:conditionalFormatting>
        <x14:conditionalFormatting xmlns:xm="http://schemas.microsoft.com/office/excel/2006/main">
          <x14:cfRule type="cellIs" priority="74" operator="greaterThanOrEqual" id="{B78026F8-08FF-458D-B5BE-CD8CE653F697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75" operator="between" id="{B4CF752E-A6C3-46C5-8F4D-0C0E3622DD58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76" operator="lessThan" id="{41EBBB9A-C6FD-4C7A-AB5F-BB1866DD8291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AU74</xm:sqref>
        </x14:conditionalFormatting>
        <x14:conditionalFormatting xmlns:xm="http://schemas.microsoft.com/office/excel/2006/main">
          <x14:cfRule type="cellIs" priority="122" operator="greaterThanOrEqual" id="{EDC52F73-A843-403C-88ED-D6409214FECC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123" operator="between" id="{16659823-AB9B-4826-9230-6EB7B8B9CE16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124" operator="lessThan" id="{585F128B-328B-41C8-A7A6-E08AABA6E773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AU77:AU80</xm:sqref>
        </x14:conditionalFormatting>
        <x14:conditionalFormatting xmlns:xm="http://schemas.microsoft.com/office/excel/2006/main">
          <x14:cfRule type="cellIs" priority="2" operator="greaterThanOrEqual" id="{B8573273-CDCD-4E23-B99D-B830F8F637AF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4" operator="lessThan" id="{001767C8-D346-4B2E-BBCB-BBA8D0D1D072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3" operator="between" id="{D7D161F8-18B0-456B-8658-3C3EDFE58A45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AU82</xm:sqref>
        </x14:conditionalFormatting>
        <x14:conditionalFormatting xmlns:xm="http://schemas.microsoft.com/office/excel/2006/main">
          <x14:cfRule type="cellIs" priority="164" operator="lessThan" id="{74A16D94-A7B2-4A75-9D5D-F5DD2369C394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163" operator="between" id="{6BFD655B-6EAD-4A4C-A36E-C32FCFFE46A4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162" operator="greaterThanOrEqual" id="{657F8686-B97B-4C03-A2CD-2034454486CB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AU58:AW59</xm:sqref>
        </x14:conditionalFormatting>
        <x14:conditionalFormatting xmlns:xm="http://schemas.microsoft.com/office/excel/2006/main">
          <x14:cfRule type="cellIs" priority="170" operator="greaterThanOrEqual" id="{0F6BA8FE-E228-459F-9CD5-FB1309553D7A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171" operator="between" id="{1F932A04-3263-4E99-B17F-404F562B51D4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172" operator="lessThan" id="{6D551EE7-E37B-4078-8380-1EDC8ED5042C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AW6:AW15 AW17:AW21 AW23:AW25 AW31:AW50 AU70 AW70</xm:sqref>
        </x14:conditionalFormatting>
        <x14:conditionalFormatting xmlns:xm="http://schemas.microsoft.com/office/excel/2006/main">
          <x14:cfRule type="cellIs" priority="138" operator="greaterThanOrEqual" id="{780BADF1-D82D-49C4-A06A-5E7AB575AA52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139" operator="between" id="{F8981625-7AD4-4CB5-8DF8-2A60F399A44D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140" operator="lessThan" id="{E8928782-744B-477E-913D-588EBDB8C51C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AW54:AW57</xm:sqref>
        </x14:conditionalFormatting>
        <x14:conditionalFormatting xmlns:xm="http://schemas.microsoft.com/office/excel/2006/main">
          <x14:cfRule type="cellIs" priority="134" operator="greaterThanOrEqual" id="{8F04F88E-5801-4916-B05E-D6ECFE133827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135" operator="between" id="{7390ED42-10CF-459F-913A-DF1C390C8750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136" operator="lessThan" id="{B9797E3F-3D77-4FE8-991B-CBC65D24F38E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AW60:AW72</xm:sqref>
        </x14:conditionalFormatting>
        <x14:conditionalFormatting xmlns:xm="http://schemas.microsoft.com/office/excel/2006/main">
          <x14:cfRule type="cellIs" priority="79" operator="between" id="{7DA18926-1478-414A-8D2E-26815A175071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78" operator="greaterThanOrEqual" id="{86CEE63B-0E0D-4C95-BB1C-BC76EA0DDA9F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80" operator="lessThan" id="{2FAD5417-ACDC-47A5-9666-8CE2F8247737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AW74</xm:sqref>
        </x14:conditionalFormatting>
        <x14:conditionalFormatting xmlns:xm="http://schemas.microsoft.com/office/excel/2006/main">
          <x14:cfRule type="cellIs" priority="128" operator="lessThan" id="{1821D68D-E268-4D91-8C4D-FAA5280D3699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126" operator="greaterThanOrEqual" id="{B593FE3B-2B55-4E55-89F0-F49FED6BC68E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127" operator="between" id="{1FFEE5E9-BAC3-47D8-AF98-E4E8650D68C4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AW77:AW80</xm:sqref>
        </x14:conditionalFormatting>
        <x14:conditionalFormatting xmlns:xm="http://schemas.microsoft.com/office/excel/2006/main">
          <x14:cfRule type="cellIs" priority="120" operator="lessThan" id="{BAC75FD6-FEA5-4B8C-9B4D-53A94F3A205A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119" operator="between" id="{94F094F0-6357-495E-BBB9-C01055759F1D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118" operator="greaterThanOrEqual" id="{9A68A753-349C-4378-8A5A-CF4D2338E0CC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AW82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63A39-3C60-4B28-A3F9-877C7C495678}">
  <dimension ref="A1:Z24"/>
  <sheetViews>
    <sheetView showGridLines="0" tabSelected="1" zoomScale="90" zoomScaleNormal="90" workbookViewId="0">
      <selection activeCell="C5" sqref="C5"/>
    </sheetView>
  </sheetViews>
  <sheetFormatPr baseColWidth="10" defaultRowHeight="14.4" x14ac:dyDescent="0.3"/>
  <cols>
    <col min="1" max="1" width="4" customWidth="1"/>
    <col min="2" max="2" width="19.77734375" bestFit="1" customWidth="1"/>
    <col min="3" max="3" width="14.21875" bestFit="1" customWidth="1"/>
    <col min="4" max="4" width="14.77734375" customWidth="1"/>
    <col min="5" max="5" width="11.77734375" bestFit="1" customWidth="1"/>
    <col min="6" max="6" width="3.21875" customWidth="1"/>
    <col min="8" max="8" width="9.77734375" customWidth="1"/>
    <col min="9" max="9" width="4.44140625" customWidth="1"/>
    <col min="10" max="10" width="4.77734375" customWidth="1"/>
    <col min="11" max="11" width="16.44140625" customWidth="1"/>
    <col min="12" max="13" width="12.44140625" customWidth="1"/>
    <col min="15" max="15" width="4.21875" customWidth="1"/>
    <col min="17" max="17" width="9.44140625" customWidth="1"/>
    <col min="18" max="19" width="5.21875" customWidth="1"/>
    <col min="20" max="20" width="15.77734375" customWidth="1"/>
    <col min="22" max="22" width="12.77734375" customWidth="1"/>
    <col min="24" max="24" width="5.21875" customWidth="1"/>
    <col min="26" max="26" width="8" customWidth="1"/>
  </cols>
  <sheetData>
    <row r="1" spans="1:26" ht="16.2" thickBot="1" x14ac:dyDescent="0.35">
      <c r="A1" s="56"/>
      <c r="B1" s="57"/>
      <c r="C1" s="150" t="s">
        <v>133</v>
      </c>
      <c r="D1" s="150"/>
      <c r="E1" s="150"/>
      <c r="F1" s="57"/>
      <c r="G1" s="57"/>
      <c r="H1" s="58"/>
      <c r="J1" s="48"/>
      <c r="K1" s="49"/>
      <c r="L1" s="149" t="s">
        <v>130</v>
      </c>
      <c r="M1" s="149"/>
      <c r="N1" s="149"/>
      <c r="O1" s="49"/>
      <c r="P1" s="49"/>
      <c r="Q1" s="50"/>
      <c r="S1" s="48"/>
      <c r="T1" s="49"/>
      <c r="U1" s="149" t="s">
        <v>129</v>
      </c>
      <c r="V1" s="149"/>
      <c r="W1" s="149"/>
      <c r="X1" s="49"/>
      <c r="Y1" s="49"/>
      <c r="Z1" s="50"/>
    </row>
    <row r="2" spans="1:26" ht="15" customHeight="1" thickBot="1" x14ac:dyDescent="0.35">
      <c r="A2" s="59"/>
      <c r="B2" s="71"/>
      <c r="C2" s="151"/>
      <c r="D2" s="151"/>
      <c r="E2" s="151"/>
      <c r="F2" s="71"/>
      <c r="G2" s="71"/>
      <c r="H2" s="61"/>
      <c r="J2" s="51"/>
      <c r="L2" s="43"/>
      <c r="M2" s="152" t="s">
        <v>118</v>
      </c>
      <c r="N2" s="43"/>
      <c r="O2" s="12"/>
      <c r="P2" s="41"/>
      <c r="Q2" s="53"/>
      <c r="S2" s="51"/>
      <c r="U2" s="43"/>
      <c r="V2" s="152" t="s">
        <v>118</v>
      </c>
      <c r="W2" s="43"/>
      <c r="X2" s="12"/>
      <c r="Y2" s="41"/>
      <c r="Z2" s="53"/>
    </row>
    <row r="3" spans="1:26" x14ac:dyDescent="0.3">
      <c r="A3" s="59"/>
      <c r="C3" s="43"/>
      <c r="D3" s="152" t="s">
        <v>118</v>
      </c>
      <c r="E3" s="43"/>
      <c r="F3" s="12"/>
      <c r="G3" s="41"/>
      <c r="H3" s="61"/>
      <c r="J3" s="51"/>
      <c r="L3" s="43" t="s">
        <v>117</v>
      </c>
      <c r="M3" s="152"/>
      <c r="N3" s="43" t="s">
        <v>60</v>
      </c>
      <c r="O3" s="12"/>
      <c r="P3" s="42" t="s">
        <v>119</v>
      </c>
      <c r="Q3" s="53"/>
      <c r="S3" s="51"/>
      <c r="U3" s="43" t="s">
        <v>117</v>
      </c>
      <c r="V3" s="152"/>
      <c r="W3" s="43" t="s">
        <v>60</v>
      </c>
      <c r="X3" s="12"/>
      <c r="Y3" s="42" t="s">
        <v>119</v>
      </c>
      <c r="Z3" s="53"/>
    </row>
    <row r="4" spans="1:26" x14ac:dyDescent="0.3">
      <c r="A4" s="59"/>
      <c r="C4" s="43" t="s">
        <v>117</v>
      </c>
      <c r="D4" s="152"/>
      <c r="E4" s="43" t="s">
        <v>60</v>
      </c>
      <c r="F4" s="12"/>
      <c r="G4" s="42" t="s">
        <v>119</v>
      </c>
      <c r="H4" s="61"/>
      <c r="J4" s="51"/>
      <c r="K4" s="44" t="s">
        <v>125</v>
      </c>
      <c r="L4" s="45">
        <f>Evaluación!I30</f>
        <v>318679903.6500001</v>
      </c>
      <c r="M4" s="46">
        <f>Evaluación!I39</f>
        <v>0</v>
      </c>
      <c r="N4" s="45">
        <f>+Evaluación!I53</f>
        <v>18455350.480000019</v>
      </c>
      <c r="O4" s="38"/>
      <c r="P4" s="67">
        <f>+N4+M4+L4</f>
        <v>337135254.13000011</v>
      </c>
      <c r="Q4" s="53"/>
      <c r="S4" s="51"/>
      <c r="T4" s="44" t="s">
        <v>125</v>
      </c>
      <c r="U4" s="45">
        <f>Evaluación!AA30</f>
        <v>6881679.04</v>
      </c>
      <c r="V4" s="46">
        <f>Evaluación!AA39</f>
        <v>0</v>
      </c>
      <c r="W4" s="45">
        <f>Evaluación!AA53</f>
        <v>10610.62</v>
      </c>
      <c r="Y4" s="67">
        <f>+W4+V4+U4</f>
        <v>6892289.6600000001</v>
      </c>
      <c r="Z4" s="53"/>
    </row>
    <row r="5" spans="1:26" x14ac:dyDescent="0.3">
      <c r="A5" s="59"/>
      <c r="B5" s="44" t="s">
        <v>125</v>
      </c>
      <c r="C5" s="45">
        <f>Evaluación!C30</f>
        <v>479647022.05999994</v>
      </c>
      <c r="D5" s="46">
        <f>Evaluación!C39</f>
        <v>0</v>
      </c>
      <c r="E5" s="45">
        <f>+Evaluación!C53</f>
        <v>36766929.060000025</v>
      </c>
      <c r="F5" s="47"/>
      <c r="G5" s="67">
        <f>+E5+D5+C5</f>
        <v>516413951.11999995</v>
      </c>
      <c r="H5" s="61"/>
      <c r="J5" s="51"/>
      <c r="K5" s="44" t="s">
        <v>126</v>
      </c>
      <c r="L5" s="45">
        <f>Evaluación!J30</f>
        <v>296740680.25000006</v>
      </c>
      <c r="M5" s="46">
        <f>Evaluación!J39</f>
        <v>16206247.619999997</v>
      </c>
      <c r="N5" s="45">
        <f>+Evaluación!J53</f>
        <v>16366858.780000012</v>
      </c>
      <c r="O5" s="38"/>
      <c r="P5" s="67">
        <f t="shared" ref="P5:P6" si="0">+N5+M5+L5</f>
        <v>329313786.6500001</v>
      </c>
      <c r="Q5" s="53"/>
      <c r="S5" s="51"/>
      <c r="T5" s="44" t="s">
        <v>126</v>
      </c>
      <c r="U5" s="45">
        <f>Evaluación!AB30</f>
        <v>4766224.8</v>
      </c>
      <c r="V5" s="46">
        <f>Evaluación!AB39</f>
        <v>0</v>
      </c>
      <c r="W5" s="45">
        <f>Evaluación!AB53</f>
        <v>0</v>
      </c>
      <c r="Y5" s="67">
        <f t="shared" ref="Y5:Y6" si="1">+W5+V5+U5</f>
        <v>4766224.8</v>
      </c>
      <c r="Z5" s="53"/>
    </row>
    <row r="6" spans="1:26" x14ac:dyDescent="0.3">
      <c r="A6" s="59"/>
      <c r="B6" s="44" t="s">
        <v>126</v>
      </c>
      <c r="C6" s="45">
        <f>Evaluación!D30</f>
        <v>440763922.29000014</v>
      </c>
      <c r="D6" s="46">
        <f>Evaluación!D39</f>
        <v>17168621.069999997</v>
      </c>
      <c r="E6" s="45">
        <f>+Evaluación!D53</f>
        <v>34233704.380000025</v>
      </c>
      <c r="F6" s="47"/>
      <c r="G6" s="67">
        <f t="shared" ref="G6:G7" si="2">+E6+D6+C6</f>
        <v>492166247.74000013</v>
      </c>
      <c r="H6" s="61"/>
      <c r="J6" s="51"/>
      <c r="K6" s="44" t="s">
        <v>124</v>
      </c>
      <c r="L6" s="45">
        <f>Evaluación!L30</f>
        <v>306720075.75738156</v>
      </c>
      <c r="M6" s="46">
        <f>Evaluación!L39</f>
        <v>23774027.151130617</v>
      </c>
      <c r="N6" s="45">
        <f>+Evaluación!L53</f>
        <v>0</v>
      </c>
      <c r="O6" s="22"/>
      <c r="P6" s="67">
        <f t="shared" si="0"/>
        <v>330494102.90851218</v>
      </c>
      <c r="Q6" s="53"/>
      <c r="S6" s="51"/>
      <c r="T6" s="44" t="s">
        <v>124</v>
      </c>
      <c r="U6" s="45">
        <f>Evaluación!AD30</f>
        <v>11130302.018809425</v>
      </c>
      <c r="V6" s="46">
        <f>Evaluación!AD39</f>
        <v>0</v>
      </c>
      <c r="W6" s="45">
        <f>Evaluación!AD53</f>
        <v>0</v>
      </c>
      <c r="Y6" s="67">
        <f t="shared" si="1"/>
        <v>11130302.018809425</v>
      </c>
      <c r="Z6" s="53"/>
    </row>
    <row r="7" spans="1:26" x14ac:dyDescent="0.3">
      <c r="A7" s="59"/>
      <c r="B7" s="44" t="s">
        <v>124</v>
      </c>
      <c r="C7" s="45">
        <f>Evaluación!F30</f>
        <v>476181578.96580994</v>
      </c>
      <c r="D7" s="46">
        <f>Evaluación!F39</f>
        <v>28067030.692833573</v>
      </c>
      <c r="E7" s="45">
        <f>+Evaluación!F53</f>
        <v>44520178.684592679</v>
      </c>
      <c r="F7" s="47"/>
      <c r="G7" s="67">
        <f t="shared" si="2"/>
        <v>548768788.34323621</v>
      </c>
      <c r="H7" s="61"/>
      <c r="I7" s="3"/>
      <c r="J7" s="54"/>
      <c r="K7" s="3" t="s">
        <v>121</v>
      </c>
      <c r="L7" s="22">
        <f>IFERROR((L5-L4)/L4,0)</f>
        <v>-6.8844075665641769E-2</v>
      </c>
      <c r="M7" s="22">
        <f t="shared" ref="M7:N7" si="3">IFERROR((M5-M4)/M4,0)</f>
        <v>0</v>
      </c>
      <c r="N7" s="22">
        <f t="shared" si="3"/>
        <v>-0.1131645645127843</v>
      </c>
      <c r="O7" s="22"/>
      <c r="P7" s="22">
        <f t="shared" ref="P7" si="4">+(P5-P4)/P4</f>
        <v>-2.3199791134818678E-2</v>
      </c>
      <c r="Q7" s="53"/>
      <c r="S7" s="51"/>
      <c r="T7" s="3" t="s">
        <v>121</v>
      </c>
      <c r="U7" s="22">
        <f>IFERROR((U5-U4)/U4,0)</f>
        <v>-0.30740379313011379</v>
      </c>
      <c r="V7" s="22">
        <f t="shared" ref="V7:W7" si="5">IFERROR((V5-V4)/V4,0)</f>
        <v>0</v>
      </c>
      <c r="W7" s="22">
        <f t="shared" si="5"/>
        <v>-1</v>
      </c>
      <c r="X7" s="22"/>
      <c r="Y7" s="22">
        <f t="shared" ref="Y7" si="6">+(Y5-Y4)/Y4</f>
        <v>-0.30847003896815334</v>
      </c>
      <c r="Z7" s="53"/>
    </row>
    <row r="8" spans="1:26" x14ac:dyDescent="0.3">
      <c r="A8" s="59"/>
      <c r="B8" s="3" t="s">
        <v>121</v>
      </c>
      <c r="C8" s="22">
        <f>IFERROR((C6-C5)/C5,0)</f>
        <v>-8.1066071468563899E-2</v>
      </c>
      <c r="D8" s="22">
        <f>IFERROR((D6-D5)/D5,0)</f>
        <v>0</v>
      </c>
      <c r="E8" s="22">
        <f>IFERROR((E6-E5)/E5,0)</f>
        <v>-6.889954491075459E-2</v>
      </c>
      <c r="F8" s="22"/>
      <c r="G8" s="22">
        <f t="shared" ref="G8" si="7">+(G6-G5)/G5</f>
        <v>-4.6954005265371572E-2</v>
      </c>
      <c r="H8" s="62"/>
      <c r="J8" s="51"/>
      <c r="K8" s="3" t="s">
        <v>122</v>
      </c>
      <c r="L8" s="22">
        <f>IFERROR((L5-L6)/L6,0)</f>
        <v>-3.2535840644729412E-2</v>
      </c>
      <c r="M8" s="22">
        <f t="shared" ref="M8:N8" si="8">IFERROR((M5-M6)/M6,0)</f>
        <v>-0.31832131270913938</v>
      </c>
      <c r="N8" s="22">
        <f t="shared" si="8"/>
        <v>0</v>
      </c>
      <c r="O8" s="22"/>
      <c r="P8" s="22">
        <f t="shared" ref="P8" si="9">+(P5-P6)/P6</f>
        <v>-3.5713685906184427E-3</v>
      </c>
      <c r="Q8" s="53"/>
      <c r="S8" s="51"/>
      <c r="T8" s="3" t="s">
        <v>122</v>
      </c>
      <c r="U8" s="22">
        <f>IFERROR((U5-U6)/U6,0)</f>
        <v>-0.57177938281050988</v>
      </c>
      <c r="V8" s="22">
        <f t="shared" ref="V8:W8" si="10">IFERROR((V5-V6)/V6,0)</f>
        <v>0</v>
      </c>
      <c r="W8" s="22">
        <f t="shared" si="10"/>
        <v>0</v>
      </c>
      <c r="X8" s="22"/>
      <c r="Y8" s="22">
        <f t="shared" ref="Y8" si="11">+(Y5-Y6)/Y6</f>
        <v>-0.57177938281050988</v>
      </c>
      <c r="Z8" s="53"/>
    </row>
    <row r="9" spans="1:26" x14ac:dyDescent="0.3">
      <c r="A9" s="59"/>
      <c r="B9" s="3" t="s">
        <v>122</v>
      </c>
      <c r="C9" s="22">
        <f>IFERROR((C6-C7)/C7,0)</f>
        <v>-7.4378468719288285E-2</v>
      </c>
      <c r="D9" s="22">
        <f t="shared" ref="D9:E9" si="12">IFERROR((D6-D7)/D7,0)</f>
        <v>-0.38829934459779869</v>
      </c>
      <c r="E9" s="22">
        <f t="shared" si="12"/>
        <v>-0.23105195460845143</v>
      </c>
      <c r="F9" s="22"/>
      <c r="G9" s="22">
        <f t="shared" ref="G9" si="13">+(G6-G7)/G7</f>
        <v>-0.10314460626327224</v>
      </c>
      <c r="H9" s="61"/>
      <c r="J9" s="51"/>
      <c r="K9" s="2" t="s">
        <v>123</v>
      </c>
      <c r="L9" s="38">
        <f>+L5/C6</f>
        <v>0.67324176331918528</v>
      </c>
      <c r="M9" s="38">
        <f>+M5/D6</f>
        <v>0.94394579238040111</v>
      </c>
      <c r="N9" s="38">
        <f>+N5/E6</f>
        <v>0.47809195868273724</v>
      </c>
      <c r="O9" s="38"/>
      <c r="P9" s="38">
        <f>+P5/G6</f>
        <v>0.6691108708941147</v>
      </c>
      <c r="Q9" s="53"/>
      <c r="S9" s="51"/>
      <c r="T9" s="2" t="str">
        <f>+Evaluación!AA2</f>
        <v>Express</v>
      </c>
      <c r="U9" s="38">
        <f>+U5/C6</f>
        <v>1.0813554737504281E-2</v>
      </c>
      <c r="V9" s="38">
        <f>+V5/D6</f>
        <v>0</v>
      </c>
      <c r="W9" s="38">
        <f>+W5/E6</f>
        <v>0</v>
      </c>
      <c r="X9" s="38"/>
      <c r="Y9" s="38">
        <f>+Y5/G6</f>
        <v>9.6841764787533435E-3</v>
      </c>
      <c r="Z9" s="53"/>
    </row>
    <row r="10" spans="1:26" x14ac:dyDescent="0.3">
      <c r="A10" s="59"/>
      <c r="B10" s="2" t="s">
        <v>120</v>
      </c>
      <c r="C10" s="38">
        <f>+C6/G6</f>
        <v>0.89555901956699269</v>
      </c>
      <c r="D10" s="38">
        <f>+D6/G6</f>
        <v>3.4883783983231977E-2</v>
      </c>
      <c r="E10" s="38">
        <f>+E6/G6</f>
        <v>6.9557196449775413E-2</v>
      </c>
      <c r="F10" s="38"/>
      <c r="G10" s="38">
        <f>+E10+D10+C10</f>
        <v>1</v>
      </c>
      <c r="H10" s="61"/>
      <c r="J10" s="51"/>
      <c r="K10" s="2"/>
      <c r="L10" s="38"/>
      <c r="M10" s="38"/>
      <c r="N10" s="38"/>
      <c r="O10" s="38"/>
      <c r="P10" s="38"/>
      <c r="Q10" s="53"/>
      <c r="S10" s="51"/>
      <c r="Z10" s="53"/>
    </row>
    <row r="11" spans="1:26" ht="18.600000000000001" thickBot="1" x14ac:dyDescent="0.4">
      <c r="A11" s="60"/>
      <c r="B11" s="63"/>
      <c r="C11" s="64"/>
      <c r="D11" s="64"/>
      <c r="E11" s="64"/>
      <c r="F11" s="64"/>
      <c r="G11" s="64"/>
      <c r="H11" s="66">
        <f>+H24+Q24+Z17</f>
        <v>1.0019553828699534</v>
      </c>
      <c r="J11" s="51"/>
      <c r="K11" s="44" t="str">
        <f>+K4</f>
        <v>Real 2023</v>
      </c>
      <c r="L11" s="45">
        <f>Evaluación!O30</f>
        <v>49089944.080000006</v>
      </c>
      <c r="M11" s="46">
        <f>Evaluación!O39</f>
        <v>0</v>
      </c>
      <c r="N11" s="45">
        <f>+Evaluación!O53</f>
        <v>87522.180000000008</v>
      </c>
      <c r="O11" s="38"/>
      <c r="P11" s="67">
        <f>+N11+M11+L11</f>
        <v>49177466.260000005</v>
      </c>
      <c r="Q11" s="53"/>
      <c r="S11" s="51"/>
      <c r="T11" s="44" t="s">
        <v>125</v>
      </c>
      <c r="U11" s="45">
        <f>Evaluación!AM30</f>
        <v>650514.81999999995</v>
      </c>
      <c r="V11" s="46">
        <f>+Evaluación!AM39</f>
        <v>0</v>
      </c>
      <c r="W11" s="45">
        <f>+Evaluación!AM53</f>
        <v>0</v>
      </c>
      <c r="Y11" s="67">
        <f>+W11+V11+U11</f>
        <v>650514.81999999995</v>
      </c>
      <c r="Z11" s="53"/>
    </row>
    <row r="12" spans="1:26" x14ac:dyDescent="0.3">
      <c r="J12" s="51"/>
      <c r="K12" s="44" t="str">
        <f t="shared" ref="K12:K13" si="14">+K5</f>
        <v>Real 2024</v>
      </c>
      <c r="L12" s="45">
        <f>Evaluación!P30</f>
        <v>36862160.20000007</v>
      </c>
      <c r="M12" s="46">
        <f>Evaluación!P39</f>
        <v>962373.44999999984</v>
      </c>
      <c r="N12" s="45">
        <f>+Evaluación!P53</f>
        <v>105955.82999999999</v>
      </c>
      <c r="O12" s="38"/>
      <c r="P12" s="67">
        <f t="shared" ref="P12:P13" si="15">+N12+M12+L12</f>
        <v>37930489.480000071</v>
      </c>
      <c r="Q12" s="53"/>
      <c r="S12" s="51"/>
      <c r="T12" s="44" t="s">
        <v>126</v>
      </c>
      <c r="U12" s="45">
        <f>Evaluación!AN30</f>
        <v>933601.22</v>
      </c>
      <c r="V12" s="46">
        <f>Evaluación!AN39</f>
        <v>0</v>
      </c>
      <c r="W12" s="45">
        <f>+Evaluación!AN53</f>
        <v>0</v>
      </c>
      <c r="Y12" s="67">
        <f t="shared" ref="Y12:Y13" si="16">+W12+V12+U12</f>
        <v>933601.22</v>
      </c>
      <c r="Z12" s="53"/>
    </row>
    <row r="13" spans="1:26" x14ac:dyDescent="0.3">
      <c r="J13" s="51"/>
      <c r="K13" s="44" t="str">
        <f t="shared" si="14"/>
        <v>Presupuesto 2024</v>
      </c>
      <c r="L13" s="45">
        <f>Evaluación!R30</f>
        <v>52928980.809337102</v>
      </c>
      <c r="M13" s="46">
        <f>Evaluación!R39</f>
        <v>4293003.541702955</v>
      </c>
      <c r="N13" s="45">
        <f>+Evaluación!R53</f>
        <v>25094758.240723833</v>
      </c>
      <c r="O13" s="22"/>
      <c r="P13" s="67">
        <f t="shared" si="15"/>
        <v>82316742.591763884</v>
      </c>
      <c r="Q13" s="53"/>
      <c r="S13" s="51"/>
      <c r="T13" s="44" t="s">
        <v>124</v>
      </c>
      <c r="U13" s="45">
        <f>Evaluación!AP30</f>
        <v>925044.64709658525</v>
      </c>
      <c r="V13" s="46">
        <f>Evaluación!AP39</f>
        <v>0</v>
      </c>
      <c r="W13" s="45">
        <f>+Evaluación!AP53</f>
        <v>0</v>
      </c>
      <c r="Y13" s="67">
        <f t="shared" si="16"/>
        <v>925044.64709658525</v>
      </c>
      <c r="Z13" s="53"/>
    </row>
    <row r="14" spans="1:26" ht="15" thickBot="1" x14ac:dyDescent="0.35">
      <c r="J14" s="51"/>
      <c r="K14" s="3" t="s">
        <v>121</v>
      </c>
      <c r="L14" s="22">
        <f>IFERROR((L12-L11)/L11,0)</f>
        <v>-0.24908938295127783</v>
      </c>
      <c r="M14" s="22">
        <f>IFERROR((M12-M11)/M11,0)</f>
        <v>0</v>
      </c>
      <c r="N14" s="22">
        <f>IFERROR((N12-N11)/N11,0)</f>
        <v>0.21061689733962269</v>
      </c>
      <c r="O14" s="22"/>
      <c r="P14" s="22">
        <f t="shared" ref="P14" si="17">+(P12-P11)/P11</f>
        <v>-0.22870183511564943</v>
      </c>
      <c r="Q14" s="53"/>
      <c r="S14" s="51"/>
      <c r="T14" s="3" t="s">
        <v>121</v>
      </c>
      <c r="U14" s="22">
        <f>IFERROR((U12-U11)/U11,0)</f>
        <v>0.43517286816002138</v>
      </c>
      <c r="V14" s="22">
        <f t="shared" ref="V14:W14" si="18">IFERROR((V12-V11)/V11,0)</f>
        <v>0</v>
      </c>
      <c r="W14" s="22">
        <f t="shared" si="18"/>
        <v>0</v>
      </c>
      <c r="X14" s="22"/>
      <c r="Y14" s="22">
        <v>0</v>
      </c>
      <c r="Z14" s="53"/>
    </row>
    <row r="15" spans="1:26" ht="16.2" thickBot="1" x14ac:dyDescent="0.35">
      <c r="A15" s="48"/>
      <c r="B15" s="49"/>
      <c r="C15" s="149" t="s">
        <v>128</v>
      </c>
      <c r="D15" s="149"/>
      <c r="E15" s="149"/>
      <c r="F15" s="49"/>
      <c r="G15" s="49"/>
      <c r="H15" s="50"/>
      <c r="J15" s="51"/>
      <c r="K15" s="3" t="s">
        <v>122</v>
      </c>
      <c r="L15" s="22">
        <f>IFERROR((L12-L13)/L13,0)</f>
        <v>-0.30355431681584005</v>
      </c>
      <c r="M15" s="22">
        <f t="shared" ref="M15:N15" si="19">IFERROR((M12-M13)/M13,0)</f>
        <v>-0.77582747355054726</v>
      </c>
      <c r="N15" s="22">
        <f t="shared" si="19"/>
        <v>-0.99577777044179483</v>
      </c>
      <c r="O15" s="22"/>
      <c r="P15" s="22">
        <f t="shared" ref="P15" si="20">+(P12-P13)/P13</f>
        <v>-0.5392129439801816</v>
      </c>
      <c r="Q15" s="53"/>
      <c r="S15" s="51"/>
      <c r="T15" s="3" t="s">
        <v>122</v>
      </c>
      <c r="U15" s="22">
        <f>IFERROR((U12-U13)/U13,0)</f>
        <v>9.2499026185071456E-3</v>
      </c>
      <c r="V15" s="22">
        <f t="shared" ref="V15:W15" si="21">IFERROR((V12-V13)/V13,0)</f>
        <v>0</v>
      </c>
      <c r="W15" s="22">
        <f t="shared" si="21"/>
        <v>0</v>
      </c>
      <c r="X15" s="22"/>
      <c r="Y15" s="22">
        <f t="shared" ref="Y15" si="22">+(Y12-Y13)/Y13</f>
        <v>9.2499026185071456E-3</v>
      </c>
      <c r="Z15" s="53"/>
    </row>
    <row r="16" spans="1:26" ht="15" thickBot="1" x14ac:dyDescent="0.35">
      <c r="A16" s="51"/>
      <c r="C16" s="43"/>
      <c r="D16" s="152" t="s">
        <v>118</v>
      </c>
      <c r="E16" s="43"/>
      <c r="F16" s="12"/>
      <c r="G16" s="41"/>
      <c r="H16" s="53"/>
      <c r="J16" s="51"/>
      <c r="K16" s="2" t="str">
        <f>+Evaluación!O2</f>
        <v>Llevar</v>
      </c>
      <c r="L16" s="38">
        <f>+L12/C6</f>
        <v>8.3632435269388156E-2</v>
      </c>
      <c r="M16" s="38">
        <f>+M12/D6</f>
        <v>5.6054207619598888E-2</v>
      </c>
      <c r="N16" s="38">
        <f>+N12/E6</f>
        <v>3.0950734639719965E-3</v>
      </c>
      <c r="O16" s="38"/>
      <c r="P16" s="38">
        <f>+P12/G6</f>
        <v>7.7068449236766548E-2</v>
      </c>
      <c r="Q16" s="53"/>
      <c r="S16" s="51"/>
      <c r="T16" s="2" t="str">
        <f>+Evaluación!AM2</f>
        <v>ECommerce</v>
      </c>
      <c r="U16" s="38">
        <f>+U12/C6</f>
        <v>2.1181434613555738E-3</v>
      </c>
      <c r="V16" s="38">
        <f>+V12/D6</f>
        <v>0</v>
      </c>
      <c r="W16" s="38">
        <f>+W12/E6</f>
        <v>0</v>
      </c>
      <c r="X16" s="38"/>
      <c r="Y16" s="38">
        <f>+Y12/G6</f>
        <v>1.8969224815538338E-3</v>
      </c>
      <c r="Z16" s="53"/>
    </row>
    <row r="17" spans="1:26" ht="18.600000000000001" thickBot="1" x14ac:dyDescent="0.4">
      <c r="A17" s="51"/>
      <c r="C17" s="43" t="s">
        <v>117</v>
      </c>
      <c r="D17" s="152"/>
      <c r="E17" s="43" t="s">
        <v>60</v>
      </c>
      <c r="F17" s="12"/>
      <c r="G17" s="42" t="s">
        <v>119</v>
      </c>
      <c r="H17" s="53"/>
      <c r="J17" s="51"/>
      <c r="K17" s="2"/>
      <c r="L17" s="38"/>
      <c r="M17" s="38"/>
      <c r="N17" s="38"/>
      <c r="O17" s="38"/>
      <c r="P17" s="38"/>
      <c r="Q17" s="53"/>
      <c r="S17" s="52"/>
      <c r="T17" s="55"/>
      <c r="U17" s="55"/>
      <c r="V17" s="55"/>
      <c r="W17" s="55"/>
      <c r="X17" s="55"/>
      <c r="Y17" s="55"/>
      <c r="Z17" s="65">
        <f>+Y16+Y9</f>
        <v>1.1581098960307177E-2</v>
      </c>
    </row>
    <row r="18" spans="1:26" ht="15" thickBot="1" x14ac:dyDescent="0.35">
      <c r="A18" s="51"/>
      <c r="B18" s="44" t="str">
        <f>+B5</f>
        <v>Real 2023</v>
      </c>
      <c r="C18" s="45">
        <f>Evaluación!AG30</f>
        <v>102942156.89999996</v>
      </c>
      <c r="D18" s="46">
        <f>Evaluación!O39</f>
        <v>0</v>
      </c>
      <c r="E18" s="45">
        <f>+Evaluación!AG53</f>
        <v>18213445.780000009</v>
      </c>
      <c r="G18" s="67">
        <f>+E18+D18+C18</f>
        <v>121155602.67999998</v>
      </c>
      <c r="H18" s="53"/>
      <c r="J18" s="51"/>
      <c r="K18" s="44" t="str">
        <f>+K11</f>
        <v>Real 2023</v>
      </c>
      <c r="L18" s="45">
        <f>Evaluación!U30</f>
        <v>1402823.57</v>
      </c>
      <c r="M18" s="46">
        <f>Evaluación!U39</f>
        <v>0</v>
      </c>
      <c r="N18" s="45">
        <f>Evaluación!U53</f>
        <v>0</v>
      </c>
      <c r="O18" s="38"/>
      <c r="P18" s="67">
        <f>+N18+M18+L18</f>
        <v>1402823.57</v>
      </c>
      <c r="Q18" s="53"/>
    </row>
    <row r="19" spans="1:26" ht="15.6" x14ac:dyDescent="0.3">
      <c r="A19" s="51"/>
      <c r="B19" s="44" t="str">
        <f>+B6</f>
        <v>Real 2024</v>
      </c>
      <c r="C19" s="45">
        <f>Evaluación!AH30</f>
        <v>99782784.279999986</v>
      </c>
      <c r="D19" s="46">
        <f>Evaluación!P39</f>
        <v>962373.44999999984</v>
      </c>
      <c r="E19" s="45">
        <f>+Evaluación!AH53</f>
        <v>17760889.770000011</v>
      </c>
      <c r="G19" s="67">
        <f t="shared" ref="G19:G20" si="23">+E19+D19+C19</f>
        <v>118506047.5</v>
      </c>
      <c r="H19" s="53"/>
      <c r="J19" s="51"/>
      <c r="K19" s="44" t="str">
        <f t="shared" ref="K19:K20" si="24">+K12</f>
        <v>Real 2024</v>
      </c>
      <c r="L19" s="45">
        <f>Evaluación!V30</f>
        <v>1678471.5399999996</v>
      </c>
      <c r="M19" s="46">
        <f>Evaluación!V39</f>
        <v>0</v>
      </c>
      <c r="N19" s="45">
        <f>Evaluación!V53</f>
        <v>0</v>
      </c>
      <c r="O19" s="38"/>
      <c r="P19" s="67">
        <f t="shared" ref="P19:P20" si="25">+N19+M19+L19</f>
        <v>1678471.5399999996</v>
      </c>
      <c r="Q19" s="53"/>
      <c r="S19" s="48"/>
      <c r="T19" s="49"/>
      <c r="U19" s="149" t="s">
        <v>132</v>
      </c>
      <c r="V19" s="149"/>
      <c r="W19" s="149"/>
      <c r="X19" s="49"/>
      <c r="Y19" s="49"/>
      <c r="Z19" s="50"/>
    </row>
    <row r="20" spans="1:26" x14ac:dyDescent="0.3">
      <c r="A20" s="51"/>
      <c r="B20" s="44" t="str">
        <f>+B7</f>
        <v>Presupuesto 2024</v>
      </c>
      <c r="C20" s="45">
        <f>Evaluación!AJ30</f>
        <v>102788508.78931764</v>
      </c>
      <c r="D20" s="46">
        <f>+Evaluación!AJ38+Evaluación!AJ27</f>
        <v>7587503.5003996985</v>
      </c>
      <c r="E20" s="45">
        <f>+Evaluación!AJ53</f>
        <v>19425420.443868838</v>
      </c>
      <c r="G20" s="67">
        <f t="shared" si="23"/>
        <v>129801432.73358618</v>
      </c>
      <c r="H20" s="53"/>
      <c r="J20" s="51"/>
      <c r="K20" s="44" t="str">
        <f t="shared" si="24"/>
        <v>Presupuesto 2024</v>
      </c>
      <c r="L20" s="45">
        <f>Evaluación!X30</f>
        <v>1688666.9438675442</v>
      </c>
      <c r="M20" s="46">
        <f>Evaluación!X39</f>
        <v>0</v>
      </c>
      <c r="N20" s="45">
        <f>Evaluación!X53</f>
        <v>0</v>
      </c>
      <c r="O20" s="22"/>
      <c r="P20" s="67">
        <f t="shared" si="25"/>
        <v>1688666.9438675442</v>
      </c>
      <c r="Q20" s="53"/>
      <c r="S20" s="51"/>
      <c r="T20" s="2" t="s">
        <v>4</v>
      </c>
      <c r="V20" s="68">
        <f>+G7-G6</f>
        <v>56602540.603236079</v>
      </c>
      <c r="Z20" s="53"/>
    </row>
    <row r="21" spans="1:26" x14ac:dyDescent="0.3">
      <c r="A21" s="51"/>
      <c r="B21" s="3" t="s">
        <v>121</v>
      </c>
      <c r="C21" s="22">
        <f>IFERROR((C19-C18)/C18,0)</f>
        <v>-3.0690756004549739E-2</v>
      </c>
      <c r="D21" s="22">
        <f t="shared" ref="D21:E21" si="26">IFERROR((D19-D18)/D18,0)</f>
        <v>0</v>
      </c>
      <c r="E21" s="22">
        <f t="shared" si="26"/>
        <v>-2.4847358125772382E-2</v>
      </c>
      <c r="F21" s="22"/>
      <c r="G21" s="22">
        <f t="shared" ref="G21" si="27">+(G19-G18)/G18</f>
        <v>-2.1869027278895774E-2</v>
      </c>
      <c r="H21" s="53"/>
      <c r="J21" s="51"/>
      <c r="K21" s="3" t="s">
        <v>121</v>
      </c>
      <c r="L21" s="22">
        <f>IFERROR((L19-L18)/L18,0)</f>
        <v>0.19649510878976711</v>
      </c>
      <c r="M21" s="22">
        <f t="shared" ref="M21:N21" si="28">IFERROR((M19-M18)/M18,0)</f>
        <v>0</v>
      </c>
      <c r="N21" s="22">
        <f t="shared" si="28"/>
        <v>0</v>
      </c>
      <c r="O21" s="22"/>
      <c r="P21" s="22">
        <f t="shared" ref="P21" si="29">+(P19-P18)/P18</f>
        <v>0.19649510878976711</v>
      </c>
      <c r="Q21" s="53"/>
      <c r="S21" s="51"/>
      <c r="T21" s="69" t="s">
        <v>131</v>
      </c>
      <c r="V21" s="45">
        <f>+P6+P13+P20-P19-P12-P5</f>
        <v>45576764.774143457</v>
      </c>
      <c r="W21" s="70">
        <f>+V21/V20</f>
        <v>0.8052070505742942</v>
      </c>
      <c r="Z21" s="53"/>
    </row>
    <row r="22" spans="1:26" x14ac:dyDescent="0.3">
      <c r="A22" s="51"/>
      <c r="B22" s="3" t="s">
        <v>122</v>
      </c>
      <c r="C22" s="22">
        <f>IFERROR((C19-C20)/C20,0)</f>
        <v>-2.9241833982419085E-2</v>
      </c>
      <c r="D22" s="22">
        <f t="shared" ref="D22:E22" si="30">IFERROR((D19-D20)/D20,0)</f>
        <v>-0.87316335999722383</v>
      </c>
      <c r="E22" s="22">
        <f t="shared" si="30"/>
        <v>-8.5688270103527989E-2</v>
      </c>
      <c r="F22" s="22"/>
      <c r="G22" s="22">
        <f t="shared" ref="G22" si="31">+(G19-G20)/G20</f>
        <v>-8.7020497352826923E-2</v>
      </c>
      <c r="H22" s="53"/>
      <c r="J22" s="51"/>
      <c r="K22" s="3" t="s">
        <v>122</v>
      </c>
      <c r="L22" s="22">
        <f>IFERROR((L19-L20)/L20,0)</f>
        <v>-6.0375457129480678E-3</v>
      </c>
      <c r="M22" s="22">
        <f t="shared" ref="M22:N22" si="32">IFERROR((M19-M20)/M20,0)</f>
        <v>0</v>
      </c>
      <c r="N22" s="22">
        <f t="shared" si="32"/>
        <v>0</v>
      </c>
      <c r="O22" s="22"/>
      <c r="P22" s="22">
        <f t="shared" ref="P22" si="33">+(P19-P20)/P20</f>
        <v>-6.0375457129480678E-3</v>
      </c>
      <c r="Q22" s="53"/>
      <c r="S22" s="51"/>
      <c r="T22" s="69" t="s">
        <v>127</v>
      </c>
      <c r="V22" s="45">
        <f>+G20-G19</f>
        <v>11295385.233586177</v>
      </c>
      <c r="W22" s="70">
        <f>+V22/V20</f>
        <v>0.19955615266040547</v>
      </c>
      <c r="Z22" s="53"/>
    </row>
    <row r="23" spans="1:26" ht="15" thickBot="1" x14ac:dyDescent="0.35">
      <c r="A23" s="51"/>
      <c r="B23" s="2" t="str">
        <f>+Evaluación!AG2</f>
        <v>UberEats</v>
      </c>
      <c r="C23" s="38">
        <f>+C19/C6</f>
        <v>0.22638600673479808</v>
      </c>
      <c r="D23" s="38">
        <f>+D19/D6</f>
        <v>5.6054207619598888E-2</v>
      </c>
      <c r="E23" s="38">
        <f>+E19/E6</f>
        <v>0.51881296785329067</v>
      </c>
      <c r="F23" s="38"/>
      <c r="G23" s="38">
        <f>+G19/G6</f>
        <v>0.24078458863071805</v>
      </c>
      <c r="H23" s="53"/>
      <c r="J23" s="51"/>
      <c r="K23" s="2" t="str">
        <f>+Evaluación!U2</f>
        <v>AutoPollo</v>
      </c>
      <c r="L23" s="34">
        <f>+Evaluación!AU30</f>
        <v>3.8080964777685482E-3</v>
      </c>
      <c r="M23" s="34">
        <f>+Evaluación!AU39</f>
        <v>0</v>
      </c>
      <c r="N23" s="34">
        <f>+Evaluación!AU53</f>
        <v>0</v>
      </c>
      <c r="O23" s="34"/>
      <c r="P23" s="34">
        <f>+Evaluación!AU57</f>
        <v>3.4103751480469191E-3</v>
      </c>
      <c r="Q23" s="53"/>
      <c r="S23" s="51"/>
      <c r="T23" s="69" t="s">
        <v>134</v>
      </c>
      <c r="V23" s="45">
        <f>+Y6+Y13-Y12-Y5</f>
        <v>6355520.6459060097</v>
      </c>
      <c r="W23" s="70">
        <f>+V23/V20</f>
        <v>0.11228331057533224</v>
      </c>
      <c r="Z23" s="53"/>
    </row>
    <row r="24" spans="1:26" ht="18.600000000000001" thickBot="1" x14ac:dyDescent="0.4">
      <c r="A24" s="52"/>
      <c r="B24" s="55"/>
      <c r="C24" s="55"/>
      <c r="D24" s="55"/>
      <c r="E24" s="55"/>
      <c r="F24" s="55"/>
      <c r="G24" s="55"/>
      <c r="H24" s="65">
        <f>+G23</f>
        <v>0.24078458863071805</v>
      </c>
      <c r="J24" s="52"/>
      <c r="K24" s="55"/>
      <c r="L24" s="55"/>
      <c r="M24" s="55"/>
      <c r="N24" s="55"/>
      <c r="O24" s="55"/>
      <c r="P24" s="55"/>
      <c r="Q24" s="65">
        <f>+P23+P16+P9</f>
        <v>0.74958969527892816</v>
      </c>
      <c r="S24" s="52"/>
      <c r="T24" s="55"/>
      <c r="U24" s="55"/>
      <c r="V24" s="55"/>
      <c r="W24" s="55"/>
      <c r="X24" s="55"/>
      <c r="Y24" s="55"/>
      <c r="Z24" s="65">
        <f>+V20/G7</f>
        <v>0.10314460626327224</v>
      </c>
    </row>
  </sheetData>
  <mergeCells count="9">
    <mergeCell ref="U19:W19"/>
    <mergeCell ref="C1:E2"/>
    <mergeCell ref="D3:D4"/>
    <mergeCell ref="M2:M3"/>
    <mergeCell ref="D16:D17"/>
    <mergeCell ref="V2:V3"/>
    <mergeCell ref="C15:E15"/>
    <mergeCell ref="U1:W1"/>
    <mergeCell ref="L1:N1"/>
  </mergeCells>
  <conditionalFormatting sqref="C8:G9">
    <cfRule type="cellIs" priority="49" stopIfTrue="1" operator="equal">
      <formula>0</formula>
    </cfRule>
  </conditionalFormatting>
  <conditionalFormatting sqref="C21:G22">
    <cfRule type="cellIs" priority="37" stopIfTrue="1" operator="equal">
      <formula>0</formula>
    </cfRule>
  </conditionalFormatting>
  <conditionalFormatting sqref="L7:N8 L14:N15">
    <cfRule type="cellIs" priority="61" stopIfTrue="1" operator="equal">
      <formula>0</formula>
    </cfRule>
  </conditionalFormatting>
  <conditionalFormatting sqref="L21:P22">
    <cfRule type="cellIs" priority="25" stopIfTrue="1" operator="equal">
      <formula>0</formula>
    </cfRule>
  </conditionalFormatting>
  <conditionalFormatting sqref="O6:O8 O13:O15">
    <cfRule type="cellIs" priority="53" stopIfTrue="1" operator="equal">
      <formula>0</formula>
    </cfRule>
  </conditionalFormatting>
  <conditionalFormatting sqref="O20">
    <cfRule type="cellIs" priority="33" stopIfTrue="1" operator="equal">
      <formula>0</formula>
    </cfRule>
  </conditionalFormatting>
  <conditionalFormatting sqref="P7:P8">
    <cfRule type="cellIs" priority="45" stopIfTrue="1" operator="equal">
      <formula>0</formula>
    </cfRule>
  </conditionalFormatting>
  <conditionalFormatting sqref="P14:P15">
    <cfRule type="cellIs" priority="29" stopIfTrue="1" operator="equal">
      <formula>0</formula>
    </cfRule>
  </conditionalFormatting>
  <conditionalFormatting sqref="U7:Y8">
    <cfRule type="cellIs" priority="17" stopIfTrue="1" operator="equal">
      <formula>0</formula>
    </cfRule>
  </conditionalFormatting>
  <conditionalFormatting sqref="U14:Y15">
    <cfRule type="cellIs" priority="1" stopIfTrue="1" operator="equal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50" operator="greaterThanOrEqual" id="{CA296B75-D13D-4FA0-ABD7-B07493699ACA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52" operator="lessThan" id="{5672A683-59BD-440B-B23B-D64CCA3D34F9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51" operator="between" id="{5391B5C6-210F-4579-A5D3-00D7A595289B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C8:G9</xm:sqref>
        </x14:conditionalFormatting>
        <x14:conditionalFormatting xmlns:xm="http://schemas.microsoft.com/office/excel/2006/main">
          <x14:cfRule type="cellIs" priority="40" operator="lessThan" id="{B54E0034-5D96-4763-82B2-E2E30F50E38D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39" operator="between" id="{B4E9710E-A3B2-4F3F-B32E-215B24BDF4AE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38" operator="greaterThanOrEqual" id="{88460788-0097-4AED-859A-9E604CC93203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C21:G22</xm:sqref>
        </x14:conditionalFormatting>
        <x14:conditionalFormatting xmlns:xm="http://schemas.microsoft.com/office/excel/2006/main">
          <x14:cfRule type="cellIs" priority="64" operator="lessThan" id="{97BADB8C-A2A9-4708-9D91-0AC06068981A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62" operator="greaterThanOrEqual" id="{F6DE39F1-9406-476F-B902-C99D86C4F414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63" operator="between" id="{4E3DB243-65C2-49A0-AB74-32C157177D0F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L7:N8 L14:N15 L21:N22</xm:sqref>
        </x14:conditionalFormatting>
        <x14:conditionalFormatting xmlns:xm="http://schemas.microsoft.com/office/excel/2006/main">
          <x14:cfRule type="cellIs" priority="54" operator="greaterThanOrEqual" id="{51040476-7C99-400D-AF72-D04950A34E6B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55" operator="between" id="{168DE75B-E121-4670-92D7-A09E1946B857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56" operator="lessThan" id="{87F97181-A1A1-40EA-B7D5-C0C36F327169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O6:O8 O13:O15</xm:sqref>
        </x14:conditionalFormatting>
        <x14:conditionalFormatting xmlns:xm="http://schemas.microsoft.com/office/excel/2006/main">
          <x14:cfRule type="cellIs" priority="34" operator="greaterThanOrEqual" id="{1BECDF6E-BA9B-4880-833F-C34EC243D3D3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36" operator="lessThan" id="{1B6C88FD-279B-47DE-95B9-7BF0F795B3B3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35" operator="between" id="{F8FAC7D8-8672-457D-8A2B-86B8FB651558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m:sqref>O20:O22</xm:sqref>
        </x14:conditionalFormatting>
        <x14:conditionalFormatting xmlns:xm="http://schemas.microsoft.com/office/excel/2006/main">
          <x14:cfRule type="cellIs" priority="46" operator="greaterThanOrEqual" id="{8E70636E-F4B0-4F89-9EF4-7FE5270E1FB4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47" operator="between" id="{876C02ED-D06B-4189-B549-52EFE0EF3FD6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48" operator="lessThan" id="{FE7596C9-CD11-4503-89EB-98BE29FB03A5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P7:P8</xm:sqref>
        </x14:conditionalFormatting>
        <x14:conditionalFormatting xmlns:xm="http://schemas.microsoft.com/office/excel/2006/main">
          <x14:cfRule type="cellIs" priority="32" operator="lessThan" id="{05E1D1D5-FD72-4AEA-AAE2-7B3FB2438A01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ellIs" priority="31" operator="between" id="{F13725D0-A5CF-4B10-9430-5635B132C6A9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30" operator="greaterThanOrEqual" id="{EEC1B620-D0A6-48FD-A928-04C55A73DE20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P14:P15</xm:sqref>
        </x14:conditionalFormatting>
        <x14:conditionalFormatting xmlns:xm="http://schemas.microsoft.com/office/excel/2006/main">
          <x14:cfRule type="cellIs" priority="26" operator="greaterThanOrEqual" id="{7EE6B2C8-547B-44C4-B1FC-EB7600893620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27" operator="between" id="{4E76A03B-E56D-463D-9107-8CED2EDE6CE7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28" operator="lessThan" id="{1126EBEF-320E-4AF4-9B74-C3A4F196936B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P21:P22</xm:sqref>
        </x14:conditionalFormatting>
        <x14:conditionalFormatting xmlns:xm="http://schemas.microsoft.com/office/excel/2006/main">
          <x14:cfRule type="cellIs" priority="18" operator="greaterThanOrEqual" id="{360B17B9-7BF3-43F8-818A-FECDB94B9136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19" operator="between" id="{E4E67677-A680-4F14-A4B9-B1BFDFC3788D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20" operator="lessThan" id="{97C282F2-D2EE-4CD0-A63C-B38FD858B78E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U7:Y8</xm:sqref>
        </x14:conditionalFormatting>
        <x14:conditionalFormatting xmlns:xm="http://schemas.microsoft.com/office/excel/2006/main">
          <x14:cfRule type="cellIs" priority="2" operator="greaterThanOrEqual" id="{DA42BF69-C80A-4B27-B6B7-CD69E638538E}">
            <xm:f>Parámetros!$C$10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ellIs" priority="3" operator="between" id="{C9EF445B-BC72-4D91-AEC6-35E8D360C53F}">
            <xm:f>Parámetros!$C$9</xm:f>
            <xm:f>Parámetros!$C$10</xm:f>
            <x14:dxf>
              <font>
                <color theme="1"/>
              </font>
              <fill>
                <patternFill>
                  <bgColor theme="5"/>
                </patternFill>
              </fill>
            </x14:dxf>
          </x14:cfRule>
          <x14:cfRule type="cellIs" priority="4" operator="lessThan" id="{4B99D5D9-30A3-43A4-A925-106A294FF8CA}">
            <xm:f>Parámetros!$C$9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U14:Y15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24A9C-4DFF-4496-8A7B-DE6B6C89284B}">
  <dimension ref="A1:M23"/>
  <sheetViews>
    <sheetView showGridLines="0" workbookViewId="0">
      <selection activeCell="Q10" sqref="Q10"/>
    </sheetView>
  </sheetViews>
  <sheetFormatPr baseColWidth="10" defaultRowHeight="14.4" x14ac:dyDescent="0.3"/>
  <sheetData>
    <row r="1" spans="1:13" x14ac:dyDescent="0.3">
      <c r="A1" s="12"/>
      <c r="B1" s="12"/>
      <c r="C1" s="3" t="s">
        <v>123</v>
      </c>
      <c r="D1" s="3"/>
      <c r="E1" s="3"/>
      <c r="F1" s="3"/>
      <c r="G1" s="3"/>
      <c r="H1" s="12"/>
      <c r="I1" s="3"/>
      <c r="J1" s="3"/>
      <c r="K1" s="3"/>
      <c r="M1" t="s">
        <v>127</v>
      </c>
    </row>
    <row r="2" spans="1:13" x14ac:dyDescent="0.3">
      <c r="A2" s="1"/>
      <c r="B2" s="1"/>
      <c r="C2" s="16"/>
      <c r="D2" s="16"/>
      <c r="E2" s="34"/>
      <c r="F2" s="16"/>
      <c r="G2" s="34"/>
      <c r="H2" s="1"/>
      <c r="I2" s="14"/>
      <c r="J2" s="14"/>
      <c r="K2" s="34"/>
    </row>
    <row r="3" spans="1:13" x14ac:dyDescent="0.3">
      <c r="A3" s="1"/>
      <c r="B3" s="1"/>
      <c r="C3" s="16"/>
      <c r="D3" s="16"/>
      <c r="E3" s="34"/>
      <c r="F3" s="16"/>
      <c r="G3" s="34"/>
      <c r="H3" s="1"/>
      <c r="I3" s="14"/>
      <c r="J3" s="14"/>
      <c r="K3" s="34"/>
    </row>
    <row r="4" spans="1:13" x14ac:dyDescent="0.3">
      <c r="A4" s="1"/>
      <c r="B4" s="1"/>
      <c r="C4" s="16"/>
      <c r="D4" s="16"/>
      <c r="E4" s="34"/>
      <c r="F4" s="16"/>
      <c r="G4" s="34"/>
      <c r="H4" s="1"/>
      <c r="I4" s="14"/>
      <c r="J4" s="14"/>
      <c r="K4" s="34"/>
    </row>
    <row r="5" spans="1:13" x14ac:dyDescent="0.3">
      <c r="A5" s="1"/>
      <c r="B5" s="1"/>
      <c r="C5" s="16"/>
      <c r="D5" s="16"/>
      <c r="E5" s="34"/>
      <c r="F5" s="16"/>
      <c r="G5" s="34"/>
      <c r="H5" s="1"/>
      <c r="I5" s="14"/>
      <c r="J5" s="14"/>
      <c r="K5" s="34"/>
    </row>
    <row r="6" spans="1:13" x14ac:dyDescent="0.3">
      <c r="A6" s="1"/>
      <c r="B6" s="1"/>
      <c r="C6" s="16"/>
      <c r="D6" s="16"/>
      <c r="E6" s="34"/>
      <c r="F6" s="16"/>
      <c r="G6" s="34"/>
      <c r="H6" s="1"/>
      <c r="I6" s="14"/>
      <c r="J6" s="14"/>
      <c r="K6" s="34"/>
    </row>
    <row r="7" spans="1:13" x14ac:dyDescent="0.3">
      <c r="A7" s="1"/>
      <c r="B7" s="1"/>
      <c r="C7" s="16"/>
      <c r="D7" s="16"/>
      <c r="E7" s="34"/>
      <c r="F7" s="16"/>
      <c r="G7" s="34"/>
      <c r="H7" s="1"/>
      <c r="I7" s="14"/>
      <c r="J7" s="14"/>
      <c r="K7" s="34"/>
    </row>
    <row r="8" spans="1:13" x14ac:dyDescent="0.3">
      <c r="A8" s="79"/>
      <c r="B8" s="1"/>
      <c r="C8" s="16"/>
      <c r="D8" s="16"/>
      <c r="E8" s="34"/>
      <c r="F8" s="16"/>
      <c r="G8" s="34"/>
      <c r="H8" s="1"/>
      <c r="I8" s="14"/>
      <c r="J8" s="14"/>
      <c r="K8" s="34"/>
    </row>
    <row r="9" spans="1:13" x14ac:dyDescent="0.3">
      <c r="A9" s="79"/>
      <c r="B9" s="1"/>
      <c r="C9" s="16"/>
      <c r="D9" s="16"/>
      <c r="E9" s="34"/>
      <c r="F9" s="16"/>
      <c r="G9" s="34"/>
      <c r="H9" s="1"/>
      <c r="I9" s="14"/>
      <c r="J9" s="14"/>
      <c r="K9" s="34"/>
    </row>
    <row r="10" spans="1:13" x14ac:dyDescent="0.3">
      <c r="A10" s="79"/>
      <c r="B10" s="1"/>
      <c r="C10" s="16"/>
      <c r="D10" s="16"/>
      <c r="E10" s="34"/>
      <c r="F10" s="16"/>
      <c r="G10" s="34"/>
      <c r="H10" s="1"/>
      <c r="I10" s="14"/>
      <c r="J10" s="14"/>
      <c r="K10" s="34"/>
    </row>
    <row r="11" spans="1:13" x14ac:dyDescent="0.3">
      <c r="A11" s="79"/>
      <c r="B11" s="1"/>
      <c r="C11" s="16"/>
      <c r="D11" s="16"/>
      <c r="E11" s="34"/>
      <c r="F11" s="16"/>
      <c r="G11" s="34"/>
      <c r="H11" s="1"/>
      <c r="I11" s="14"/>
      <c r="J11" s="14"/>
      <c r="K11" s="34"/>
    </row>
    <row r="12" spans="1:13" x14ac:dyDescent="0.3">
      <c r="A12" s="79"/>
      <c r="B12" s="1"/>
      <c r="C12" s="16"/>
      <c r="D12" s="16"/>
      <c r="E12" s="34"/>
      <c r="F12" s="16"/>
      <c r="G12" s="34"/>
      <c r="H12" s="1"/>
      <c r="I12" s="14"/>
      <c r="J12" s="14"/>
      <c r="K12" s="34"/>
    </row>
    <row r="13" spans="1:13" x14ac:dyDescent="0.3">
      <c r="A13" s="79"/>
      <c r="B13" s="1"/>
      <c r="C13" s="16"/>
      <c r="D13" s="16"/>
      <c r="E13" s="34"/>
      <c r="F13" s="16"/>
      <c r="G13" s="34"/>
      <c r="H13" s="1"/>
      <c r="I13" s="14"/>
      <c r="J13" s="14"/>
      <c r="K13" s="34"/>
    </row>
    <row r="14" spans="1:13" x14ac:dyDescent="0.3">
      <c r="A14" s="79"/>
      <c r="B14" s="1"/>
      <c r="C14" s="16"/>
      <c r="D14" s="16"/>
      <c r="E14" s="34"/>
      <c r="F14" s="16"/>
      <c r="G14" s="34"/>
      <c r="H14" s="1"/>
      <c r="I14" s="14"/>
      <c r="J14" s="14"/>
      <c r="K14" s="34"/>
    </row>
    <row r="15" spans="1:13" x14ac:dyDescent="0.3">
      <c r="A15" s="79"/>
      <c r="B15" s="1"/>
      <c r="C15" s="16"/>
      <c r="D15" s="16"/>
      <c r="E15" s="34"/>
      <c r="F15" s="16"/>
      <c r="G15" s="34"/>
      <c r="H15" s="1"/>
      <c r="I15" s="14"/>
      <c r="J15" s="14"/>
      <c r="K15" s="34"/>
    </row>
    <row r="16" spans="1:13" x14ac:dyDescent="0.3">
      <c r="A16" s="79"/>
      <c r="B16" s="1"/>
      <c r="C16" s="16"/>
      <c r="D16" s="16"/>
      <c r="E16" s="34"/>
      <c r="F16" s="16"/>
      <c r="G16" s="34"/>
      <c r="H16" s="1"/>
      <c r="I16" s="14"/>
      <c r="K16" s="34"/>
    </row>
    <row r="17" spans="1:11" x14ac:dyDescent="0.3">
      <c r="A17" s="79"/>
      <c r="B17" s="1"/>
      <c r="C17" s="16"/>
      <c r="D17" s="16"/>
      <c r="E17" s="34"/>
      <c r="F17" s="16"/>
      <c r="G17" s="34"/>
      <c r="H17" s="1"/>
      <c r="I17" s="14"/>
      <c r="J17" s="14" t="s">
        <v>2081</v>
      </c>
      <c r="K17" s="34"/>
    </row>
    <row r="18" spans="1:11" x14ac:dyDescent="0.3">
      <c r="A18" s="79"/>
      <c r="B18" s="1"/>
      <c r="C18" s="16"/>
      <c r="D18" s="16"/>
      <c r="E18" s="34"/>
      <c r="F18" s="16"/>
      <c r="G18" s="34"/>
      <c r="H18" s="1"/>
      <c r="I18" s="14"/>
      <c r="K18" s="34"/>
    </row>
    <row r="19" spans="1:11" x14ac:dyDescent="0.3">
      <c r="A19" s="79"/>
      <c r="B19" s="1"/>
      <c r="C19" s="16"/>
      <c r="D19" s="16"/>
      <c r="E19" s="34"/>
      <c r="F19" s="16"/>
      <c r="G19" s="34"/>
      <c r="H19" s="1"/>
      <c r="I19" s="14"/>
      <c r="J19" s="14"/>
      <c r="K19" s="34"/>
    </row>
    <row r="20" spans="1:11" x14ac:dyDescent="0.3">
      <c r="A20" s="79"/>
      <c r="B20" s="1"/>
      <c r="C20" s="16"/>
      <c r="D20" s="16"/>
      <c r="E20" s="34"/>
      <c r="F20" s="16"/>
      <c r="G20" s="34"/>
      <c r="H20" s="1"/>
      <c r="I20" s="14"/>
      <c r="J20" s="14"/>
      <c r="K20" s="34"/>
    </row>
    <row r="21" spans="1:11" x14ac:dyDescent="0.3">
      <c r="A21" s="79"/>
      <c r="B21" s="1"/>
      <c r="C21" s="16"/>
      <c r="D21" s="16"/>
      <c r="E21" s="34"/>
      <c r="F21" s="16"/>
      <c r="G21" s="34"/>
      <c r="H21" s="1"/>
      <c r="I21" s="14"/>
      <c r="J21" s="14"/>
      <c r="K21" s="34"/>
    </row>
    <row r="22" spans="1:11" x14ac:dyDescent="0.3">
      <c r="A22" s="79"/>
      <c r="B22" s="1"/>
      <c r="C22" s="16"/>
      <c r="D22" s="16"/>
      <c r="E22" s="34"/>
      <c r="F22" s="16"/>
      <c r="G22" s="34"/>
      <c r="H22" s="1"/>
      <c r="I22" s="14"/>
      <c r="J22" s="14"/>
      <c r="K22" s="34"/>
    </row>
    <row r="23" spans="1:11" x14ac:dyDescent="0.3">
      <c r="A23" s="79"/>
      <c r="B23" s="1"/>
      <c r="C23" s="16"/>
      <c r="D23" s="16"/>
      <c r="E23" s="34"/>
      <c r="F23" s="16"/>
      <c r="G23" s="34"/>
      <c r="H23" s="1"/>
      <c r="I23" s="14"/>
      <c r="J23" s="14"/>
      <c r="K23" s="34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6D9DE-0E1E-463B-A785-2CE0F0ACBBC1}">
  <dimension ref="A1:P48"/>
  <sheetViews>
    <sheetView showGridLines="0" topLeftCell="A5" zoomScale="80" zoomScaleNormal="80" workbookViewId="0">
      <selection activeCell="I30" sqref="I30"/>
    </sheetView>
  </sheetViews>
  <sheetFormatPr baseColWidth="10" defaultRowHeight="14.4" x14ac:dyDescent="0.3"/>
  <cols>
    <col min="1" max="1" width="17.5546875" customWidth="1"/>
    <col min="3" max="3" width="12.6640625" bestFit="1" customWidth="1"/>
    <col min="5" max="5" width="12.6640625" bestFit="1" customWidth="1"/>
    <col min="7" max="7" width="17.77734375" customWidth="1"/>
  </cols>
  <sheetData>
    <row r="1" spans="1:9" x14ac:dyDescent="0.3">
      <c r="A1" s="2" t="s">
        <v>2082</v>
      </c>
      <c r="C1" s="153" t="s">
        <v>36</v>
      </c>
      <c r="D1" s="153"/>
      <c r="E1" s="153"/>
    </row>
    <row r="2" spans="1:9" x14ac:dyDescent="0.3">
      <c r="B2" t="s">
        <v>2084</v>
      </c>
      <c r="C2" s="3" t="s">
        <v>2085</v>
      </c>
      <c r="D2" s="3" t="s">
        <v>123</v>
      </c>
      <c r="E2" s="3" t="s">
        <v>2086</v>
      </c>
      <c r="G2" t="s">
        <v>2087</v>
      </c>
      <c r="H2" t="s">
        <v>2088</v>
      </c>
    </row>
    <row r="3" spans="1:9" x14ac:dyDescent="0.3">
      <c r="A3" t="str">
        <f>+Evaluación!A24</f>
        <v>Sabana</v>
      </c>
      <c r="B3">
        <v>2</v>
      </c>
      <c r="C3" s="81">
        <f>+Evaluación!E24</f>
        <v>-1.9863904263021537E-2</v>
      </c>
      <c r="D3" s="81">
        <f>+Evaluación!K24</f>
        <v>-1.0279962641555729E-2</v>
      </c>
      <c r="E3" s="81">
        <f>+Evaluación!AI24</f>
        <v>4.3132524249180904E-3</v>
      </c>
      <c r="G3" t="str">
        <f>+A3</f>
        <v>Sabana</v>
      </c>
      <c r="H3">
        <v>1</v>
      </c>
      <c r="I3" t="s">
        <v>2091</v>
      </c>
    </row>
    <row r="4" spans="1:9" x14ac:dyDescent="0.3">
      <c r="A4" t="str">
        <f>+Evaluación!A17</f>
        <v>Multiplaza Escazú</v>
      </c>
      <c r="B4">
        <v>2</v>
      </c>
      <c r="C4" s="80">
        <f>+Evaluación!E17</f>
        <v>-1.6630254375860298E-2</v>
      </c>
      <c r="D4" s="80">
        <f>+Evaluación!K17</f>
        <v>-1.5743640504692791E-2</v>
      </c>
      <c r="E4" s="80">
        <f>+Evaluación!AI17</f>
        <v>0.19517220537380431</v>
      </c>
      <c r="G4" t="str">
        <f t="shared" ref="G4:G12" si="0">+A4</f>
        <v>Multiplaza Escazú</v>
      </c>
      <c r="H4">
        <v>1</v>
      </c>
      <c r="I4" t="s">
        <v>2090</v>
      </c>
    </row>
    <row r="5" spans="1:9" x14ac:dyDescent="0.3">
      <c r="A5" t="str">
        <f>+Evaluación!A4</f>
        <v>Alajuela</v>
      </c>
      <c r="B5">
        <v>2</v>
      </c>
      <c r="C5" s="83">
        <f>+Evaluación!E4</f>
        <v>-4.6506602293697186E-2</v>
      </c>
      <c r="D5" s="81">
        <f>+Evaluación!K4</f>
        <v>-6.6554330184953603E-3</v>
      </c>
      <c r="E5" s="82">
        <f>+Evaluación!AI4</f>
        <v>-8.064085610665539E-2</v>
      </c>
      <c r="G5" t="str">
        <f t="shared" si="0"/>
        <v>Alajuela</v>
      </c>
      <c r="H5">
        <v>1</v>
      </c>
      <c r="I5" t="s">
        <v>2090</v>
      </c>
    </row>
    <row r="6" spans="1:9" x14ac:dyDescent="0.3">
      <c r="A6" t="str">
        <f>+Evaluación!A16</f>
        <v>Multiplaza del Este</v>
      </c>
      <c r="B6">
        <v>1</v>
      </c>
      <c r="C6" s="82">
        <f>+Evaluación!E16</f>
        <v>-0.1560017422429395</v>
      </c>
      <c r="D6" s="82">
        <f>+Evaluación!K16</f>
        <v>-0.1618813581397438</v>
      </c>
      <c r="E6" s="81">
        <f>+Evaluación!AI16</f>
        <v>9.0647967641906746E-2</v>
      </c>
      <c r="G6" t="str">
        <f t="shared" si="0"/>
        <v>Multiplaza del Este</v>
      </c>
      <c r="H6">
        <v>2</v>
      </c>
      <c r="I6" t="s">
        <v>2101</v>
      </c>
    </row>
    <row r="7" spans="1:9" x14ac:dyDescent="0.3">
      <c r="A7" t="str">
        <f>+Evaluación!A29</f>
        <v>Tibas</v>
      </c>
      <c r="B7">
        <v>1</v>
      </c>
      <c r="C7" s="81">
        <f>+Evaluación!E29</f>
        <v>-2.9977066073839542E-2</v>
      </c>
      <c r="D7" s="81">
        <f>+Evaluación!K29</f>
        <v>-3.183124651396585E-2</v>
      </c>
      <c r="E7" s="81">
        <f>+Evaluación!AI29</f>
        <v>0.13014533991659594</v>
      </c>
      <c r="G7" t="str">
        <f t="shared" si="0"/>
        <v>Tibas</v>
      </c>
      <c r="H7">
        <v>1</v>
      </c>
      <c r="I7" t="s">
        <v>2091</v>
      </c>
    </row>
    <row r="8" spans="1:9" x14ac:dyDescent="0.3">
      <c r="A8" t="str">
        <f>+Evaluación!A9</f>
        <v>Curridabat</v>
      </c>
      <c r="B8">
        <v>2</v>
      </c>
      <c r="C8" s="82">
        <f>+Evaluación!E9</f>
        <v>-0.10883589448420738</v>
      </c>
      <c r="D8" s="82">
        <f>+Evaluación!K9</f>
        <v>-0.11075423799387063</v>
      </c>
      <c r="E8" s="81">
        <f>+Evaluación!AI9</f>
        <v>-4.2917942301190504E-2</v>
      </c>
      <c r="G8" t="str">
        <f t="shared" si="0"/>
        <v>Curridabat</v>
      </c>
      <c r="H8">
        <v>3</v>
      </c>
      <c r="I8" t="s">
        <v>2092</v>
      </c>
    </row>
    <row r="9" spans="1:9" x14ac:dyDescent="0.3">
      <c r="A9" t="str">
        <f>+Evaluación!A27</f>
        <v>Santa Ana</v>
      </c>
      <c r="B9">
        <v>2</v>
      </c>
      <c r="C9" s="82">
        <f>+Evaluación!E27</f>
        <v>-0.11717872329064383</v>
      </c>
      <c r="D9" s="82">
        <f>+Evaluación!E27</f>
        <v>-0.11717872329064383</v>
      </c>
      <c r="E9" s="83">
        <f>+Evaluación!AI27</f>
        <v>-8.1495144769951566E-2</v>
      </c>
      <c r="G9" t="str">
        <f t="shared" si="0"/>
        <v>Santa Ana</v>
      </c>
      <c r="H9">
        <v>3</v>
      </c>
      <c r="I9" t="s">
        <v>2092</v>
      </c>
    </row>
    <row r="10" spans="1:9" x14ac:dyDescent="0.3">
      <c r="A10" t="str">
        <f>+Evaluación!A20</f>
        <v>Pinares</v>
      </c>
      <c r="B10">
        <v>2</v>
      </c>
      <c r="C10" s="81">
        <f>+Evaluación!E20</f>
        <v>-6.423369285365732E-2</v>
      </c>
      <c r="D10" s="81">
        <f>+Evaluación!K20</f>
        <v>-5.4330587643186323E-2</v>
      </c>
      <c r="E10" s="81">
        <f>+Evaluación!AI20</f>
        <v>-3.3486060115146654E-2</v>
      </c>
      <c r="G10" t="str">
        <f t="shared" si="0"/>
        <v>Pinares</v>
      </c>
      <c r="H10">
        <v>2</v>
      </c>
      <c r="I10" t="s">
        <v>2093</v>
      </c>
    </row>
    <row r="11" spans="1:9" x14ac:dyDescent="0.3">
      <c r="A11" t="str">
        <f>+Evaluación!A11</f>
        <v>Escazú</v>
      </c>
      <c r="B11">
        <v>2</v>
      </c>
      <c r="C11" s="82">
        <f>+Evaluación!E11</f>
        <v>-0.10319786299996025</v>
      </c>
      <c r="D11" s="82">
        <f>+Evaluación!K11</f>
        <v>-0.24176826365450399</v>
      </c>
      <c r="E11" s="82">
        <f>+Evaluación!AI11</f>
        <v>-6.6090944649210837E-3</v>
      </c>
      <c r="G11" t="str">
        <f t="shared" si="0"/>
        <v>Escazú</v>
      </c>
      <c r="H11">
        <v>3</v>
      </c>
      <c r="I11" t="s">
        <v>2092</v>
      </c>
    </row>
    <row r="12" spans="1:9" x14ac:dyDescent="0.3">
      <c r="A12" t="str">
        <f>+Evaluación!A10</f>
        <v>Desamparados</v>
      </c>
      <c r="B12">
        <v>1</v>
      </c>
      <c r="C12" s="82">
        <f>+Evaluación!E10</f>
        <v>-9.7386435172695518E-2</v>
      </c>
      <c r="D12" s="81">
        <f>+Evaluación!K10</f>
        <v>5.6798853585016795E-2</v>
      </c>
      <c r="E12" s="82">
        <f>+Evaluación!AI10</f>
        <v>-0.13207806277399403</v>
      </c>
      <c r="G12" t="str">
        <f t="shared" si="0"/>
        <v>Desamparados</v>
      </c>
      <c r="H12">
        <v>2</v>
      </c>
      <c r="I12" t="s">
        <v>2094</v>
      </c>
    </row>
    <row r="15" spans="1:9" x14ac:dyDescent="0.3">
      <c r="A15" t="s">
        <v>2082</v>
      </c>
      <c r="C15" s="153" t="s">
        <v>54</v>
      </c>
      <c r="D15" s="153"/>
    </row>
    <row r="16" spans="1:9" x14ac:dyDescent="0.3">
      <c r="C16" s="3" t="s">
        <v>2085</v>
      </c>
      <c r="D16" s="3" t="s">
        <v>123</v>
      </c>
      <c r="E16" s="3" t="s">
        <v>2086</v>
      </c>
    </row>
    <row r="17" spans="1:5" x14ac:dyDescent="0.3">
      <c r="A17" t="str">
        <f>+A3</f>
        <v>Sabana</v>
      </c>
      <c r="B17">
        <f>+B3</f>
        <v>2</v>
      </c>
      <c r="C17" s="81">
        <v>1.6673614005835669E-2</v>
      </c>
      <c r="D17" s="81">
        <v>0.11558935361216727</v>
      </c>
      <c r="E17" s="82">
        <v>-7.1684587813620082E-2</v>
      </c>
    </row>
    <row r="18" spans="1:5" x14ac:dyDescent="0.3">
      <c r="A18" t="str">
        <f t="shared" ref="A18:B26" si="1">+A4</f>
        <v>Multiplaza Escazú</v>
      </c>
      <c r="B18">
        <f t="shared" si="1"/>
        <v>2</v>
      </c>
      <c r="C18" s="81">
        <v>9.52380952380949E-3</v>
      </c>
      <c r="D18" s="81">
        <v>2.2999999999999909E-2</v>
      </c>
      <c r="E18" s="83">
        <v>8.0357142857142794E-2</v>
      </c>
    </row>
    <row r="19" spans="1:5" x14ac:dyDescent="0.3">
      <c r="A19" t="str">
        <f t="shared" si="1"/>
        <v>Alajuela</v>
      </c>
      <c r="B19">
        <f t="shared" si="1"/>
        <v>2</v>
      </c>
      <c r="C19" s="82">
        <v>-0.11949685534591192</v>
      </c>
      <c r="D19" s="82">
        <v>-8.4397163120567331E-2</v>
      </c>
      <c r="E19" s="82">
        <v>-0.2185430463576159</v>
      </c>
    </row>
    <row r="20" spans="1:5" x14ac:dyDescent="0.3">
      <c r="A20" t="str">
        <f t="shared" si="1"/>
        <v>Multiplaza del Este</v>
      </c>
      <c r="B20">
        <f t="shared" si="1"/>
        <v>1</v>
      </c>
      <c r="C20" s="83">
        <v>-9.7981290004923727E-2</v>
      </c>
      <c r="D20" s="83">
        <v>-9.6446700507614169E-2</v>
      </c>
      <c r="E20" s="81">
        <v>5.1470588235294157E-2</v>
      </c>
    </row>
    <row r="21" spans="1:5" x14ac:dyDescent="0.3">
      <c r="A21" t="str">
        <f t="shared" si="1"/>
        <v>Tibas</v>
      </c>
      <c r="B21">
        <f t="shared" si="1"/>
        <v>1</v>
      </c>
      <c r="C21" s="81">
        <v>-1.2540894220283483E-2</v>
      </c>
      <c r="D21" s="81">
        <v>2.1758839528558394E-2</v>
      </c>
      <c r="E21" s="81">
        <v>5.0890585241730291E-2</v>
      </c>
    </row>
    <row r="22" spans="1:5" x14ac:dyDescent="0.3">
      <c r="A22" t="str">
        <f t="shared" si="1"/>
        <v>Curridabat</v>
      </c>
      <c r="B22">
        <f t="shared" si="1"/>
        <v>2</v>
      </c>
      <c r="C22" s="83">
        <v>-7.9624134520276946E-2</v>
      </c>
      <c r="D22" s="83">
        <v>-5.7675244010647719E-2</v>
      </c>
      <c r="E22" s="82">
        <v>-0.12765957446808507</v>
      </c>
    </row>
    <row r="23" spans="1:5" x14ac:dyDescent="0.3">
      <c r="A23" t="str">
        <f t="shared" si="1"/>
        <v>Santa Ana</v>
      </c>
      <c r="B23">
        <f t="shared" si="1"/>
        <v>2</v>
      </c>
      <c r="C23" s="83">
        <v>-8.108108108108103E-2</v>
      </c>
      <c r="D23" s="83">
        <v>-8.108108108108103E-2</v>
      </c>
      <c r="E23" s="82">
        <v>-0.19519519519519524</v>
      </c>
    </row>
    <row r="24" spans="1:5" x14ac:dyDescent="0.3">
      <c r="A24" t="str">
        <f t="shared" si="1"/>
        <v>Pinares</v>
      </c>
      <c r="B24">
        <f t="shared" si="1"/>
        <v>2</v>
      </c>
      <c r="C24" s="81">
        <v>-2.9801324503311299E-2</v>
      </c>
      <c r="D24" s="81">
        <v>3.3724340175953049E-2</v>
      </c>
      <c r="E24" s="83">
        <v>-5.1671732522796332E-2</v>
      </c>
    </row>
    <row r="25" spans="1:5" x14ac:dyDescent="0.3">
      <c r="A25" t="str">
        <f t="shared" si="1"/>
        <v>Escazú</v>
      </c>
      <c r="B25">
        <f t="shared" si="1"/>
        <v>2</v>
      </c>
      <c r="C25" s="82">
        <v>-6.8651275820170055E-2</v>
      </c>
      <c r="D25" s="82">
        <v>-0.17331812998859752</v>
      </c>
      <c r="E25" s="82">
        <v>-7.629870129870131E-2</v>
      </c>
    </row>
    <row r="26" spans="1:5" x14ac:dyDescent="0.3">
      <c r="A26" t="str">
        <f t="shared" si="1"/>
        <v>Desamparados</v>
      </c>
      <c r="B26">
        <f t="shared" si="1"/>
        <v>1</v>
      </c>
      <c r="C26" s="82">
        <v>-9.4668117519042472E-2</v>
      </c>
      <c r="D26" s="81">
        <v>0.15155807365439089</v>
      </c>
      <c r="E26" s="82">
        <v>-0.18870192307692313</v>
      </c>
    </row>
    <row r="29" spans="1:5" x14ac:dyDescent="0.3">
      <c r="A29" t="str">
        <f>+A15</f>
        <v>TOP 10  Ventas</v>
      </c>
      <c r="C29" s="153" t="s">
        <v>2083</v>
      </c>
      <c r="D29" s="153"/>
    </row>
    <row r="30" spans="1:5" x14ac:dyDescent="0.3">
      <c r="C30" s="3" t="s">
        <v>2085</v>
      </c>
      <c r="D30" s="3"/>
    </row>
    <row r="31" spans="1:5" x14ac:dyDescent="0.3">
      <c r="A31" t="str">
        <f>+A17</f>
        <v>Sabana</v>
      </c>
      <c r="B31">
        <f>+B17</f>
        <v>2</v>
      </c>
      <c r="C31" s="83">
        <f t="shared" ref="C31:E40" si="2">+C3-C17</f>
        <v>-3.6537518268857205E-2</v>
      </c>
      <c r="D31" s="82">
        <f t="shared" si="2"/>
        <v>-0.125869316253723</v>
      </c>
      <c r="E31" s="81">
        <f t="shared" si="2"/>
        <v>7.5997840238538172E-2</v>
      </c>
    </row>
    <row r="32" spans="1:5" x14ac:dyDescent="0.3">
      <c r="A32" t="str">
        <f t="shared" ref="A32:B40" si="3">+A18</f>
        <v>Multiplaza Escazú</v>
      </c>
      <c r="B32">
        <f t="shared" si="3"/>
        <v>2</v>
      </c>
      <c r="C32" s="83">
        <f t="shared" si="2"/>
        <v>-2.6154063899669788E-2</v>
      </c>
      <c r="D32" s="83">
        <f t="shared" si="2"/>
        <v>-3.87436405046927E-2</v>
      </c>
      <c r="E32" s="81">
        <f t="shared" si="2"/>
        <v>0.11481506251666151</v>
      </c>
    </row>
    <row r="33" spans="1:16" x14ac:dyDescent="0.3">
      <c r="A33" t="str">
        <f t="shared" si="3"/>
        <v>Alajuela</v>
      </c>
      <c r="B33">
        <f t="shared" si="3"/>
        <v>2</v>
      </c>
      <c r="C33" s="81">
        <f t="shared" si="2"/>
        <v>7.2990253052214737E-2</v>
      </c>
      <c r="D33" s="81">
        <f t="shared" si="2"/>
        <v>7.7741730102071971E-2</v>
      </c>
      <c r="E33" s="81">
        <f t="shared" si="2"/>
        <v>0.13790219025096051</v>
      </c>
    </row>
    <row r="34" spans="1:16" x14ac:dyDescent="0.3">
      <c r="A34" t="str">
        <f t="shared" si="3"/>
        <v>Multiplaza del Este</v>
      </c>
      <c r="B34">
        <f t="shared" si="3"/>
        <v>1</v>
      </c>
      <c r="C34" s="83">
        <f t="shared" si="2"/>
        <v>-5.8020452238015774E-2</v>
      </c>
      <c r="D34" s="82">
        <f t="shared" si="2"/>
        <v>-6.5434657632129634E-2</v>
      </c>
      <c r="E34" s="81">
        <f t="shared" si="2"/>
        <v>3.9177379406612589E-2</v>
      </c>
    </row>
    <row r="35" spans="1:16" x14ac:dyDescent="0.3">
      <c r="A35" t="str">
        <f t="shared" si="3"/>
        <v>Tibas</v>
      </c>
      <c r="B35">
        <f t="shared" si="3"/>
        <v>1</v>
      </c>
      <c r="C35" s="81">
        <f t="shared" si="2"/>
        <v>-1.7436171853556059E-2</v>
      </c>
      <c r="D35" s="83">
        <f t="shared" si="2"/>
        <v>-5.3590086042524243E-2</v>
      </c>
      <c r="E35" s="81">
        <f t="shared" si="2"/>
        <v>7.9254754674865646E-2</v>
      </c>
    </row>
    <row r="36" spans="1:16" x14ac:dyDescent="0.3">
      <c r="A36" t="str">
        <f t="shared" si="3"/>
        <v>Curridabat</v>
      </c>
      <c r="B36">
        <f t="shared" si="3"/>
        <v>2</v>
      </c>
      <c r="C36" s="81">
        <f t="shared" si="2"/>
        <v>-2.9211759963930439E-2</v>
      </c>
      <c r="D36" s="83">
        <f t="shared" si="2"/>
        <v>-5.3078993983222911E-2</v>
      </c>
      <c r="E36" s="81">
        <f t="shared" si="2"/>
        <v>8.4741632166894565E-2</v>
      </c>
    </row>
    <row r="37" spans="1:16" x14ac:dyDescent="0.3">
      <c r="A37" t="str">
        <f t="shared" si="3"/>
        <v>Santa Ana</v>
      </c>
      <c r="B37">
        <f t="shared" si="3"/>
        <v>2</v>
      </c>
      <c r="C37" s="83">
        <f t="shared" si="2"/>
        <v>-3.6097642209562797E-2</v>
      </c>
      <c r="D37" s="83">
        <f t="shared" si="2"/>
        <v>-3.6097642209562797E-2</v>
      </c>
      <c r="E37" s="81">
        <f t="shared" si="2"/>
        <v>0.11370005042524367</v>
      </c>
    </row>
    <row r="38" spans="1:16" x14ac:dyDescent="0.3">
      <c r="A38" t="str">
        <f t="shared" si="3"/>
        <v>Pinares</v>
      </c>
      <c r="B38">
        <f t="shared" si="3"/>
        <v>2</v>
      </c>
      <c r="C38" s="83">
        <f t="shared" si="2"/>
        <v>-3.4432368350346021E-2</v>
      </c>
      <c r="D38" s="82">
        <f t="shared" si="2"/>
        <v>-8.8054927819139373E-2</v>
      </c>
      <c r="E38" s="81">
        <f t="shared" si="2"/>
        <v>1.8185672407649678E-2</v>
      </c>
    </row>
    <row r="39" spans="1:16" x14ac:dyDescent="0.3">
      <c r="A39" t="str">
        <f t="shared" si="3"/>
        <v>Escazú</v>
      </c>
      <c r="B39">
        <f t="shared" si="3"/>
        <v>2</v>
      </c>
      <c r="C39" s="83">
        <f t="shared" si="2"/>
        <v>-3.45465871797902E-2</v>
      </c>
      <c r="D39" s="82">
        <f t="shared" si="2"/>
        <v>-6.8450133665906465E-2</v>
      </c>
      <c r="E39" s="81">
        <f t="shared" si="2"/>
        <v>6.9689606833780227E-2</v>
      </c>
    </row>
    <row r="40" spans="1:16" x14ac:dyDescent="0.3">
      <c r="A40" t="str">
        <f t="shared" si="3"/>
        <v>Desamparados</v>
      </c>
      <c r="B40">
        <f t="shared" si="3"/>
        <v>1</v>
      </c>
      <c r="C40" s="81">
        <f t="shared" si="2"/>
        <v>-2.7183176536530462E-3</v>
      </c>
      <c r="D40" s="82">
        <f t="shared" si="2"/>
        <v>-9.4759220069374095E-2</v>
      </c>
      <c r="E40" s="81">
        <f t="shared" si="2"/>
        <v>5.6623860302929097E-2</v>
      </c>
    </row>
    <row r="43" spans="1:16" x14ac:dyDescent="0.3">
      <c r="A43" t="s">
        <v>2096</v>
      </c>
      <c r="C43" s="153" t="s">
        <v>36</v>
      </c>
      <c r="D43" s="153"/>
      <c r="E43" t="s">
        <v>54</v>
      </c>
      <c r="G43" t="s">
        <v>2083</v>
      </c>
    </row>
    <row r="44" spans="1:16" x14ac:dyDescent="0.3">
      <c r="C44" s="3" t="s">
        <v>2085</v>
      </c>
      <c r="D44" s="3" t="s">
        <v>2089</v>
      </c>
      <c r="E44" s="3" t="s">
        <v>2085</v>
      </c>
      <c r="F44" t="s">
        <v>2089</v>
      </c>
      <c r="G44" t="s">
        <v>2085</v>
      </c>
      <c r="P44" t="s">
        <v>2089</v>
      </c>
    </row>
    <row r="45" spans="1:16" x14ac:dyDescent="0.3">
      <c r="A45" t="s">
        <v>2097</v>
      </c>
      <c r="B45">
        <v>1</v>
      </c>
    </row>
    <row r="46" spans="1:16" x14ac:dyDescent="0.3">
      <c r="A46" t="s">
        <v>2098</v>
      </c>
      <c r="B46">
        <v>2</v>
      </c>
    </row>
    <row r="47" spans="1:16" x14ac:dyDescent="0.3">
      <c r="A47" t="s">
        <v>2099</v>
      </c>
      <c r="B47">
        <v>3</v>
      </c>
    </row>
    <row r="48" spans="1:16" x14ac:dyDescent="0.3">
      <c r="A48" t="s">
        <v>60</v>
      </c>
      <c r="B48" t="s">
        <v>2100</v>
      </c>
    </row>
  </sheetData>
  <mergeCells count="4">
    <mergeCell ref="C1:E1"/>
    <mergeCell ref="C15:D15"/>
    <mergeCell ref="C29:D29"/>
    <mergeCell ref="C43:D4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8C654-47A8-4DCB-ABCA-54C7BCAC6E06}">
  <dimension ref="A1:M28"/>
  <sheetViews>
    <sheetView showGridLines="0" workbookViewId="0">
      <selection activeCell="N27" sqref="N27"/>
    </sheetView>
  </sheetViews>
  <sheetFormatPr baseColWidth="10" defaultRowHeight="14.4" x14ac:dyDescent="0.3"/>
  <cols>
    <col min="1" max="1" width="7.109375" bestFit="1" customWidth="1"/>
    <col min="2" max="2" width="2.44140625" bestFit="1" customWidth="1"/>
    <col min="3" max="3" width="13.6640625" bestFit="1" customWidth="1"/>
    <col min="4" max="4" width="6.6640625" bestFit="1" customWidth="1"/>
    <col min="5" max="5" width="2.109375" customWidth="1"/>
    <col min="6" max="6" width="13.6640625" bestFit="1" customWidth="1"/>
    <col min="7" max="7" width="5.77734375" bestFit="1" customWidth="1"/>
    <col min="8" max="8" width="14.21875" hidden="1" customWidth="1"/>
    <col min="9" max="9" width="14.21875" customWidth="1"/>
    <col min="10" max="10" width="6.77734375" customWidth="1"/>
    <col min="11" max="11" width="13.6640625" bestFit="1" customWidth="1"/>
    <col min="12" max="12" width="5.21875" bestFit="1" customWidth="1"/>
  </cols>
  <sheetData>
    <row r="1" spans="1:13" x14ac:dyDescent="0.3">
      <c r="A1" s="2" t="s">
        <v>2102</v>
      </c>
    </row>
    <row r="2" spans="1:13" x14ac:dyDescent="0.3">
      <c r="A2" s="2"/>
      <c r="B2" s="2"/>
      <c r="C2" s="3">
        <v>2025</v>
      </c>
      <c r="D2" s="3"/>
      <c r="E2" s="3"/>
      <c r="F2" s="3">
        <v>2026</v>
      </c>
      <c r="G2" s="3" t="s">
        <v>5</v>
      </c>
      <c r="H2" s="3" t="s">
        <v>2103</v>
      </c>
      <c r="I2" s="3" t="s">
        <v>2104</v>
      </c>
      <c r="J2" s="3"/>
      <c r="K2" s="3" t="s">
        <v>2104</v>
      </c>
      <c r="L2" s="2" t="s">
        <v>5</v>
      </c>
    </row>
    <row r="3" spans="1:13" x14ac:dyDescent="0.3">
      <c r="A3" s="84">
        <v>46023</v>
      </c>
      <c r="B3" s="85" t="s">
        <v>2105</v>
      </c>
      <c r="C3" s="86">
        <v>52157127.189999998</v>
      </c>
      <c r="D3" s="84">
        <v>46023</v>
      </c>
      <c r="E3" s="87" t="s">
        <v>2106</v>
      </c>
      <c r="F3" s="86">
        <v>46259991.459999993</v>
      </c>
      <c r="G3" s="88">
        <f>+(F3-C3)/C3</f>
        <v>-0.11306481103757288</v>
      </c>
      <c r="H3" s="16">
        <f>+F3-C3</f>
        <v>-5897135.7300000042</v>
      </c>
      <c r="I3" s="16">
        <v>50519919.323093899</v>
      </c>
      <c r="J3" s="34">
        <f>+(F3-I3)/I3</f>
        <v>-8.4321747147893547E-2</v>
      </c>
      <c r="K3" s="16">
        <v>72961434.134179994</v>
      </c>
      <c r="L3" s="25">
        <f>+(F3-K3)/K3</f>
        <v>-0.36596652726253454</v>
      </c>
      <c r="M3" s="37">
        <f>+(K3-C3)/C3</f>
        <v>0.39887754684787879</v>
      </c>
    </row>
    <row r="4" spans="1:13" x14ac:dyDescent="0.3">
      <c r="A4" s="84">
        <v>46024</v>
      </c>
      <c r="B4" t="s">
        <v>2106</v>
      </c>
      <c r="C4" s="16">
        <v>37243161.180000015</v>
      </c>
      <c r="G4" s="25"/>
      <c r="L4" s="25"/>
    </row>
    <row r="5" spans="1:13" x14ac:dyDescent="0.3">
      <c r="A5" s="84">
        <v>46025</v>
      </c>
      <c r="B5" s="85" t="s">
        <v>2100</v>
      </c>
      <c r="C5" s="86">
        <v>42457570.040000007</v>
      </c>
      <c r="D5" s="84">
        <v>46024</v>
      </c>
      <c r="E5" s="87" t="s">
        <v>2100</v>
      </c>
      <c r="F5" s="86">
        <v>38852036.490000002</v>
      </c>
      <c r="G5" s="88">
        <f t="shared" ref="G5:G14" si="0">+(F5-C5)/C5</f>
        <v>-8.4920864444271521E-2</v>
      </c>
      <c r="H5" s="16">
        <f>+F5-C5</f>
        <v>-3605533.5500000045</v>
      </c>
      <c r="I5" s="16">
        <v>44987445.710728236</v>
      </c>
      <c r="J5" s="34">
        <f t="shared" ref="J5:J14" si="1">+(F5-I5)/I5</f>
        <v>-0.13638047512586632</v>
      </c>
      <c r="K5" s="16">
        <v>42587529.325246997</v>
      </c>
      <c r="L5" s="25">
        <f t="shared" ref="L5:L14" si="2">+(F5-K5)/K5</f>
        <v>-8.7713302331264786E-2</v>
      </c>
      <c r="M5" s="37">
        <f t="shared" ref="M5:M13" si="3">+(K5-C5)/C5</f>
        <v>3.0609214122370582E-3</v>
      </c>
    </row>
    <row r="6" spans="1:13" x14ac:dyDescent="0.3">
      <c r="A6" s="84">
        <v>46026</v>
      </c>
      <c r="B6" s="85" t="s">
        <v>2107</v>
      </c>
      <c r="C6" s="86">
        <v>48664984.740000002</v>
      </c>
      <c r="D6" s="84">
        <v>46025</v>
      </c>
      <c r="E6" s="87" t="s">
        <v>2107</v>
      </c>
      <c r="F6" s="86">
        <v>44334469.079999983</v>
      </c>
      <c r="G6" s="88">
        <f t="shared" si="0"/>
        <v>-8.8986273870965943E-2</v>
      </c>
      <c r="H6" s="16">
        <f t="shared" ref="H6:H13" si="4">+F6-C6</f>
        <v>-4330515.6600000188</v>
      </c>
      <c r="I6" s="16">
        <v>45424448.912090503</v>
      </c>
      <c r="J6" s="34">
        <f t="shared" si="1"/>
        <v>-2.3995444263945762E-2</v>
      </c>
      <c r="K6" s="16">
        <v>49120993.571601987</v>
      </c>
      <c r="L6" s="25">
        <f t="shared" si="2"/>
        <v>-9.7443560147553843E-2</v>
      </c>
      <c r="M6" s="37">
        <f t="shared" si="3"/>
        <v>9.3703683261852546E-3</v>
      </c>
    </row>
    <row r="7" spans="1:13" x14ac:dyDescent="0.3">
      <c r="A7" s="84">
        <v>46027</v>
      </c>
      <c r="B7" s="85" t="s">
        <v>2108</v>
      </c>
      <c r="C7" s="86">
        <v>55815074.360000007</v>
      </c>
      <c r="D7" s="84">
        <v>46026</v>
      </c>
      <c r="E7" s="87" t="s">
        <v>2108</v>
      </c>
      <c r="F7" s="86">
        <v>53132667.970000006</v>
      </c>
      <c r="G7" s="88">
        <f t="shared" si="0"/>
        <v>-4.8058816023406628E-2</v>
      </c>
      <c r="H7" s="16">
        <f t="shared" si="4"/>
        <v>-2682406.3900000006</v>
      </c>
      <c r="I7" s="16">
        <v>45410354.837110773</v>
      </c>
      <c r="J7" s="34">
        <f t="shared" si="1"/>
        <v>0.17005621648607591</v>
      </c>
      <c r="K7" s="16">
        <v>55762090.496398985</v>
      </c>
      <c r="L7" s="25">
        <f t="shared" si="2"/>
        <v>-4.71543032729159E-2</v>
      </c>
      <c r="M7" s="37">
        <f t="shared" si="3"/>
        <v>-9.492751592389254E-4</v>
      </c>
    </row>
    <row r="8" spans="1:13" x14ac:dyDescent="0.3">
      <c r="A8" s="84">
        <v>46028</v>
      </c>
      <c r="B8" s="85" t="s">
        <v>2109</v>
      </c>
      <c r="C8" s="86">
        <v>32813532.52</v>
      </c>
      <c r="D8" s="84">
        <v>46027</v>
      </c>
      <c r="E8" s="87" t="s">
        <v>2109</v>
      </c>
      <c r="F8" s="86">
        <v>33488059.580000002</v>
      </c>
      <c r="G8" s="88">
        <f t="shared" si="0"/>
        <v>2.0556368308985783E-2</v>
      </c>
      <c r="H8" s="16">
        <f t="shared" si="4"/>
        <v>674527.06000000238</v>
      </c>
      <c r="I8" s="16">
        <v>45718257.016316071</v>
      </c>
      <c r="J8" s="34">
        <f t="shared" si="1"/>
        <v>-0.26751232952628351</v>
      </c>
      <c r="K8" s="16">
        <v>33230016.350130007</v>
      </c>
      <c r="L8" s="25">
        <f t="shared" si="2"/>
        <v>7.7653657208924523E-3</v>
      </c>
      <c r="M8" s="37">
        <f t="shared" si="3"/>
        <v>1.2692441140744548E-2</v>
      </c>
    </row>
    <row r="9" spans="1:13" x14ac:dyDescent="0.3">
      <c r="A9" s="84">
        <v>46029</v>
      </c>
      <c r="B9" s="85" t="s">
        <v>2110</v>
      </c>
      <c r="C9" s="86">
        <v>33640518.980000004</v>
      </c>
      <c r="D9" s="84">
        <v>46028</v>
      </c>
      <c r="E9" s="87" t="s">
        <v>2110</v>
      </c>
      <c r="F9" s="86">
        <v>33009321.200000007</v>
      </c>
      <c r="G9" s="88">
        <f t="shared" si="0"/>
        <v>-1.8763021473457583E-2</v>
      </c>
      <c r="H9" s="16">
        <f t="shared" si="4"/>
        <v>-631197.77999999747</v>
      </c>
      <c r="I9" s="16">
        <v>44754676.486209527</v>
      </c>
      <c r="J9" s="34">
        <f t="shared" si="1"/>
        <v>-0.26243861442789501</v>
      </c>
      <c r="K9" s="16">
        <v>33421056.929310996</v>
      </c>
      <c r="L9" s="25">
        <f t="shared" si="2"/>
        <v>-1.2319650158935823E-2</v>
      </c>
      <c r="M9" s="37">
        <f t="shared" si="3"/>
        <v>-6.523741527872471E-3</v>
      </c>
    </row>
    <row r="10" spans="1:13" x14ac:dyDescent="0.3">
      <c r="A10" s="84">
        <v>46030</v>
      </c>
      <c r="B10" s="85" t="s">
        <v>2105</v>
      </c>
      <c r="C10" s="86">
        <v>34099283.490000002</v>
      </c>
      <c r="D10" s="84">
        <v>46029</v>
      </c>
      <c r="E10" t="s">
        <v>2105</v>
      </c>
      <c r="F10" s="16">
        <v>34214847.769999996</v>
      </c>
      <c r="G10" s="88">
        <f t="shared" si="0"/>
        <v>3.3890530290433892E-3</v>
      </c>
      <c r="H10" s="16">
        <f t="shared" si="4"/>
        <v>115564.27999999374</v>
      </c>
      <c r="I10" s="16">
        <v>44986255.133234128</v>
      </c>
      <c r="J10" s="34">
        <f t="shared" si="1"/>
        <v>-0.23943774229112544</v>
      </c>
      <c r="K10" s="16">
        <v>53259563.736288987</v>
      </c>
      <c r="L10" s="25">
        <f t="shared" si="2"/>
        <v>-0.35758302603805719</v>
      </c>
      <c r="M10" s="37">
        <f t="shared" si="3"/>
        <v>0.56189685780077903</v>
      </c>
    </row>
    <row r="11" spans="1:13" x14ac:dyDescent="0.3">
      <c r="A11" s="84">
        <v>46031</v>
      </c>
      <c r="B11" s="85" t="s">
        <v>2106</v>
      </c>
      <c r="C11" s="86">
        <v>32829978.789999995</v>
      </c>
      <c r="D11" s="84">
        <v>46030</v>
      </c>
      <c r="E11" t="s">
        <v>2106</v>
      </c>
      <c r="F11" s="16">
        <v>34648952.059999995</v>
      </c>
      <c r="G11" s="88">
        <f t="shared" si="0"/>
        <v>5.5405861868971368E-2</v>
      </c>
      <c r="H11" s="16">
        <f t="shared" si="4"/>
        <v>1818973.2699999996</v>
      </c>
      <c r="I11" s="16">
        <v>45158775.541291326</v>
      </c>
      <c r="J11" s="34">
        <f t="shared" si="1"/>
        <v>-0.23273047940995611</v>
      </c>
      <c r="K11" s="16">
        <v>32937145.291497</v>
      </c>
      <c r="L11" s="25">
        <f t="shared" si="2"/>
        <v>5.1971922683442535E-2</v>
      </c>
      <c r="M11" s="37">
        <f t="shared" si="3"/>
        <v>3.2642878687953059E-3</v>
      </c>
    </row>
    <row r="12" spans="1:13" x14ac:dyDescent="0.3">
      <c r="A12" s="84">
        <v>46032</v>
      </c>
      <c r="B12" s="85" t="s">
        <v>2100</v>
      </c>
      <c r="C12" s="86">
        <v>40106919.469999991</v>
      </c>
      <c r="D12" s="84">
        <v>46031</v>
      </c>
      <c r="E12" s="87" t="s">
        <v>2100</v>
      </c>
      <c r="F12" s="86">
        <v>40296288.949999996</v>
      </c>
      <c r="G12" s="88">
        <f t="shared" si="0"/>
        <v>4.7216161825056821E-3</v>
      </c>
      <c r="H12" s="16">
        <f t="shared" si="4"/>
        <v>189369.48000000417</v>
      </c>
      <c r="I12" s="16">
        <v>44826472.264333226</v>
      </c>
      <c r="J12" s="34">
        <f t="shared" si="1"/>
        <v>-0.10106044677394188</v>
      </c>
      <c r="K12" s="16">
        <v>44826472.264333226</v>
      </c>
      <c r="L12" s="25">
        <f t="shared" si="2"/>
        <v>-0.10106044677394188</v>
      </c>
      <c r="M12" s="37">
        <f t="shared" si="3"/>
        <v>0.11767427807222801</v>
      </c>
    </row>
    <row r="13" spans="1:13" x14ac:dyDescent="0.3">
      <c r="A13" s="84">
        <v>46033</v>
      </c>
      <c r="B13" s="85" t="s">
        <v>2107</v>
      </c>
      <c r="C13" s="86">
        <v>51655303.129999995</v>
      </c>
      <c r="D13" s="84">
        <v>46032</v>
      </c>
      <c r="E13" s="87" t="s">
        <v>2107</v>
      </c>
      <c r="F13" s="86">
        <v>50357786.170000002</v>
      </c>
      <c r="G13" s="88">
        <f t="shared" si="0"/>
        <v>-2.5118756088499863E-2</v>
      </c>
      <c r="H13" s="16">
        <f t="shared" si="4"/>
        <v>-1297516.9599999934</v>
      </c>
      <c r="I13" s="16">
        <v>45587713.749761738</v>
      </c>
      <c r="J13" s="34">
        <f t="shared" si="1"/>
        <v>0.1046350436966845</v>
      </c>
      <c r="K13" s="16">
        <v>45587713.749761738</v>
      </c>
      <c r="L13" s="25">
        <f t="shared" si="2"/>
        <v>0.1046350436966845</v>
      </c>
      <c r="M13" s="37">
        <f t="shared" si="3"/>
        <v>-0.11746304856576026</v>
      </c>
    </row>
    <row r="14" spans="1:13" x14ac:dyDescent="0.3">
      <c r="A14" s="84">
        <v>46034</v>
      </c>
      <c r="B14" s="85" t="s">
        <v>2108</v>
      </c>
      <c r="C14" s="16">
        <v>54930497.229999982</v>
      </c>
      <c r="D14" s="84">
        <v>46033</v>
      </c>
      <c r="E14" t="s">
        <v>2108</v>
      </c>
      <c r="F14" s="16">
        <v>51390849.43</v>
      </c>
      <c r="G14" s="88">
        <f t="shared" si="0"/>
        <v>-6.4438663010441918E-2</v>
      </c>
      <c r="H14" s="16"/>
      <c r="I14" s="16">
        <v>49337740.144056782</v>
      </c>
      <c r="J14" s="34">
        <f t="shared" si="1"/>
        <v>4.1613362913431595E-2</v>
      </c>
      <c r="K14" s="16">
        <v>49337740.144056782</v>
      </c>
      <c r="L14" s="25">
        <f t="shared" si="2"/>
        <v>4.1613362913431595E-2</v>
      </c>
    </row>
    <row r="15" spans="1:13" x14ac:dyDescent="0.3">
      <c r="A15" s="84"/>
      <c r="D15" s="84">
        <v>46034</v>
      </c>
      <c r="E15" t="s">
        <v>2109</v>
      </c>
      <c r="F15" s="16">
        <v>32180977.579999994</v>
      </c>
      <c r="I15" s="16">
        <v>44969055.378403492</v>
      </c>
      <c r="K15" s="16"/>
    </row>
    <row r="16" spans="1:13" x14ac:dyDescent="0.3">
      <c r="D16" s="84"/>
      <c r="K16" s="16"/>
    </row>
    <row r="20" spans="1:12" x14ac:dyDescent="0.3">
      <c r="A20" t="s">
        <v>2112</v>
      </c>
      <c r="C20" s="16">
        <f>SUM(C3:C19)</f>
        <v>516413951.12</v>
      </c>
      <c r="F20" s="16">
        <f>SUM(F3:F19)</f>
        <v>492166247.74000001</v>
      </c>
      <c r="G20" s="88">
        <f t="shared" ref="G20" si="5">+(F20-C20)/C20</f>
        <v>-4.6954005265371919E-2</v>
      </c>
      <c r="H20" s="16">
        <f>SUM(H3:H19)</f>
        <v>-15645871.980000019</v>
      </c>
      <c r="I20" s="16">
        <f>SUM(I3:I19)</f>
        <v>551681114.49662971</v>
      </c>
      <c r="J20" s="34">
        <f>+(F20-I20)/I20</f>
        <v>-0.10787910840655265</v>
      </c>
      <c r="K20" s="16">
        <f>SUM(K3:K19)</f>
        <v>513031755.99280673</v>
      </c>
      <c r="L20" s="25">
        <f>+(F20-K20)/K20</f>
        <v>-4.0670987729459929E-2</v>
      </c>
    </row>
    <row r="24" spans="1:12" x14ac:dyDescent="0.3">
      <c r="A24" s="89" t="s">
        <v>4</v>
      </c>
      <c r="C24" s="90">
        <f>+C10+C9+C8+C7+C6+C5+C3+C11+C12+C13+C14</f>
        <v>479170789.93999994</v>
      </c>
      <c r="D24" s="90"/>
      <c r="E24" s="2"/>
      <c r="F24" s="90">
        <f>+F10+F9+F8+F7+F6+F5+F3+F11+F12+F13+F14</f>
        <v>459985270.16000003</v>
      </c>
      <c r="G24" s="91">
        <f>+(F24-C24)/C24</f>
        <v>-4.0039001088530993E-2</v>
      </c>
      <c r="H24" s="16">
        <f>SUM(H3:H13)</f>
        <v>-15645871.980000019</v>
      </c>
      <c r="I24" s="90">
        <f>+I10+I9+I8+I7+I6+I5+I3+I11+I12+I13+I14</f>
        <v>506712059.11822623</v>
      </c>
      <c r="J24" s="34">
        <f>+(F24-I24)/I24</f>
        <v>-9.2215663940462669E-2</v>
      </c>
      <c r="K24" s="90">
        <f>+K11+K10+K9+K8+K7+K6+K5+K3+K12+K13</f>
        <v>463694015.84875</v>
      </c>
      <c r="L24" s="25">
        <f>+(F24-K24)/K24</f>
        <v>-7.9982608400961247E-3</v>
      </c>
    </row>
    <row r="25" spans="1:12" x14ac:dyDescent="0.3">
      <c r="A25" s="89"/>
      <c r="C25" s="90"/>
      <c r="D25" s="90"/>
      <c r="E25" s="2"/>
      <c r="F25" s="90"/>
      <c r="G25" s="92"/>
      <c r="H25" s="92"/>
      <c r="I25" s="92"/>
      <c r="J25" s="92"/>
      <c r="K25" s="90"/>
      <c r="L25" s="25"/>
    </row>
    <row r="26" spans="1:12" x14ac:dyDescent="0.3">
      <c r="A26" s="89" t="s">
        <v>871</v>
      </c>
      <c r="F26" s="16">
        <v>17168621.069999997</v>
      </c>
      <c r="H26" s="16">
        <f t="shared" ref="H26" si="6">+F26-C26</f>
        <v>17168621.069999997</v>
      </c>
      <c r="K26" s="16">
        <f>+K28-K24</f>
        <v>-83175727.848749995</v>
      </c>
    </row>
    <row r="27" spans="1:12" x14ac:dyDescent="0.3">
      <c r="A27" s="2"/>
    </row>
    <row r="28" spans="1:12" x14ac:dyDescent="0.3">
      <c r="A28" s="89" t="s">
        <v>2111</v>
      </c>
      <c r="C28" s="90">
        <f>+C24-C26</f>
        <v>479170789.93999994</v>
      </c>
      <c r="D28" s="90"/>
      <c r="E28" s="2"/>
      <c r="F28" s="90">
        <f>+F24-F26</f>
        <v>442816649.09000003</v>
      </c>
      <c r="G28" s="91">
        <f>+(F28-C28)/C28</f>
        <v>-7.5868858480609896E-2</v>
      </c>
      <c r="H28" s="16">
        <f>+F28-C28</f>
        <v>-36354140.849999905</v>
      </c>
      <c r="I28" s="91"/>
      <c r="J28" s="91"/>
      <c r="K28" s="90">
        <v>380518288</v>
      </c>
      <c r="L28" s="25">
        <f>+(F28-K28)/K28</f>
        <v>0.1637197555403698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545FB-FACF-4F4C-804C-1A81464842D0}">
  <sheetPr codeName="Hoja6"/>
  <dimension ref="A1"/>
  <sheetViews>
    <sheetView workbookViewId="0">
      <selection activeCell="B2" sqref="B2"/>
    </sheetView>
  </sheetViews>
  <sheetFormatPr baseColWidth="10"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273D1-1DCE-4C82-91F1-CE734B3123F6}">
  <sheetPr codeName="Hoja3"/>
  <dimension ref="A1:C71"/>
  <sheetViews>
    <sheetView topLeftCell="A60" workbookViewId="0">
      <selection activeCell="D70" sqref="D70"/>
    </sheetView>
  </sheetViews>
  <sheetFormatPr baseColWidth="10" defaultRowHeight="14.4" x14ac:dyDescent="0.3"/>
  <cols>
    <col min="1" max="1" width="21.21875" customWidth="1"/>
    <col min="2" max="2" width="27.77734375" customWidth="1"/>
    <col min="3" max="3" width="16.77734375" customWidth="1"/>
  </cols>
  <sheetData>
    <row r="1" spans="1:3" x14ac:dyDescent="0.3">
      <c r="A1" t="s">
        <v>103</v>
      </c>
      <c r="B1" t="s">
        <v>104</v>
      </c>
      <c r="C1" s="2" t="s">
        <v>105</v>
      </c>
    </row>
    <row r="2" spans="1:3" x14ac:dyDescent="0.3">
      <c r="A2" s="2" t="s">
        <v>0</v>
      </c>
      <c r="B2" s="1" t="s">
        <v>6</v>
      </c>
      <c r="C2" s="1" t="str">
        <f>IF(IFERROR(VLOOKUP(B2,DATA_KPI!$D:$H,5,FALSE),"")="",VLOOKUP(B2,DATA_KPI_PRE!$D:$H,5,FALSE),VLOOKUP(B2,DATA_KPI!$D:$H,5,FALSE))</f>
        <v>S08</v>
      </c>
    </row>
    <row r="3" spans="1:3" x14ac:dyDescent="0.3">
      <c r="A3" s="2" t="s">
        <v>0</v>
      </c>
      <c r="B3" s="1" t="s">
        <v>26</v>
      </c>
      <c r="C3" s="1" t="str">
        <f>IF(IFERROR(VLOOKUP(B3,DATA_KPI!$D:$H,5,FALSE),"")="",VLOOKUP(B3,DATA_KPI_PRE!$D:$H,5,FALSE),VLOOKUP(B3,DATA_KPI!$D:$H,5,FALSE))</f>
        <v>S42</v>
      </c>
    </row>
    <row r="4" spans="1:3" x14ac:dyDescent="0.3">
      <c r="A4" s="2" t="s">
        <v>0</v>
      </c>
      <c r="B4" s="1" t="s">
        <v>7</v>
      </c>
      <c r="C4" s="1" t="str">
        <f>IF(IFERROR(VLOOKUP(B4,DATA_KPI!$D:$H,5,FALSE),"")="",VLOOKUP(B4,DATA_KPI_PRE!$D:$H,5,FALSE),VLOOKUP(B4,DATA_KPI!$D:$H,5,FALSE))</f>
        <v>S38</v>
      </c>
    </row>
    <row r="5" spans="1:3" x14ac:dyDescent="0.3">
      <c r="A5" s="2" t="s">
        <v>0</v>
      </c>
      <c r="B5" s="1" t="s">
        <v>8</v>
      </c>
      <c r="C5" s="1" t="str">
        <f>IF(IFERROR(VLOOKUP(B5,DATA_KPI!$D:$H,5,FALSE),"")="",VLOOKUP(B5,DATA_KPI_PRE!$D:$H,5,FALSE),VLOOKUP(B5,DATA_KPI!$D:$H,5,FALSE))</f>
        <v>S71</v>
      </c>
    </row>
    <row r="6" spans="1:3" x14ac:dyDescent="0.3">
      <c r="A6" s="2" t="s">
        <v>0</v>
      </c>
      <c r="B6" s="1" t="s">
        <v>9</v>
      </c>
      <c r="C6" s="1" t="str">
        <f>IF(IFERROR(VLOOKUP(B6,DATA_KPI!$D:$H,5,FALSE),"")="",VLOOKUP(B6,DATA_KPI_PRE!$D:$H,5,FALSE),VLOOKUP(B6,DATA_KPI!$D:$H,5,FALSE))</f>
        <v>S12</v>
      </c>
    </row>
    <row r="7" spans="1:3" x14ac:dyDescent="0.3">
      <c r="A7" s="2" t="s">
        <v>0</v>
      </c>
      <c r="B7" s="1" t="s">
        <v>10</v>
      </c>
      <c r="C7" s="1" t="str">
        <f>IF(IFERROR(VLOOKUP(B7,DATA_KPI!$D:$H,5,FALSE),"")="",VLOOKUP(B7,DATA_KPI_PRE!$D:$H,5,FALSE),VLOOKUP(B7,DATA_KPI!$D:$H,5,FALSE))</f>
        <v>S04</v>
      </c>
    </row>
    <row r="8" spans="1:3" x14ac:dyDescent="0.3">
      <c r="A8" s="2" t="s">
        <v>0</v>
      </c>
      <c r="B8" s="1" t="s">
        <v>11</v>
      </c>
      <c r="C8" s="1" t="str">
        <f>IF(IFERROR(VLOOKUP(B8,DATA_KPI!$D:$H,5,FALSE),"")="",VLOOKUP(B8,DATA_KPI_PRE!$D:$H,5,FALSE),VLOOKUP(B8,DATA_KPI!$D:$H,5,FALSE))</f>
        <v>S09</v>
      </c>
    </row>
    <row r="9" spans="1:3" x14ac:dyDescent="0.3">
      <c r="A9" s="2" t="s">
        <v>0</v>
      </c>
      <c r="B9" s="1" t="s">
        <v>52</v>
      </c>
      <c r="C9" s="1" t="str">
        <f>IF(IFERROR(VLOOKUP(B9,DATA_KPI!$D:$H,5,FALSE),"")="",VLOOKUP(B9,DATA_KPI_PRE!$D:$H,5,FALSE),VLOOKUP(B9,DATA_KPI!$D:$H,5,FALSE))</f>
        <v>S87</v>
      </c>
    </row>
    <row r="10" spans="1:3" x14ac:dyDescent="0.3">
      <c r="A10" s="2" t="s">
        <v>0</v>
      </c>
      <c r="B10" s="1" t="s">
        <v>12</v>
      </c>
      <c r="C10" s="1" t="str">
        <f>IF(IFERROR(VLOOKUP(B10,DATA_KPI!$D:$H,5,FALSE),"")="",VLOOKUP(B10,DATA_KPI_PRE!$D:$H,5,FALSE),VLOOKUP(B10,DATA_KPI!$D:$H,5,FALSE))</f>
        <v>S01</v>
      </c>
    </row>
    <row r="11" spans="1:3" x14ac:dyDescent="0.3">
      <c r="A11" s="2" t="s">
        <v>0</v>
      </c>
      <c r="B11" s="1" t="s">
        <v>13</v>
      </c>
      <c r="C11" s="1" t="str">
        <f>IF(IFERROR(VLOOKUP(B11,DATA_KPI!$D:$H,5,FALSE),"")="",VLOOKUP(B11,DATA_KPI_PRE!$D:$H,5,FALSE),VLOOKUP(B11,DATA_KPI!$D:$H,5,FALSE))</f>
        <v>S13</v>
      </c>
    </row>
    <row r="12" spans="1:3" x14ac:dyDescent="0.3">
      <c r="A12" s="2" t="s">
        <v>0</v>
      </c>
      <c r="B12" s="1" t="s">
        <v>14</v>
      </c>
      <c r="C12" s="1" t="str">
        <f>IF(IFERROR(VLOOKUP(B12,DATA_KPI!$D:$H,5,FALSE),"")="",VLOOKUP(B12,DATA_KPI_PRE!$D:$H,5,FALSE),VLOOKUP(B12,DATA_KPI!$D:$H,5,FALSE))</f>
        <v>S32</v>
      </c>
    </row>
    <row r="13" spans="1:3" x14ac:dyDescent="0.3">
      <c r="A13" s="2" t="s">
        <v>0</v>
      </c>
      <c r="B13" s="1" t="s">
        <v>48</v>
      </c>
      <c r="C13" s="1" t="str">
        <f>IF(IFERROR(VLOOKUP(B13,DATA_KPI!$D:$H,5,FALSE),"")="",VLOOKUP(B13,DATA_KPI_PRE!$D:$H,5,FALSE),VLOOKUP(B13,DATA_KPI!$D:$H,5,FALSE))</f>
        <v>S31</v>
      </c>
    </row>
    <row r="14" spans="1:3" x14ac:dyDescent="0.3">
      <c r="A14" s="2" t="s">
        <v>0</v>
      </c>
      <c r="B14" s="1" t="s">
        <v>44</v>
      </c>
      <c r="C14" s="1" t="str">
        <f>IF(IFERROR(VLOOKUP(B14,DATA_KPI!$D:$H,5,FALSE),"")="",VLOOKUP(B14,DATA_KPI_PRE!$D:$H,5,FALSE),VLOOKUP(B14,DATA_KPI!$D:$H,5,FALSE))</f>
        <v>S06</v>
      </c>
    </row>
    <row r="15" spans="1:3" x14ac:dyDescent="0.3">
      <c r="A15" s="2" t="s">
        <v>0</v>
      </c>
      <c r="B15" s="1" t="s">
        <v>15</v>
      </c>
      <c r="C15" s="1" t="str">
        <f>IF(IFERROR(VLOOKUP(B15,DATA_KPI!$D:$H,5,FALSE),"")="",VLOOKUP(B15,DATA_KPI_PRE!$D:$H,5,FALSE),VLOOKUP(B15,DATA_KPI!$D:$H,5,FALSE))</f>
        <v>S72</v>
      </c>
    </row>
    <row r="16" spans="1:3" x14ac:dyDescent="0.3">
      <c r="A16" s="2" t="s">
        <v>0</v>
      </c>
      <c r="B16" s="1" t="s">
        <v>51</v>
      </c>
      <c r="C16" s="1" t="str">
        <f>IF(IFERROR(VLOOKUP(B16,DATA_KPI!$D:$H,5,FALSE),"")="",VLOOKUP(B16,DATA_KPI_PRE!$D:$H,5,FALSE),VLOOKUP(B16,DATA_KPI!$D:$H,5,FALSE))</f>
        <v>S86</v>
      </c>
    </row>
    <row r="17" spans="1:3" x14ac:dyDescent="0.3">
      <c r="A17" s="2" t="s">
        <v>0</v>
      </c>
      <c r="B17" s="1" t="s">
        <v>16</v>
      </c>
      <c r="C17" s="1" t="str">
        <f>IF(IFERROR(VLOOKUP(B17,DATA_KPI!$D:$H,5,FALSE),"")="",VLOOKUP(B17,DATA_KPI_PRE!$D:$H,5,FALSE),VLOOKUP(B17,DATA_KPI!$D:$H,5,FALSE))</f>
        <v>S67</v>
      </c>
    </row>
    <row r="18" spans="1:3" x14ac:dyDescent="0.3">
      <c r="A18" s="2" t="s">
        <v>0</v>
      </c>
      <c r="B18" s="1" t="s">
        <v>17</v>
      </c>
      <c r="C18" s="1" t="str">
        <f>IF(IFERROR(VLOOKUP(B18,DATA_KPI!$D:$H,5,FALSE),"")="",VLOOKUP(B18,DATA_KPI_PRE!$D:$H,5,FALSE),VLOOKUP(B18,DATA_KPI!$D:$H,5,FALSE))</f>
        <v>S39</v>
      </c>
    </row>
    <row r="19" spans="1:3" x14ac:dyDescent="0.3">
      <c r="A19" s="2" t="s">
        <v>0</v>
      </c>
      <c r="B19" s="1" t="s">
        <v>18</v>
      </c>
      <c r="C19" s="1" t="str">
        <f>IF(IFERROR(VLOOKUP(B19,DATA_KPI!$D:$H,5,FALSE),"")="",VLOOKUP(B19,DATA_KPI_PRE!$D:$H,5,FALSE),VLOOKUP(B19,DATA_KPI!$D:$H,5,FALSE))</f>
        <v>S27</v>
      </c>
    </row>
    <row r="20" spans="1:3" x14ac:dyDescent="0.3">
      <c r="A20" s="2" t="s">
        <v>0</v>
      </c>
      <c r="B20" s="1" t="s">
        <v>19</v>
      </c>
      <c r="C20" s="1" t="str">
        <f>IF(IFERROR(VLOOKUP(B20,DATA_KPI!$D:$H,5,FALSE),"")="",VLOOKUP(B20,DATA_KPI_PRE!$D:$H,5,FALSE),VLOOKUP(B20,DATA_KPI!$D:$H,5,FALSE))</f>
        <v>S19</v>
      </c>
    </row>
    <row r="21" spans="1:3" x14ac:dyDescent="0.3">
      <c r="A21" s="2" t="s">
        <v>0</v>
      </c>
      <c r="B21" s="1" t="s">
        <v>20</v>
      </c>
      <c r="C21" s="1" t="str">
        <f>IF(IFERROR(VLOOKUP(B21,DATA_KPI!$D:$H,5,FALSE),"")="",VLOOKUP(B21,DATA_KPI_PRE!$D:$H,5,FALSE),VLOOKUP(B21,DATA_KPI!$D:$H,5,FALSE))</f>
        <v>S10</v>
      </c>
    </row>
    <row r="22" spans="1:3" x14ac:dyDescent="0.3">
      <c r="A22" s="2" t="s">
        <v>0</v>
      </c>
      <c r="B22" s="1" t="s">
        <v>21</v>
      </c>
      <c r="C22" s="1" t="str">
        <f>IF(IFERROR(VLOOKUP(B22,DATA_KPI!$D:$H,5,FALSE),"")="",VLOOKUP(B22,DATA_KPI_PRE!$D:$H,5,FALSE),VLOOKUP(B22,DATA_KPI!$D:$H,5,FALSE))</f>
        <v>S14</v>
      </c>
    </row>
    <row r="23" spans="1:3" x14ac:dyDescent="0.3">
      <c r="A23" s="2" t="s">
        <v>0</v>
      </c>
      <c r="B23" s="1" t="s">
        <v>22</v>
      </c>
      <c r="C23" s="1" t="str">
        <f>IF(IFERROR(VLOOKUP(B23,DATA_KPI!$D:$H,5,FALSE),"")="",VLOOKUP(B23,DATA_KPI_PRE!$D:$H,5,FALSE),VLOOKUP(B23,DATA_KPI!$D:$H,5,FALSE))</f>
        <v>S21</v>
      </c>
    </row>
    <row r="24" spans="1:3" x14ac:dyDescent="0.3">
      <c r="A24" s="2" t="s">
        <v>0</v>
      </c>
      <c r="B24" s="1" t="s">
        <v>49</v>
      </c>
      <c r="C24" s="1" t="str">
        <f>IF(IFERROR(VLOOKUP(B24,DATA_KPI!$D:$H,5,FALSE),"")="",VLOOKUP(B24,DATA_KPI_PRE!$D:$H,5,FALSE),VLOOKUP(B24,DATA_KPI!$D:$H,5,FALSE))</f>
        <v>S20</v>
      </c>
    </row>
    <row r="25" spans="1:3" x14ac:dyDescent="0.3">
      <c r="A25" s="6" t="s">
        <v>102</v>
      </c>
      <c r="B25" s="1" t="s">
        <v>24</v>
      </c>
      <c r="C25" s="1" t="str">
        <f>IF(IFERROR(VLOOKUP(B25,DATA_KPI!$D:$H,5,FALSE),"")="",VLOOKUP(B25,DATA_KPI_PRE!$D:$H,5,FALSE),VLOOKUP(B25,DATA_KPI!$D:$H,5,FALSE))</f>
        <v>S89</v>
      </c>
    </row>
    <row r="26" spans="1:3" x14ac:dyDescent="0.3">
      <c r="A26" s="6" t="s">
        <v>102</v>
      </c>
      <c r="B26" s="1" t="s">
        <v>25</v>
      </c>
      <c r="C26" s="1" t="str">
        <f>IF(IFERROR(VLOOKUP(B26,DATA_KPI!$D:$H,5,FALSE),"")="",VLOOKUP(B26,DATA_KPI_PRE!$D:$H,5,FALSE),VLOOKUP(B26,DATA_KPI!$D:$H,5,FALSE))</f>
        <v>S91</v>
      </c>
    </row>
    <row r="27" spans="1:3" x14ac:dyDescent="0.3">
      <c r="A27" s="6" t="s">
        <v>60</v>
      </c>
      <c r="B27" s="1" t="s">
        <v>43</v>
      </c>
      <c r="C27" s="1" t="str">
        <f>IF(IFERROR(VLOOKUP(B27,DATA_KPI!$D:$H,5,FALSE),"")="",VLOOKUP(B27,DATA_KPI_PRE!$D:$H,5,FALSE),VLOOKUP(B27,DATA_KPI!$D:$H,5,FALSE))</f>
        <v>V11</v>
      </c>
    </row>
    <row r="28" spans="1:3" x14ac:dyDescent="0.3">
      <c r="A28" s="6" t="s">
        <v>60</v>
      </c>
      <c r="B28" s="1" t="s">
        <v>50</v>
      </c>
      <c r="C28" s="1" t="str">
        <f>IF(IFERROR(VLOOKUP(B28,DATA_KPI!$D:$H,5,FALSE),"")="",VLOOKUP(B28,DATA_KPI_PRE!$D:$H,5,FALSE),VLOOKUP(B28,DATA_KPI!$D:$H,5,FALSE))</f>
        <v>V05</v>
      </c>
    </row>
    <row r="29" spans="1:3" x14ac:dyDescent="0.3">
      <c r="A29" s="6" t="s">
        <v>60</v>
      </c>
      <c r="B29" s="1" t="s">
        <v>41</v>
      </c>
      <c r="C29" s="1" t="str">
        <f>IF(IFERROR(VLOOKUP(B29,DATA_KPI!$D:$H,5,FALSE),"")="",VLOOKUP(B29,DATA_KPI_PRE!$D:$H,5,FALSE),VLOOKUP(B29,DATA_KPI!$D:$H,5,FALSE))</f>
        <v>V13</v>
      </c>
    </row>
    <row r="30" spans="1:3" x14ac:dyDescent="0.3">
      <c r="A30" s="6" t="s">
        <v>60</v>
      </c>
      <c r="B30" s="1" t="s">
        <v>40</v>
      </c>
      <c r="C30" s="1" t="str">
        <f>IF(IFERROR(VLOOKUP(B30,DATA_KPI!$D:$H,5,FALSE),"")="",VLOOKUP(B30,DATA_KPI_PRE!$D:$H,5,FALSE),VLOOKUP(B30,DATA_KPI!$D:$H,5,FALSE))</f>
        <v>V06</v>
      </c>
    </row>
    <row r="31" spans="1:3" x14ac:dyDescent="0.3">
      <c r="A31" s="6" t="s">
        <v>60</v>
      </c>
      <c r="B31" s="1" t="s">
        <v>42</v>
      </c>
      <c r="C31" s="1" t="str">
        <f>IF(IFERROR(VLOOKUP(B31,DATA_KPI!$D:$H,5,FALSE),"")="",VLOOKUP(B31,DATA_KPI_PRE!$D:$H,5,FALSE),VLOOKUP(B31,DATA_KPI!$D:$H,5,FALSE))</f>
        <v>V02</v>
      </c>
    </row>
    <row r="32" spans="1:3" x14ac:dyDescent="0.3">
      <c r="A32" s="6" t="s">
        <v>60</v>
      </c>
      <c r="B32" s="1" t="s">
        <v>37</v>
      </c>
      <c r="C32" s="1" t="str">
        <f>IF(IFERROR(VLOOKUP(B32,DATA_KPI!$D:$H,5,FALSE),"")="",VLOOKUP(B32,DATA_KPI_PRE!$D:$H,5,FALSE),VLOOKUP(B32,DATA_KPI!$D:$H,5,FALSE))</f>
        <v>V24</v>
      </c>
    </row>
    <row r="33" spans="1:3" x14ac:dyDescent="0.3">
      <c r="A33" s="6" t="s">
        <v>60</v>
      </c>
      <c r="B33" s="1" t="s">
        <v>46</v>
      </c>
      <c r="C33" s="1" t="str">
        <f>IF(IFERROR(VLOOKUP(B33,DATA_KPI!$D:$H,5,FALSE),"")="",VLOOKUP(B33,DATA_KPI_PRE!$D:$H,5,FALSE),VLOOKUP(B33,DATA_KPI!$D:$H,5,FALSE))</f>
        <v>V01</v>
      </c>
    </row>
    <row r="34" spans="1:3" x14ac:dyDescent="0.3">
      <c r="A34" s="6" t="s">
        <v>60</v>
      </c>
      <c r="B34" s="1" t="s">
        <v>45</v>
      </c>
      <c r="C34" s="1" t="str">
        <f>IF(IFERROR(VLOOKUP(B34,DATA_KPI!$D:$H,5,FALSE),"")="",VLOOKUP(B34,DATA_KPI_PRE!$D:$H,5,FALSE),VLOOKUP(B34,DATA_KPI!$D:$H,5,FALSE))</f>
        <v>V07</v>
      </c>
    </row>
    <row r="35" spans="1:3" x14ac:dyDescent="0.3">
      <c r="A35" s="6" t="s">
        <v>60</v>
      </c>
      <c r="B35" s="1" t="s">
        <v>47</v>
      </c>
      <c r="C35" s="1" t="str">
        <f>IF(IFERROR(VLOOKUP(B35,DATA_KPI!$D:$H,5,FALSE),"")="",VLOOKUP(B35,DATA_KPI_PRE!$D:$H,5,FALSE),VLOOKUP(B35,DATA_KPI!$D:$H,5,FALSE))</f>
        <v>V12</v>
      </c>
    </row>
    <row r="36" spans="1:3" x14ac:dyDescent="0.3">
      <c r="A36" s="6" t="s">
        <v>60</v>
      </c>
      <c r="B36" s="1" t="s">
        <v>39</v>
      </c>
      <c r="C36" s="1" t="str">
        <f>IF(IFERROR(VLOOKUP(B36,DATA_KPI!$D:$H,5,FALSE),"")="",VLOOKUP(B36,DATA_KPI_PRE!$D:$H,5,FALSE),VLOOKUP(B36,DATA_KPI!$D:$H,5,FALSE))</f>
        <v>V10</v>
      </c>
    </row>
    <row r="37" spans="1:3" x14ac:dyDescent="0.3">
      <c r="A37" s="2" t="s">
        <v>55</v>
      </c>
      <c r="B37" s="1" t="s">
        <v>6</v>
      </c>
      <c r="C37" s="1" t="str">
        <f>IF(IFERROR(VLOOKUP(B37,DATA_KPI!$D:$H,5,FALSE),"")="",VLOOKUP(B37,DATA_KPI_PRE!$D:$H,5,FALSE),VLOOKUP(B37,DATA_KPI!$D:$H,5,FALSE))</f>
        <v>S08</v>
      </c>
    </row>
    <row r="38" spans="1:3" x14ac:dyDescent="0.3">
      <c r="A38" s="2" t="s">
        <v>55</v>
      </c>
      <c r="B38" s="1" t="s">
        <v>26</v>
      </c>
      <c r="C38" s="1" t="str">
        <f>IF(IFERROR(VLOOKUP(B38,DATA_KPI!$D:$H,5,FALSE),"")="",VLOOKUP(B38,DATA_KPI_PRE!$D:$H,5,FALSE),VLOOKUP(B38,DATA_KPI!$D:$H,5,FALSE))</f>
        <v>S42</v>
      </c>
    </row>
    <row r="39" spans="1:3" x14ac:dyDescent="0.3">
      <c r="A39" s="2" t="s">
        <v>55</v>
      </c>
      <c r="B39" s="1" t="s">
        <v>7</v>
      </c>
      <c r="C39" s="1" t="str">
        <f>IF(IFERROR(VLOOKUP(B39,DATA_KPI!$D:$H,5,FALSE),"")="",VLOOKUP(B39,DATA_KPI_PRE!$D:$H,5,FALSE),VLOOKUP(B39,DATA_KPI!$D:$H,5,FALSE))</f>
        <v>S38</v>
      </c>
    </row>
    <row r="40" spans="1:3" x14ac:dyDescent="0.3">
      <c r="A40" s="2" t="s">
        <v>55</v>
      </c>
      <c r="B40" s="1" t="s">
        <v>8</v>
      </c>
      <c r="C40" s="1" t="str">
        <f>IF(IFERROR(VLOOKUP(B40,DATA_KPI!$D:$H,5,FALSE),"")="",VLOOKUP(B40,DATA_KPI_PRE!$D:$H,5,FALSE),VLOOKUP(B40,DATA_KPI!$D:$H,5,FALSE))</f>
        <v>S71</v>
      </c>
    </row>
    <row r="41" spans="1:3" x14ac:dyDescent="0.3">
      <c r="A41" s="2" t="s">
        <v>55</v>
      </c>
      <c r="B41" s="1" t="s">
        <v>9</v>
      </c>
      <c r="C41" s="1" t="str">
        <f>IF(IFERROR(VLOOKUP(B41,DATA_KPI!$D:$H,5,FALSE),"")="",VLOOKUP(B41,DATA_KPI_PRE!$D:$H,5,FALSE),VLOOKUP(B41,DATA_KPI!$D:$H,5,FALSE))</f>
        <v>S12</v>
      </c>
    </row>
    <row r="42" spans="1:3" x14ac:dyDescent="0.3">
      <c r="A42" s="2" t="s">
        <v>55</v>
      </c>
      <c r="B42" s="1" t="s">
        <v>10</v>
      </c>
      <c r="C42" s="1" t="str">
        <f>IF(IFERROR(VLOOKUP(B42,DATA_KPI!$D:$H,5,FALSE),"")="",VLOOKUP(B42,DATA_KPI_PRE!$D:$H,5,FALSE),VLOOKUP(B42,DATA_KPI!$D:$H,5,FALSE))</f>
        <v>S04</v>
      </c>
    </row>
    <row r="43" spans="1:3" x14ac:dyDescent="0.3">
      <c r="A43" s="2" t="s">
        <v>55</v>
      </c>
      <c r="B43" s="1" t="s">
        <v>11</v>
      </c>
      <c r="C43" s="1" t="str">
        <f>IF(IFERROR(VLOOKUP(B43,DATA_KPI!$D:$H,5,FALSE),"")="",VLOOKUP(B43,DATA_KPI_PRE!$D:$H,5,FALSE),VLOOKUP(B43,DATA_KPI!$D:$H,5,FALSE))</f>
        <v>S09</v>
      </c>
    </row>
    <row r="44" spans="1:3" x14ac:dyDescent="0.3">
      <c r="A44" s="2" t="s">
        <v>55</v>
      </c>
      <c r="B44" s="1" t="s">
        <v>52</v>
      </c>
      <c r="C44" s="1" t="str">
        <f>IF(IFERROR(VLOOKUP(B44,DATA_KPI!$D:$H,5,FALSE),"")="",VLOOKUP(B44,DATA_KPI_PRE!$D:$H,5,FALSE),VLOOKUP(B44,DATA_KPI!$D:$H,5,FALSE))</f>
        <v>S87</v>
      </c>
    </row>
    <row r="45" spans="1:3" x14ac:dyDescent="0.3">
      <c r="A45" s="2" t="s">
        <v>55</v>
      </c>
      <c r="B45" s="1" t="s">
        <v>12</v>
      </c>
      <c r="C45" s="1" t="str">
        <f>IF(IFERROR(VLOOKUP(B45,DATA_KPI!$D:$H,5,FALSE),"")="",VLOOKUP(B45,DATA_KPI_PRE!$D:$H,5,FALSE),VLOOKUP(B45,DATA_KPI!$D:$H,5,FALSE))</f>
        <v>S01</v>
      </c>
    </row>
    <row r="46" spans="1:3" x14ac:dyDescent="0.3">
      <c r="A46" s="2" t="s">
        <v>55</v>
      </c>
      <c r="B46" s="1" t="s">
        <v>13</v>
      </c>
      <c r="C46" s="1" t="str">
        <f>IF(IFERROR(VLOOKUP(B46,DATA_KPI!$D:$H,5,FALSE),"")="",VLOOKUP(B46,DATA_KPI_PRE!$D:$H,5,FALSE),VLOOKUP(B46,DATA_KPI!$D:$H,5,FALSE))</f>
        <v>S13</v>
      </c>
    </row>
    <row r="47" spans="1:3" x14ac:dyDescent="0.3">
      <c r="A47" s="2" t="s">
        <v>55</v>
      </c>
      <c r="B47" s="1" t="s">
        <v>14</v>
      </c>
      <c r="C47" s="1" t="str">
        <f>IF(IFERROR(VLOOKUP(B47,DATA_KPI!$D:$H,5,FALSE),"")="",VLOOKUP(B47,DATA_KPI_PRE!$D:$H,5,FALSE),VLOOKUP(B47,DATA_KPI!$D:$H,5,FALSE))</f>
        <v>S32</v>
      </c>
    </row>
    <row r="48" spans="1:3" x14ac:dyDescent="0.3">
      <c r="A48" s="2" t="s">
        <v>55</v>
      </c>
      <c r="B48" s="1" t="s">
        <v>48</v>
      </c>
      <c r="C48" s="1" t="str">
        <f>IF(IFERROR(VLOOKUP(B48,DATA_KPI!$D:$H,5,FALSE),"")="",VLOOKUP(B48,DATA_KPI_PRE!$D:$H,5,FALSE),VLOOKUP(B48,DATA_KPI!$D:$H,5,FALSE))</f>
        <v>S31</v>
      </c>
    </row>
    <row r="49" spans="1:3" x14ac:dyDescent="0.3">
      <c r="A49" s="2" t="s">
        <v>55</v>
      </c>
      <c r="B49" s="1" t="s">
        <v>44</v>
      </c>
      <c r="C49" s="1" t="str">
        <f>IF(IFERROR(VLOOKUP(B49,DATA_KPI!$D:$H,5,FALSE),"")="",VLOOKUP(B49,DATA_KPI_PRE!$D:$H,5,FALSE),VLOOKUP(B49,DATA_KPI!$D:$H,5,FALSE))</f>
        <v>S06</v>
      </c>
    </row>
    <row r="50" spans="1:3" x14ac:dyDescent="0.3">
      <c r="A50" s="2" t="s">
        <v>55</v>
      </c>
      <c r="B50" s="1" t="s">
        <v>15</v>
      </c>
      <c r="C50" s="1" t="str">
        <f>IF(IFERROR(VLOOKUP(B50,DATA_KPI!$D:$H,5,FALSE),"")="",VLOOKUP(B50,DATA_KPI_PRE!$D:$H,5,FALSE),VLOOKUP(B50,DATA_KPI!$D:$H,5,FALSE))</f>
        <v>S72</v>
      </c>
    </row>
    <row r="51" spans="1:3" x14ac:dyDescent="0.3">
      <c r="A51" s="2" t="s">
        <v>55</v>
      </c>
      <c r="B51" s="1" t="s">
        <v>51</v>
      </c>
      <c r="C51" s="1" t="str">
        <f>IF(IFERROR(VLOOKUP(B51,DATA_KPI!$D:$H,5,FALSE),"")="",VLOOKUP(B51,DATA_KPI_PRE!$D:$H,5,FALSE),VLOOKUP(B51,DATA_KPI!$D:$H,5,FALSE))</f>
        <v>S86</v>
      </c>
    </row>
    <row r="52" spans="1:3" x14ac:dyDescent="0.3">
      <c r="A52" s="2" t="s">
        <v>55</v>
      </c>
      <c r="B52" s="1" t="s">
        <v>16</v>
      </c>
      <c r="C52" s="1" t="str">
        <f>IF(IFERROR(VLOOKUP(B52,DATA_KPI!$D:$H,5,FALSE),"")="",VLOOKUP(B52,DATA_KPI_PRE!$D:$H,5,FALSE),VLOOKUP(B52,DATA_KPI!$D:$H,5,FALSE))</f>
        <v>S67</v>
      </c>
    </row>
    <row r="53" spans="1:3" x14ac:dyDescent="0.3">
      <c r="A53" s="2" t="s">
        <v>55</v>
      </c>
      <c r="B53" s="1" t="s">
        <v>17</v>
      </c>
      <c r="C53" s="1" t="str">
        <f>IF(IFERROR(VLOOKUP(B53,DATA_KPI!$D:$H,5,FALSE),"")="",VLOOKUP(B53,DATA_KPI_PRE!$D:$H,5,FALSE),VLOOKUP(B53,DATA_KPI!$D:$H,5,FALSE))</f>
        <v>S39</v>
      </c>
    </row>
    <row r="54" spans="1:3" x14ac:dyDescent="0.3">
      <c r="A54" s="2" t="s">
        <v>55</v>
      </c>
      <c r="B54" s="1" t="s">
        <v>18</v>
      </c>
      <c r="C54" s="1" t="str">
        <f>IF(IFERROR(VLOOKUP(B54,DATA_KPI!$D:$H,5,FALSE),"")="",VLOOKUP(B54,DATA_KPI_PRE!$D:$H,5,FALSE),VLOOKUP(B54,DATA_KPI!$D:$H,5,FALSE))</f>
        <v>S27</v>
      </c>
    </row>
    <row r="55" spans="1:3" x14ac:dyDescent="0.3">
      <c r="A55" s="2" t="s">
        <v>55</v>
      </c>
      <c r="B55" s="1" t="s">
        <v>19</v>
      </c>
      <c r="C55" s="1" t="str">
        <f>IF(IFERROR(VLOOKUP(B55,DATA_KPI!$D:$H,5,FALSE),"")="",VLOOKUP(B55,DATA_KPI_PRE!$D:$H,5,FALSE),VLOOKUP(B55,DATA_KPI!$D:$H,5,FALSE))</f>
        <v>S19</v>
      </c>
    </row>
    <row r="56" spans="1:3" x14ac:dyDescent="0.3">
      <c r="A56" s="2" t="s">
        <v>55</v>
      </c>
      <c r="B56" s="1" t="s">
        <v>20</v>
      </c>
      <c r="C56" s="1" t="str">
        <f>IF(IFERROR(VLOOKUP(B56,DATA_KPI!$D:$H,5,FALSE),"")="",VLOOKUP(B56,DATA_KPI_PRE!$D:$H,5,FALSE),VLOOKUP(B56,DATA_KPI!$D:$H,5,FALSE))</f>
        <v>S10</v>
      </c>
    </row>
    <row r="57" spans="1:3" x14ac:dyDescent="0.3">
      <c r="A57" s="2" t="s">
        <v>55</v>
      </c>
      <c r="B57" s="1" t="s">
        <v>21</v>
      </c>
      <c r="C57" s="1" t="str">
        <f>IF(IFERROR(VLOOKUP(B57,DATA_KPI!$D:$H,5,FALSE),"")="",VLOOKUP(B57,DATA_KPI_PRE!$D:$H,5,FALSE),VLOOKUP(B57,DATA_KPI!$D:$H,5,FALSE))</f>
        <v>S14</v>
      </c>
    </row>
    <row r="58" spans="1:3" x14ac:dyDescent="0.3">
      <c r="A58" s="2" t="s">
        <v>55</v>
      </c>
      <c r="B58" s="1" t="s">
        <v>22</v>
      </c>
      <c r="C58" s="1" t="str">
        <f>IF(IFERROR(VLOOKUP(B58,DATA_KPI!$D:$H,5,FALSE),"")="",VLOOKUP(B58,DATA_KPI_PRE!$D:$H,5,FALSE),VLOOKUP(B58,DATA_KPI!$D:$H,5,FALSE))</f>
        <v>S21</v>
      </c>
    </row>
    <row r="59" spans="1:3" x14ac:dyDescent="0.3">
      <c r="A59" s="2" t="s">
        <v>55</v>
      </c>
      <c r="B59" s="1" t="s">
        <v>49</v>
      </c>
      <c r="C59" s="1" t="str">
        <f>IF(IFERROR(VLOOKUP(B59,DATA_KPI!$D:$H,5,FALSE),"")="",VLOOKUP(B59,DATA_KPI_PRE!$D:$H,5,FALSE),VLOOKUP(B59,DATA_KPI!$D:$H,5,FALSE))</f>
        <v>S20</v>
      </c>
    </row>
    <row r="60" spans="1:3" x14ac:dyDescent="0.3">
      <c r="A60" s="2" t="s">
        <v>55</v>
      </c>
      <c r="B60" s="1" t="s">
        <v>24</v>
      </c>
      <c r="C60" s="1" t="str">
        <f>IF(IFERROR(VLOOKUP(B60,DATA_KPI!$D:$H,5,FALSE),"")="",VLOOKUP(B60,DATA_KPI_PRE!$D:$H,5,FALSE),VLOOKUP(B60,DATA_KPI!$D:$H,5,FALSE))</f>
        <v>S89</v>
      </c>
    </row>
    <row r="61" spans="1:3" x14ac:dyDescent="0.3">
      <c r="A61" s="2" t="s">
        <v>55</v>
      </c>
      <c r="B61" s="1" t="s">
        <v>25</v>
      </c>
      <c r="C61" s="1" t="str">
        <f>IF(IFERROR(VLOOKUP(B61,DATA_KPI!$D:$H,5,FALSE),"")="",VLOOKUP(B61,DATA_KPI_PRE!$D:$H,5,FALSE),VLOOKUP(B61,DATA_KPI!$D:$H,5,FALSE))</f>
        <v>S91</v>
      </c>
    </row>
    <row r="62" spans="1:3" x14ac:dyDescent="0.3">
      <c r="A62" s="2" t="s">
        <v>55</v>
      </c>
      <c r="B62" s="1" t="s">
        <v>43</v>
      </c>
      <c r="C62" s="1" t="str">
        <f>IF(IFERROR(VLOOKUP(B62,DATA_KPI!$D:$H,5,FALSE),"")="",VLOOKUP(B62,DATA_KPI_PRE!$D:$H,5,FALSE),VLOOKUP(B62,DATA_KPI!$D:$H,5,FALSE))</f>
        <v>V11</v>
      </c>
    </row>
    <row r="63" spans="1:3" x14ac:dyDescent="0.3">
      <c r="A63" s="2" t="s">
        <v>55</v>
      </c>
      <c r="B63" s="1" t="s">
        <v>50</v>
      </c>
      <c r="C63" s="1" t="str">
        <f>IF(IFERROR(VLOOKUP(B63,DATA_KPI!$D:$H,5,FALSE),"")="",VLOOKUP(B63,DATA_KPI_PRE!$D:$H,5,FALSE),VLOOKUP(B63,DATA_KPI!$D:$H,5,FALSE))</f>
        <v>V05</v>
      </c>
    </row>
    <row r="64" spans="1:3" x14ac:dyDescent="0.3">
      <c r="A64" s="2" t="s">
        <v>55</v>
      </c>
      <c r="B64" s="1" t="s">
        <v>41</v>
      </c>
      <c r="C64" s="1" t="str">
        <f>IF(IFERROR(VLOOKUP(B64,DATA_KPI!$D:$H,5,FALSE),"")="",VLOOKUP(B64,DATA_KPI_PRE!$D:$H,5,FALSE),VLOOKUP(B64,DATA_KPI!$D:$H,5,FALSE))</f>
        <v>V13</v>
      </c>
    </row>
    <row r="65" spans="1:3" x14ac:dyDescent="0.3">
      <c r="A65" s="2" t="s">
        <v>55</v>
      </c>
      <c r="B65" s="1" t="s">
        <v>40</v>
      </c>
      <c r="C65" s="1" t="str">
        <f>IF(IFERROR(VLOOKUP(B65,DATA_KPI!$D:$H,5,FALSE),"")="",VLOOKUP(B65,DATA_KPI_PRE!$D:$H,5,FALSE),VLOOKUP(B65,DATA_KPI!$D:$H,5,FALSE))</f>
        <v>V06</v>
      </c>
    </row>
    <row r="66" spans="1:3" x14ac:dyDescent="0.3">
      <c r="A66" s="2" t="s">
        <v>55</v>
      </c>
      <c r="B66" s="1" t="s">
        <v>42</v>
      </c>
      <c r="C66" s="1" t="str">
        <f>IF(IFERROR(VLOOKUP(B66,DATA_KPI!$D:$H,5,FALSE),"")="",VLOOKUP(B66,DATA_KPI_PRE!$D:$H,5,FALSE),VLOOKUP(B66,DATA_KPI!$D:$H,5,FALSE))</f>
        <v>V02</v>
      </c>
    </row>
    <row r="67" spans="1:3" x14ac:dyDescent="0.3">
      <c r="A67" s="2" t="s">
        <v>55</v>
      </c>
      <c r="B67" s="1" t="s">
        <v>37</v>
      </c>
      <c r="C67" s="1" t="str">
        <f>IF(IFERROR(VLOOKUP(B67,DATA_KPI!$D:$H,5,FALSE),"")="",VLOOKUP(B67,DATA_KPI_PRE!$D:$H,5,FALSE),VLOOKUP(B67,DATA_KPI!$D:$H,5,FALSE))</f>
        <v>V24</v>
      </c>
    </row>
    <row r="68" spans="1:3" x14ac:dyDescent="0.3">
      <c r="A68" s="2" t="s">
        <v>55</v>
      </c>
      <c r="B68" s="1" t="s">
        <v>46</v>
      </c>
      <c r="C68" s="1" t="str">
        <f>IF(IFERROR(VLOOKUP(B68,DATA_KPI!$D:$H,5,FALSE),"")="",VLOOKUP(B68,DATA_KPI_PRE!$D:$H,5,FALSE),VLOOKUP(B68,DATA_KPI!$D:$H,5,FALSE))</f>
        <v>V01</v>
      </c>
    </row>
    <row r="69" spans="1:3" x14ac:dyDescent="0.3">
      <c r="A69" s="2" t="s">
        <v>55</v>
      </c>
      <c r="B69" s="1" t="s">
        <v>45</v>
      </c>
      <c r="C69" s="1" t="str">
        <f>IF(IFERROR(VLOOKUP(B69,DATA_KPI!$D:$H,5,FALSE),"")="",VLOOKUP(B69,DATA_KPI_PRE!$D:$H,5,FALSE),VLOOKUP(B69,DATA_KPI!$D:$H,5,FALSE))</f>
        <v>V07</v>
      </c>
    </row>
    <row r="70" spans="1:3" x14ac:dyDescent="0.3">
      <c r="A70" s="2" t="s">
        <v>55</v>
      </c>
      <c r="B70" s="1" t="s">
        <v>47</v>
      </c>
      <c r="C70" s="1" t="str">
        <f>IF(IFERROR(VLOOKUP(B70,DATA_KPI!$D:$H,5,FALSE),"")="",VLOOKUP(B70,DATA_KPI_PRE!$D:$H,5,FALSE),VLOOKUP(B70,DATA_KPI!$D:$H,5,FALSE))</f>
        <v>V12</v>
      </c>
    </row>
    <row r="71" spans="1:3" x14ac:dyDescent="0.3">
      <c r="A71" s="2" t="s">
        <v>55</v>
      </c>
      <c r="B71" s="1" t="s">
        <v>39</v>
      </c>
      <c r="C71" s="1" t="str">
        <f>IF(IFERROR(VLOOKUP(B71,DATA_KPI!$D:$H,5,FALSE),"")="",VLOOKUP(B71,DATA_KPI_PRE!$D:$H,5,FALSE),VLOOKUP(B71,DATA_KPI!$D:$H,5,FALSE))</f>
        <v>V10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CAC16-F6E0-4123-8607-2A702AB50DBB}">
  <sheetPr codeName="Hoja4"/>
  <dimension ref="A1:H1177"/>
  <sheetViews>
    <sheetView topLeftCell="A905" workbookViewId="0">
      <selection activeCell="J920" sqref="J920"/>
    </sheetView>
  </sheetViews>
  <sheetFormatPr baseColWidth="10" defaultRowHeight="14.4" x14ac:dyDescent="0.3"/>
  <cols>
    <col min="1" max="1" width="42.33203125" bestFit="1" customWidth="1"/>
    <col min="2" max="2" width="18.33203125" bestFit="1" customWidth="1"/>
    <col min="3" max="3" width="7.109375" bestFit="1" customWidth="1"/>
    <col min="4" max="4" width="23.33203125" bestFit="1" customWidth="1"/>
    <col min="5" max="5" width="10.88671875" bestFit="1" customWidth="1"/>
    <col min="6" max="6" width="12" bestFit="1" customWidth="1"/>
    <col min="7" max="7" width="12.5546875" bestFit="1" customWidth="1"/>
    <col min="8" max="8" width="18.33203125" bestFit="1" customWidth="1"/>
    <col min="9" max="9" width="17.21875" bestFit="1" customWidth="1"/>
    <col min="10" max="10" width="30.77734375" bestFit="1" customWidth="1"/>
    <col min="11" max="11" width="15.21875" bestFit="1" customWidth="1"/>
    <col min="12" max="12" width="6.77734375" bestFit="1" customWidth="1"/>
    <col min="13" max="13" width="22.21875" bestFit="1" customWidth="1"/>
    <col min="14" max="14" width="8.77734375" bestFit="1" customWidth="1"/>
    <col min="15" max="15" width="11.77734375" bestFit="1" customWidth="1"/>
    <col min="16" max="16" width="12.5546875" customWidth="1"/>
    <col min="17" max="17" width="7.21875" bestFit="1" customWidth="1"/>
  </cols>
  <sheetData>
    <row r="1" spans="1:8" x14ac:dyDescent="0.3">
      <c r="A1" t="s">
        <v>31</v>
      </c>
      <c r="B1" t="s">
        <v>65</v>
      </c>
      <c r="C1" t="s">
        <v>32</v>
      </c>
      <c r="D1" t="s">
        <v>33</v>
      </c>
      <c r="E1" t="s">
        <v>34</v>
      </c>
      <c r="F1" t="s">
        <v>35</v>
      </c>
      <c r="G1" t="s">
        <v>29</v>
      </c>
      <c r="H1" t="s">
        <v>66</v>
      </c>
    </row>
    <row r="2" spans="1:8" x14ac:dyDescent="0.3">
      <c r="A2" t="s">
        <v>135</v>
      </c>
      <c r="B2" t="s">
        <v>64</v>
      </c>
      <c r="C2">
        <v>2025</v>
      </c>
      <c r="D2" t="s">
        <v>64</v>
      </c>
      <c r="E2" t="s">
        <v>53</v>
      </c>
      <c r="F2">
        <v>11045.854881889763</v>
      </c>
      <c r="G2" t="s">
        <v>36</v>
      </c>
      <c r="H2" t="s">
        <v>64</v>
      </c>
    </row>
    <row r="3" spans="1:8" x14ac:dyDescent="0.3">
      <c r="A3" t="s">
        <v>136</v>
      </c>
      <c r="B3" t="s">
        <v>64</v>
      </c>
      <c r="C3">
        <v>2025</v>
      </c>
      <c r="D3" t="s">
        <v>64</v>
      </c>
      <c r="E3" t="s">
        <v>53</v>
      </c>
      <c r="F3">
        <v>127</v>
      </c>
      <c r="G3" t="s">
        <v>54</v>
      </c>
      <c r="H3" t="s">
        <v>64</v>
      </c>
    </row>
    <row r="4" spans="1:8" x14ac:dyDescent="0.3">
      <c r="A4" t="s">
        <v>137</v>
      </c>
      <c r="B4" t="s">
        <v>64</v>
      </c>
      <c r="C4">
        <v>2025</v>
      </c>
      <c r="D4" t="s">
        <v>64</v>
      </c>
      <c r="E4" t="s">
        <v>53</v>
      </c>
      <c r="F4">
        <v>1402823.57</v>
      </c>
      <c r="G4" t="s">
        <v>36</v>
      </c>
      <c r="H4" t="s">
        <v>64</v>
      </c>
    </row>
    <row r="5" spans="1:8" x14ac:dyDescent="0.3">
      <c r="A5" t="s">
        <v>138</v>
      </c>
      <c r="B5" t="s">
        <v>64</v>
      </c>
      <c r="C5">
        <v>2025</v>
      </c>
      <c r="D5" t="s">
        <v>64</v>
      </c>
      <c r="E5" t="s">
        <v>63</v>
      </c>
      <c r="F5">
        <v>14784.427727272729</v>
      </c>
      <c r="G5" t="s">
        <v>36</v>
      </c>
      <c r="H5" t="s">
        <v>64</v>
      </c>
    </row>
    <row r="6" spans="1:8" x14ac:dyDescent="0.3">
      <c r="A6" t="s">
        <v>139</v>
      </c>
      <c r="B6" t="s">
        <v>64</v>
      </c>
      <c r="C6">
        <v>2025</v>
      </c>
      <c r="D6" t="s">
        <v>64</v>
      </c>
      <c r="E6" t="s">
        <v>63</v>
      </c>
      <c r="F6">
        <v>44</v>
      </c>
      <c r="G6" t="s">
        <v>54</v>
      </c>
      <c r="H6" t="s">
        <v>64</v>
      </c>
    </row>
    <row r="7" spans="1:8" x14ac:dyDescent="0.3">
      <c r="A7" t="s">
        <v>140</v>
      </c>
      <c r="B7" t="s">
        <v>64</v>
      </c>
      <c r="C7">
        <v>2025</v>
      </c>
      <c r="D7" t="s">
        <v>64</v>
      </c>
      <c r="E7" t="s">
        <v>63</v>
      </c>
      <c r="F7">
        <v>650514.82000000007</v>
      </c>
      <c r="G7" t="s">
        <v>36</v>
      </c>
      <c r="H7" t="s">
        <v>64</v>
      </c>
    </row>
    <row r="8" spans="1:8" x14ac:dyDescent="0.3">
      <c r="A8" t="s">
        <v>141</v>
      </c>
      <c r="B8" t="s">
        <v>64</v>
      </c>
      <c r="C8">
        <v>2025</v>
      </c>
      <c r="D8" t="s">
        <v>64</v>
      </c>
      <c r="E8" t="s">
        <v>3</v>
      </c>
      <c r="F8">
        <v>14822.128301075267</v>
      </c>
      <c r="G8" t="s">
        <v>36</v>
      </c>
      <c r="H8" t="s">
        <v>64</v>
      </c>
    </row>
    <row r="9" spans="1:8" x14ac:dyDescent="0.3">
      <c r="A9" t="s">
        <v>142</v>
      </c>
      <c r="B9" t="s">
        <v>64</v>
      </c>
      <c r="C9">
        <v>2025</v>
      </c>
      <c r="D9" t="s">
        <v>64</v>
      </c>
      <c r="E9" t="s">
        <v>3</v>
      </c>
      <c r="F9">
        <v>465</v>
      </c>
      <c r="G9" t="s">
        <v>54</v>
      </c>
      <c r="H9" t="s">
        <v>64</v>
      </c>
    </row>
    <row r="10" spans="1:8" x14ac:dyDescent="0.3">
      <c r="A10" t="s">
        <v>143</v>
      </c>
      <c r="B10" t="s">
        <v>64</v>
      </c>
      <c r="C10">
        <v>2025</v>
      </c>
      <c r="D10" t="s">
        <v>64</v>
      </c>
      <c r="E10" t="s">
        <v>3</v>
      </c>
      <c r="F10">
        <v>6892289.6599999992</v>
      </c>
      <c r="G10" t="s">
        <v>36</v>
      </c>
      <c r="H10" t="s">
        <v>64</v>
      </c>
    </row>
    <row r="11" spans="1:8" x14ac:dyDescent="0.3">
      <c r="A11" t="s">
        <v>144</v>
      </c>
      <c r="B11" t="s">
        <v>64</v>
      </c>
      <c r="C11">
        <v>2025</v>
      </c>
      <c r="D11" t="s">
        <v>64</v>
      </c>
      <c r="E11" t="s">
        <v>2</v>
      </c>
      <c r="F11">
        <v>8509.6844194497335</v>
      </c>
      <c r="G11" t="s">
        <v>36</v>
      </c>
      <c r="H11" t="s">
        <v>64</v>
      </c>
    </row>
    <row r="12" spans="1:8" x14ac:dyDescent="0.3">
      <c r="A12" t="s">
        <v>145</v>
      </c>
      <c r="B12" t="s">
        <v>64</v>
      </c>
      <c r="C12">
        <v>2025</v>
      </c>
      <c r="D12" t="s">
        <v>64</v>
      </c>
      <c r="E12" t="s">
        <v>2</v>
      </c>
      <c r="F12">
        <v>5779</v>
      </c>
      <c r="G12" t="s">
        <v>54</v>
      </c>
      <c r="H12" t="s">
        <v>64</v>
      </c>
    </row>
    <row r="13" spans="1:8" x14ac:dyDescent="0.3">
      <c r="A13" t="s">
        <v>146</v>
      </c>
      <c r="B13" t="s">
        <v>64</v>
      </c>
      <c r="C13">
        <v>2025</v>
      </c>
      <c r="D13" t="s">
        <v>64</v>
      </c>
      <c r="E13" t="s">
        <v>2</v>
      </c>
      <c r="F13">
        <v>49177466.260000005</v>
      </c>
      <c r="G13" t="s">
        <v>36</v>
      </c>
      <c r="H13" t="s">
        <v>64</v>
      </c>
    </row>
    <row r="14" spans="1:8" x14ac:dyDescent="0.3">
      <c r="A14" t="s">
        <v>147</v>
      </c>
      <c r="B14" t="s">
        <v>64</v>
      </c>
      <c r="C14">
        <v>2025</v>
      </c>
      <c r="D14" t="s">
        <v>64</v>
      </c>
      <c r="E14" t="s">
        <v>1</v>
      </c>
      <c r="F14">
        <v>12905.686717834862</v>
      </c>
      <c r="G14" t="s">
        <v>36</v>
      </c>
      <c r="H14" t="s">
        <v>64</v>
      </c>
    </row>
    <row r="15" spans="1:8" x14ac:dyDescent="0.3">
      <c r="A15" t="s">
        <v>148</v>
      </c>
      <c r="B15" t="s">
        <v>64</v>
      </c>
      <c r="C15">
        <v>2025</v>
      </c>
      <c r="D15" t="s">
        <v>64</v>
      </c>
      <c r="E15" t="s">
        <v>1</v>
      </c>
      <c r="F15">
        <v>26123</v>
      </c>
      <c r="G15" t="s">
        <v>54</v>
      </c>
      <c r="H15" t="s">
        <v>64</v>
      </c>
    </row>
    <row r="16" spans="1:8" x14ac:dyDescent="0.3">
      <c r="A16" t="s">
        <v>149</v>
      </c>
      <c r="B16" t="s">
        <v>64</v>
      </c>
      <c r="C16">
        <v>2025</v>
      </c>
      <c r="D16" t="s">
        <v>64</v>
      </c>
      <c r="E16" t="s">
        <v>1</v>
      </c>
      <c r="F16">
        <v>337135254.13000011</v>
      </c>
      <c r="G16" t="s">
        <v>36</v>
      </c>
      <c r="H16" t="s">
        <v>64</v>
      </c>
    </row>
    <row r="17" spans="1:8" x14ac:dyDescent="0.3">
      <c r="A17" t="s">
        <v>150</v>
      </c>
      <c r="B17" t="s">
        <v>64</v>
      </c>
      <c r="C17">
        <v>2025</v>
      </c>
      <c r="D17" t="s">
        <v>64</v>
      </c>
      <c r="E17" t="s">
        <v>4</v>
      </c>
      <c r="F17">
        <v>11747.894606670005</v>
      </c>
      <c r="G17" t="s">
        <v>36</v>
      </c>
      <c r="H17" t="s">
        <v>64</v>
      </c>
    </row>
    <row r="18" spans="1:8" x14ac:dyDescent="0.3">
      <c r="A18" t="s">
        <v>151</v>
      </c>
      <c r="B18" t="s">
        <v>64</v>
      </c>
      <c r="C18">
        <v>2025</v>
      </c>
      <c r="D18" t="s">
        <v>64</v>
      </c>
      <c r="E18" t="s">
        <v>4</v>
      </c>
      <c r="F18">
        <v>43958</v>
      </c>
      <c r="G18" t="s">
        <v>54</v>
      </c>
      <c r="H18" t="s">
        <v>64</v>
      </c>
    </row>
    <row r="19" spans="1:8" x14ac:dyDescent="0.3">
      <c r="A19" t="s">
        <v>152</v>
      </c>
      <c r="B19" t="s">
        <v>64</v>
      </c>
      <c r="C19">
        <v>2025</v>
      </c>
      <c r="D19" t="s">
        <v>64</v>
      </c>
      <c r="E19" t="s">
        <v>4</v>
      </c>
      <c r="F19">
        <v>516413951.12000006</v>
      </c>
      <c r="G19" t="s">
        <v>36</v>
      </c>
      <c r="H19" t="s">
        <v>64</v>
      </c>
    </row>
    <row r="20" spans="1:8" x14ac:dyDescent="0.3">
      <c r="A20" t="s">
        <v>153</v>
      </c>
      <c r="B20" t="s">
        <v>64</v>
      </c>
      <c r="C20">
        <v>2025</v>
      </c>
      <c r="D20" t="s">
        <v>64</v>
      </c>
      <c r="E20" t="s">
        <v>38</v>
      </c>
      <c r="F20">
        <v>10609.072038528891</v>
      </c>
      <c r="G20" t="s">
        <v>36</v>
      </c>
      <c r="H20" t="s">
        <v>64</v>
      </c>
    </row>
    <row r="21" spans="1:8" x14ac:dyDescent="0.3">
      <c r="A21" t="s">
        <v>154</v>
      </c>
      <c r="B21" t="s">
        <v>64</v>
      </c>
      <c r="C21">
        <v>2025</v>
      </c>
      <c r="D21" t="s">
        <v>64</v>
      </c>
      <c r="E21" t="s">
        <v>38</v>
      </c>
      <c r="F21">
        <v>11420</v>
      </c>
      <c r="G21" t="s">
        <v>54</v>
      </c>
      <c r="H21" t="s">
        <v>64</v>
      </c>
    </row>
    <row r="22" spans="1:8" x14ac:dyDescent="0.3">
      <c r="A22" t="s">
        <v>155</v>
      </c>
      <c r="B22" t="s">
        <v>64</v>
      </c>
      <c r="C22">
        <v>2025</v>
      </c>
      <c r="D22" t="s">
        <v>64</v>
      </c>
      <c r="E22" t="s">
        <v>38</v>
      </c>
      <c r="F22">
        <v>121155602.67999993</v>
      </c>
      <c r="G22" t="s">
        <v>36</v>
      </c>
      <c r="H22" t="s">
        <v>64</v>
      </c>
    </row>
    <row r="23" spans="1:8" x14ac:dyDescent="0.3">
      <c r="A23" t="s">
        <v>156</v>
      </c>
      <c r="B23" t="s">
        <v>0</v>
      </c>
      <c r="C23">
        <v>2025</v>
      </c>
      <c r="D23" t="s">
        <v>0</v>
      </c>
      <c r="E23" t="s">
        <v>53</v>
      </c>
      <c r="F23">
        <v>11045.854881889763</v>
      </c>
      <c r="G23" t="s">
        <v>36</v>
      </c>
      <c r="H23" t="s">
        <v>0</v>
      </c>
    </row>
    <row r="24" spans="1:8" x14ac:dyDescent="0.3">
      <c r="A24" t="s">
        <v>157</v>
      </c>
      <c r="B24" t="s">
        <v>0</v>
      </c>
      <c r="C24">
        <v>2025</v>
      </c>
      <c r="D24" t="s">
        <v>0</v>
      </c>
      <c r="E24" t="s">
        <v>53</v>
      </c>
      <c r="F24">
        <v>127</v>
      </c>
      <c r="G24" t="s">
        <v>54</v>
      </c>
      <c r="H24" t="s">
        <v>0</v>
      </c>
    </row>
    <row r="25" spans="1:8" x14ac:dyDescent="0.3">
      <c r="A25" t="s">
        <v>158</v>
      </c>
      <c r="B25" t="s">
        <v>0</v>
      </c>
      <c r="C25">
        <v>2025</v>
      </c>
      <c r="D25" t="s">
        <v>0</v>
      </c>
      <c r="E25" t="s">
        <v>53</v>
      </c>
      <c r="F25">
        <v>1402823.57</v>
      </c>
      <c r="G25" t="s">
        <v>36</v>
      </c>
      <c r="H25" t="s">
        <v>0</v>
      </c>
    </row>
    <row r="26" spans="1:8" x14ac:dyDescent="0.3">
      <c r="A26" t="s">
        <v>159</v>
      </c>
      <c r="B26" t="s">
        <v>0</v>
      </c>
      <c r="C26">
        <v>2025</v>
      </c>
      <c r="D26" t="s">
        <v>0</v>
      </c>
      <c r="E26" t="s">
        <v>63</v>
      </c>
      <c r="F26">
        <v>14784.427727272727</v>
      </c>
      <c r="G26" t="s">
        <v>36</v>
      </c>
      <c r="H26" t="s">
        <v>0</v>
      </c>
    </row>
    <row r="27" spans="1:8" x14ac:dyDescent="0.3">
      <c r="A27" t="s">
        <v>160</v>
      </c>
      <c r="B27" t="s">
        <v>0</v>
      </c>
      <c r="C27">
        <v>2025</v>
      </c>
      <c r="D27" t="s">
        <v>0</v>
      </c>
      <c r="E27" t="s">
        <v>63</v>
      </c>
      <c r="F27">
        <v>44</v>
      </c>
      <c r="G27" t="s">
        <v>54</v>
      </c>
      <c r="H27" t="s">
        <v>0</v>
      </c>
    </row>
    <row r="28" spans="1:8" x14ac:dyDescent="0.3">
      <c r="A28" t="s">
        <v>161</v>
      </c>
      <c r="B28" t="s">
        <v>0</v>
      </c>
      <c r="C28">
        <v>2025</v>
      </c>
      <c r="D28" t="s">
        <v>0</v>
      </c>
      <c r="E28" t="s">
        <v>63</v>
      </c>
      <c r="F28">
        <v>650514.81999999995</v>
      </c>
      <c r="G28" t="s">
        <v>36</v>
      </c>
      <c r="H28" t="s">
        <v>0</v>
      </c>
    </row>
    <row r="29" spans="1:8" x14ac:dyDescent="0.3">
      <c r="A29" t="s">
        <v>162</v>
      </c>
      <c r="B29" t="s">
        <v>0</v>
      </c>
      <c r="C29">
        <v>2025</v>
      </c>
      <c r="D29" t="s">
        <v>0</v>
      </c>
      <c r="E29" t="s">
        <v>3</v>
      </c>
      <c r="F29">
        <v>14831.204827586207</v>
      </c>
      <c r="G29" t="s">
        <v>36</v>
      </c>
      <c r="H29" t="s">
        <v>0</v>
      </c>
    </row>
    <row r="30" spans="1:8" x14ac:dyDescent="0.3">
      <c r="A30" t="s">
        <v>163</v>
      </c>
      <c r="B30" t="s">
        <v>0</v>
      </c>
      <c r="C30">
        <v>2025</v>
      </c>
      <c r="D30" t="s">
        <v>0</v>
      </c>
      <c r="E30" t="s">
        <v>3</v>
      </c>
      <c r="F30">
        <v>464</v>
      </c>
      <c r="G30" t="s">
        <v>54</v>
      </c>
      <c r="H30" t="s">
        <v>0</v>
      </c>
    </row>
    <row r="31" spans="1:8" x14ac:dyDescent="0.3">
      <c r="A31" t="s">
        <v>164</v>
      </c>
      <c r="B31" t="s">
        <v>0</v>
      </c>
      <c r="C31">
        <v>2025</v>
      </c>
      <c r="D31" t="s">
        <v>0</v>
      </c>
      <c r="E31" t="s">
        <v>3</v>
      </c>
      <c r="F31">
        <v>6881679.04</v>
      </c>
      <c r="G31" t="s">
        <v>36</v>
      </c>
      <c r="H31" t="s">
        <v>0</v>
      </c>
    </row>
    <row r="32" spans="1:8" x14ac:dyDescent="0.3">
      <c r="A32" t="s">
        <v>165</v>
      </c>
      <c r="B32" t="s">
        <v>0</v>
      </c>
      <c r="C32">
        <v>2025</v>
      </c>
      <c r="D32" t="s">
        <v>0</v>
      </c>
      <c r="E32" t="s">
        <v>2</v>
      </c>
      <c r="F32">
        <v>8506.3150372552427</v>
      </c>
      <c r="G32" t="s">
        <v>36</v>
      </c>
      <c r="H32" t="s">
        <v>0</v>
      </c>
    </row>
    <row r="33" spans="1:8" x14ac:dyDescent="0.3">
      <c r="A33" t="s">
        <v>166</v>
      </c>
      <c r="B33" t="s">
        <v>0</v>
      </c>
      <c r="C33">
        <v>2025</v>
      </c>
      <c r="D33" t="s">
        <v>0</v>
      </c>
      <c r="E33" t="s">
        <v>2</v>
      </c>
      <c r="F33">
        <v>5771</v>
      </c>
      <c r="G33" t="s">
        <v>54</v>
      </c>
      <c r="H33" t="s">
        <v>0</v>
      </c>
    </row>
    <row r="34" spans="1:8" x14ac:dyDescent="0.3">
      <c r="A34" t="s">
        <v>167</v>
      </c>
      <c r="B34" t="s">
        <v>0</v>
      </c>
      <c r="C34">
        <v>2025</v>
      </c>
      <c r="D34" t="s">
        <v>0</v>
      </c>
      <c r="E34" t="s">
        <v>2</v>
      </c>
      <c r="F34">
        <v>49089944.080000006</v>
      </c>
      <c r="G34" t="s">
        <v>36</v>
      </c>
      <c r="H34" t="s">
        <v>0</v>
      </c>
    </row>
    <row r="35" spans="1:8" x14ac:dyDescent="0.3">
      <c r="A35" t="s">
        <v>168</v>
      </c>
      <c r="B35" t="s">
        <v>0</v>
      </c>
      <c r="C35">
        <v>2025</v>
      </c>
      <c r="D35" t="s">
        <v>0</v>
      </c>
      <c r="E35" t="s">
        <v>1</v>
      </c>
      <c r="F35">
        <v>13380.916344054422</v>
      </c>
      <c r="G35" t="s">
        <v>36</v>
      </c>
      <c r="H35" t="s">
        <v>0</v>
      </c>
    </row>
    <row r="36" spans="1:8" x14ac:dyDescent="0.3">
      <c r="A36" t="s">
        <v>169</v>
      </c>
      <c r="B36" t="s">
        <v>0</v>
      </c>
      <c r="C36">
        <v>2025</v>
      </c>
      <c r="D36" t="s">
        <v>0</v>
      </c>
      <c r="E36" t="s">
        <v>1</v>
      </c>
      <c r="F36">
        <v>23816</v>
      </c>
      <c r="G36" t="s">
        <v>54</v>
      </c>
      <c r="H36" t="s">
        <v>0</v>
      </c>
    </row>
    <row r="37" spans="1:8" x14ac:dyDescent="0.3">
      <c r="A37" t="s">
        <v>170</v>
      </c>
      <c r="B37" t="s">
        <v>0</v>
      </c>
      <c r="C37">
        <v>2025</v>
      </c>
      <c r="D37" t="s">
        <v>0</v>
      </c>
      <c r="E37" t="s">
        <v>1</v>
      </c>
      <c r="F37">
        <v>318679903.6500001</v>
      </c>
      <c r="G37" t="s">
        <v>36</v>
      </c>
      <c r="H37" t="s">
        <v>0</v>
      </c>
    </row>
    <row r="38" spans="1:8" x14ac:dyDescent="0.3">
      <c r="A38" t="s">
        <v>171</v>
      </c>
      <c r="B38" t="s">
        <v>0</v>
      </c>
      <c r="C38">
        <v>2025</v>
      </c>
      <c r="D38" t="s">
        <v>0</v>
      </c>
      <c r="E38" t="s">
        <v>4</v>
      </c>
      <c r="F38">
        <v>12046.287315970563</v>
      </c>
      <c r="G38" t="s">
        <v>36</v>
      </c>
      <c r="H38" t="s">
        <v>0</v>
      </c>
    </row>
    <row r="39" spans="1:8" x14ac:dyDescent="0.3">
      <c r="A39" t="s">
        <v>172</v>
      </c>
      <c r="B39" t="s">
        <v>0</v>
      </c>
      <c r="C39">
        <v>2025</v>
      </c>
      <c r="D39" t="s">
        <v>0</v>
      </c>
      <c r="E39" t="s">
        <v>4</v>
      </c>
      <c r="F39">
        <v>39817</v>
      </c>
      <c r="G39" t="s">
        <v>54</v>
      </c>
      <c r="H39" t="s">
        <v>0</v>
      </c>
    </row>
    <row r="40" spans="1:8" x14ac:dyDescent="0.3">
      <c r="A40" t="s">
        <v>173</v>
      </c>
      <c r="B40" t="s">
        <v>0</v>
      </c>
      <c r="C40">
        <v>2025</v>
      </c>
      <c r="D40" t="s">
        <v>0</v>
      </c>
      <c r="E40" t="s">
        <v>4</v>
      </c>
      <c r="F40">
        <v>479647022.05999994</v>
      </c>
      <c r="G40" t="s">
        <v>36</v>
      </c>
      <c r="H40" t="s">
        <v>0</v>
      </c>
    </row>
    <row r="41" spans="1:8" x14ac:dyDescent="0.3">
      <c r="A41" t="s">
        <v>174</v>
      </c>
      <c r="B41" t="s">
        <v>0</v>
      </c>
      <c r="C41">
        <v>2025</v>
      </c>
      <c r="D41" t="s">
        <v>0</v>
      </c>
      <c r="E41" t="s">
        <v>38</v>
      </c>
      <c r="F41">
        <v>10728.72922355393</v>
      </c>
      <c r="G41" t="s">
        <v>36</v>
      </c>
      <c r="H41" t="s">
        <v>0</v>
      </c>
    </row>
    <row r="42" spans="1:8" x14ac:dyDescent="0.3">
      <c r="A42" t="s">
        <v>175</v>
      </c>
      <c r="B42" t="s">
        <v>0</v>
      </c>
      <c r="C42">
        <v>2025</v>
      </c>
      <c r="D42" t="s">
        <v>0</v>
      </c>
      <c r="E42" t="s">
        <v>38</v>
      </c>
      <c r="F42">
        <v>9595</v>
      </c>
      <c r="G42" t="s">
        <v>54</v>
      </c>
      <c r="H42" t="s">
        <v>0</v>
      </c>
    </row>
    <row r="43" spans="1:8" x14ac:dyDescent="0.3">
      <c r="A43" t="s">
        <v>176</v>
      </c>
      <c r="B43" t="s">
        <v>0</v>
      </c>
      <c r="C43">
        <v>2025</v>
      </c>
      <c r="D43" t="s">
        <v>0</v>
      </c>
      <c r="E43" t="s">
        <v>38</v>
      </c>
      <c r="F43">
        <v>102942156.89999996</v>
      </c>
      <c r="G43" t="s">
        <v>36</v>
      </c>
      <c r="H43" t="s">
        <v>0</v>
      </c>
    </row>
    <row r="44" spans="1:8" x14ac:dyDescent="0.3">
      <c r="A44" t="s">
        <v>177</v>
      </c>
      <c r="B44" t="s">
        <v>67</v>
      </c>
      <c r="C44">
        <v>2025</v>
      </c>
      <c r="D44" t="s">
        <v>12</v>
      </c>
      <c r="E44" t="s">
        <v>53</v>
      </c>
      <c r="F44">
        <v>10438.99772727273</v>
      </c>
      <c r="G44" t="s">
        <v>30</v>
      </c>
      <c r="H44" t="s">
        <v>67</v>
      </c>
    </row>
    <row r="45" spans="1:8" x14ac:dyDescent="0.3">
      <c r="A45" t="s">
        <v>178</v>
      </c>
      <c r="B45" t="s">
        <v>67</v>
      </c>
      <c r="C45">
        <v>2025</v>
      </c>
      <c r="D45" t="s">
        <v>12</v>
      </c>
      <c r="E45" t="s">
        <v>53</v>
      </c>
      <c r="F45">
        <v>66</v>
      </c>
      <c r="G45" t="s">
        <v>54</v>
      </c>
      <c r="H45" t="s">
        <v>67</v>
      </c>
    </row>
    <row r="46" spans="1:8" x14ac:dyDescent="0.3">
      <c r="A46" t="s">
        <v>179</v>
      </c>
      <c r="B46" t="s">
        <v>67</v>
      </c>
      <c r="C46">
        <v>2025</v>
      </c>
      <c r="D46" t="s">
        <v>12</v>
      </c>
      <c r="E46" t="s">
        <v>53</v>
      </c>
      <c r="F46">
        <v>688973.85000000021</v>
      </c>
      <c r="G46" t="s">
        <v>36</v>
      </c>
      <c r="H46" t="s">
        <v>67</v>
      </c>
    </row>
    <row r="47" spans="1:8" x14ac:dyDescent="0.3">
      <c r="A47" t="s">
        <v>180</v>
      </c>
      <c r="B47" t="s">
        <v>67</v>
      </c>
      <c r="C47">
        <v>2025</v>
      </c>
      <c r="D47" t="s">
        <v>12</v>
      </c>
      <c r="E47" t="s">
        <v>63</v>
      </c>
      <c r="F47">
        <v>21158.98</v>
      </c>
      <c r="G47" t="s">
        <v>30</v>
      </c>
      <c r="H47" t="s">
        <v>67</v>
      </c>
    </row>
    <row r="48" spans="1:8" x14ac:dyDescent="0.3">
      <c r="A48" t="s">
        <v>181</v>
      </c>
      <c r="B48" t="s">
        <v>67</v>
      </c>
      <c r="C48">
        <v>2025</v>
      </c>
      <c r="D48" t="s">
        <v>12</v>
      </c>
      <c r="E48" t="s">
        <v>63</v>
      </c>
      <c r="F48">
        <v>3</v>
      </c>
      <c r="G48" t="s">
        <v>54</v>
      </c>
      <c r="H48" t="s">
        <v>67</v>
      </c>
    </row>
    <row r="49" spans="1:8" x14ac:dyDescent="0.3">
      <c r="A49" t="s">
        <v>182</v>
      </c>
      <c r="B49" t="s">
        <v>67</v>
      </c>
      <c r="C49">
        <v>2025</v>
      </c>
      <c r="D49" t="s">
        <v>12</v>
      </c>
      <c r="E49" t="s">
        <v>63</v>
      </c>
      <c r="F49">
        <v>63476.94</v>
      </c>
      <c r="G49" t="s">
        <v>36</v>
      </c>
      <c r="H49" t="s">
        <v>67</v>
      </c>
    </row>
    <row r="50" spans="1:8" x14ac:dyDescent="0.3">
      <c r="A50" t="s">
        <v>183</v>
      </c>
      <c r="B50" t="s">
        <v>67</v>
      </c>
      <c r="C50">
        <v>2025</v>
      </c>
      <c r="D50" t="s">
        <v>12</v>
      </c>
      <c r="E50" t="s">
        <v>3</v>
      </c>
      <c r="F50">
        <v>16923.304999999997</v>
      </c>
      <c r="G50" t="s">
        <v>30</v>
      </c>
      <c r="H50" t="s">
        <v>67</v>
      </c>
    </row>
    <row r="51" spans="1:8" x14ac:dyDescent="0.3">
      <c r="A51" t="s">
        <v>184</v>
      </c>
      <c r="B51" t="s">
        <v>67</v>
      </c>
      <c r="C51">
        <v>2025</v>
      </c>
      <c r="D51" t="s">
        <v>12</v>
      </c>
      <c r="E51" t="s">
        <v>3</v>
      </c>
      <c r="F51">
        <v>52</v>
      </c>
      <c r="G51" t="s">
        <v>54</v>
      </c>
      <c r="H51" t="s">
        <v>67</v>
      </c>
    </row>
    <row r="52" spans="1:8" x14ac:dyDescent="0.3">
      <c r="A52" t="s">
        <v>185</v>
      </c>
      <c r="B52" t="s">
        <v>67</v>
      </c>
      <c r="C52">
        <v>2025</v>
      </c>
      <c r="D52" t="s">
        <v>12</v>
      </c>
      <c r="E52" t="s">
        <v>3</v>
      </c>
      <c r="F52">
        <v>880011.85999999987</v>
      </c>
      <c r="G52" t="s">
        <v>36</v>
      </c>
      <c r="H52" t="s">
        <v>67</v>
      </c>
    </row>
    <row r="53" spans="1:8" x14ac:dyDescent="0.3">
      <c r="A53" t="s">
        <v>186</v>
      </c>
      <c r="B53" t="s">
        <v>67</v>
      </c>
      <c r="C53">
        <v>2025</v>
      </c>
      <c r="D53" t="s">
        <v>12</v>
      </c>
      <c r="E53" t="s">
        <v>2</v>
      </c>
      <c r="F53">
        <v>6946.5689682539669</v>
      </c>
      <c r="G53" t="s">
        <v>30</v>
      </c>
      <c r="H53" t="s">
        <v>67</v>
      </c>
    </row>
    <row r="54" spans="1:8" x14ac:dyDescent="0.3">
      <c r="A54" t="s">
        <v>187</v>
      </c>
      <c r="B54" t="s">
        <v>67</v>
      </c>
      <c r="C54">
        <v>2025</v>
      </c>
      <c r="D54" t="s">
        <v>12</v>
      </c>
      <c r="E54" t="s">
        <v>2</v>
      </c>
      <c r="F54">
        <v>126</v>
      </c>
      <c r="G54" t="s">
        <v>54</v>
      </c>
      <c r="H54" t="s">
        <v>67</v>
      </c>
    </row>
    <row r="55" spans="1:8" x14ac:dyDescent="0.3">
      <c r="A55" t="s">
        <v>188</v>
      </c>
      <c r="B55" t="s">
        <v>67</v>
      </c>
      <c r="C55">
        <v>2025</v>
      </c>
      <c r="D55" t="s">
        <v>12</v>
      </c>
      <c r="E55" t="s">
        <v>2</v>
      </c>
      <c r="F55">
        <v>875267.68999999983</v>
      </c>
      <c r="G55" t="s">
        <v>36</v>
      </c>
      <c r="H55" t="s">
        <v>67</v>
      </c>
    </row>
    <row r="56" spans="1:8" x14ac:dyDescent="0.3">
      <c r="A56" t="s">
        <v>189</v>
      </c>
      <c r="B56" t="s">
        <v>67</v>
      </c>
      <c r="C56">
        <v>2025</v>
      </c>
      <c r="D56" t="s">
        <v>12</v>
      </c>
      <c r="E56" t="s">
        <v>1</v>
      </c>
      <c r="F56">
        <v>12652.404843049319</v>
      </c>
      <c r="G56" t="s">
        <v>30</v>
      </c>
      <c r="H56" t="s">
        <v>67</v>
      </c>
    </row>
    <row r="57" spans="1:8" x14ac:dyDescent="0.3">
      <c r="A57" t="s">
        <v>190</v>
      </c>
      <c r="B57" t="s">
        <v>67</v>
      </c>
      <c r="C57">
        <v>2025</v>
      </c>
      <c r="D57" t="s">
        <v>12</v>
      </c>
      <c r="E57" t="s">
        <v>1</v>
      </c>
      <c r="F57">
        <v>446</v>
      </c>
      <c r="G57" t="s">
        <v>54</v>
      </c>
      <c r="H57" t="s">
        <v>67</v>
      </c>
    </row>
    <row r="58" spans="1:8" x14ac:dyDescent="0.3">
      <c r="A58" t="s">
        <v>191</v>
      </c>
      <c r="B58" t="s">
        <v>67</v>
      </c>
      <c r="C58">
        <v>2025</v>
      </c>
      <c r="D58" t="s">
        <v>12</v>
      </c>
      <c r="E58" t="s">
        <v>1</v>
      </c>
      <c r="F58">
        <v>5642972.5599999959</v>
      </c>
      <c r="G58" t="s">
        <v>36</v>
      </c>
      <c r="H58" t="s">
        <v>67</v>
      </c>
    </row>
    <row r="59" spans="1:8" x14ac:dyDescent="0.3">
      <c r="A59" t="s">
        <v>192</v>
      </c>
      <c r="B59" t="s">
        <v>67</v>
      </c>
      <c r="C59">
        <v>2025</v>
      </c>
      <c r="D59" t="s">
        <v>12</v>
      </c>
      <c r="E59" t="s">
        <v>4</v>
      </c>
      <c r="F59">
        <v>10966.354805429857</v>
      </c>
      <c r="G59" t="s">
        <v>30</v>
      </c>
      <c r="H59" t="s">
        <v>67</v>
      </c>
    </row>
    <row r="60" spans="1:8" x14ac:dyDescent="0.3">
      <c r="A60" t="s">
        <v>193</v>
      </c>
      <c r="B60" t="s">
        <v>67</v>
      </c>
      <c r="C60">
        <v>2025</v>
      </c>
      <c r="D60" t="s">
        <v>12</v>
      </c>
      <c r="E60" t="s">
        <v>4</v>
      </c>
      <c r="F60">
        <v>1105</v>
      </c>
      <c r="G60" t="s">
        <v>54</v>
      </c>
      <c r="H60" t="s">
        <v>67</v>
      </c>
    </row>
    <row r="61" spans="1:8" x14ac:dyDescent="0.3">
      <c r="A61" t="s">
        <v>194</v>
      </c>
      <c r="B61" t="s">
        <v>67</v>
      </c>
      <c r="C61">
        <v>2025</v>
      </c>
      <c r="D61" t="s">
        <v>12</v>
      </c>
      <c r="E61" t="s">
        <v>4</v>
      </c>
      <c r="F61">
        <v>12117822.059999993</v>
      </c>
      <c r="G61" t="s">
        <v>36</v>
      </c>
      <c r="H61" t="s">
        <v>67</v>
      </c>
    </row>
    <row r="62" spans="1:8" x14ac:dyDescent="0.3">
      <c r="A62" t="s">
        <v>195</v>
      </c>
      <c r="B62" t="s">
        <v>67</v>
      </c>
      <c r="C62">
        <v>2025</v>
      </c>
      <c r="D62" t="s">
        <v>12</v>
      </c>
      <c r="E62" t="s">
        <v>38</v>
      </c>
      <c r="F62">
        <v>9628.929999999993</v>
      </c>
      <c r="G62" t="s">
        <v>30</v>
      </c>
      <c r="H62" t="s">
        <v>67</v>
      </c>
    </row>
    <row r="63" spans="1:8" x14ac:dyDescent="0.3">
      <c r="A63" t="s">
        <v>196</v>
      </c>
      <c r="B63" t="s">
        <v>67</v>
      </c>
      <c r="C63">
        <v>2025</v>
      </c>
      <c r="D63" t="s">
        <v>12</v>
      </c>
      <c r="E63" t="s">
        <v>38</v>
      </c>
      <c r="F63">
        <v>412</v>
      </c>
      <c r="G63" t="s">
        <v>54</v>
      </c>
      <c r="H63" t="s">
        <v>67</v>
      </c>
    </row>
    <row r="64" spans="1:8" x14ac:dyDescent="0.3">
      <c r="A64" t="s">
        <v>197</v>
      </c>
      <c r="B64" t="s">
        <v>67</v>
      </c>
      <c r="C64">
        <v>2025</v>
      </c>
      <c r="D64" t="s">
        <v>12</v>
      </c>
      <c r="E64" t="s">
        <v>38</v>
      </c>
      <c r="F64">
        <v>3967119.1599999974</v>
      </c>
      <c r="G64" t="s">
        <v>36</v>
      </c>
      <c r="H64" t="s">
        <v>67</v>
      </c>
    </row>
    <row r="65" spans="1:8" x14ac:dyDescent="0.3">
      <c r="A65" t="s">
        <v>2113</v>
      </c>
      <c r="B65" t="s">
        <v>68</v>
      </c>
      <c r="C65">
        <v>2025</v>
      </c>
      <c r="D65" t="s">
        <v>10</v>
      </c>
      <c r="E65" t="s">
        <v>63</v>
      </c>
      <c r="F65">
        <v>13396.964285714286</v>
      </c>
      <c r="G65" t="s">
        <v>30</v>
      </c>
      <c r="H65" t="s">
        <v>68</v>
      </c>
    </row>
    <row r="66" spans="1:8" x14ac:dyDescent="0.3">
      <c r="A66" t="s">
        <v>2114</v>
      </c>
      <c r="B66" t="s">
        <v>68</v>
      </c>
      <c r="C66">
        <v>2025</v>
      </c>
      <c r="D66" t="s">
        <v>10</v>
      </c>
      <c r="E66" t="s">
        <v>63</v>
      </c>
      <c r="F66">
        <v>7</v>
      </c>
      <c r="G66" t="s">
        <v>54</v>
      </c>
      <c r="H66" t="s">
        <v>68</v>
      </c>
    </row>
    <row r="67" spans="1:8" x14ac:dyDescent="0.3">
      <c r="A67" t="s">
        <v>2115</v>
      </c>
      <c r="B67" t="s">
        <v>68</v>
      </c>
      <c r="C67">
        <v>2025</v>
      </c>
      <c r="D67" t="s">
        <v>10</v>
      </c>
      <c r="E67" t="s">
        <v>63</v>
      </c>
      <c r="F67">
        <v>93778.75</v>
      </c>
      <c r="G67" t="s">
        <v>36</v>
      </c>
      <c r="H67" t="s">
        <v>68</v>
      </c>
    </row>
    <row r="68" spans="1:8" x14ac:dyDescent="0.3">
      <c r="A68" t="s">
        <v>198</v>
      </c>
      <c r="B68" t="s">
        <v>68</v>
      </c>
      <c r="C68">
        <v>2025</v>
      </c>
      <c r="D68" t="s">
        <v>10</v>
      </c>
      <c r="E68" t="s">
        <v>3</v>
      </c>
      <c r="F68">
        <v>13915.484909090912</v>
      </c>
      <c r="G68" t="s">
        <v>30</v>
      </c>
      <c r="H68" t="s">
        <v>68</v>
      </c>
    </row>
    <row r="69" spans="1:8" x14ac:dyDescent="0.3">
      <c r="A69" t="s">
        <v>199</v>
      </c>
      <c r="B69" t="s">
        <v>68</v>
      </c>
      <c r="C69">
        <v>2025</v>
      </c>
      <c r="D69" t="s">
        <v>10</v>
      </c>
      <c r="E69" t="s">
        <v>3</v>
      </c>
      <c r="F69">
        <v>55</v>
      </c>
      <c r="G69" t="s">
        <v>54</v>
      </c>
      <c r="H69" t="s">
        <v>68</v>
      </c>
    </row>
    <row r="70" spans="1:8" x14ac:dyDescent="0.3">
      <c r="A70" t="s">
        <v>200</v>
      </c>
      <c r="B70" t="s">
        <v>68</v>
      </c>
      <c r="C70">
        <v>2025</v>
      </c>
      <c r="D70" t="s">
        <v>10</v>
      </c>
      <c r="E70" t="s">
        <v>3</v>
      </c>
      <c r="F70">
        <v>765351.67000000016</v>
      </c>
      <c r="G70" t="s">
        <v>36</v>
      </c>
      <c r="H70" t="s">
        <v>68</v>
      </c>
    </row>
    <row r="71" spans="1:8" x14ac:dyDescent="0.3">
      <c r="A71" t="s">
        <v>201</v>
      </c>
      <c r="B71" t="s">
        <v>68</v>
      </c>
      <c r="C71">
        <v>2025</v>
      </c>
      <c r="D71" t="s">
        <v>10</v>
      </c>
      <c r="E71" t="s">
        <v>2</v>
      </c>
      <c r="F71">
        <v>10062.716554621849</v>
      </c>
      <c r="G71" t="s">
        <v>30</v>
      </c>
      <c r="H71" t="s">
        <v>68</v>
      </c>
    </row>
    <row r="72" spans="1:8" x14ac:dyDescent="0.3">
      <c r="A72" t="s">
        <v>202</v>
      </c>
      <c r="B72" t="s">
        <v>68</v>
      </c>
      <c r="C72">
        <v>2025</v>
      </c>
      <c r="D72" t="s">
        <v>10</v>
      </c>
      <c r="E72" t="s">
        <v>2</v>
      </c>
      <c r="F72">
        <v>238</v>
      </c>
      <c r="G72" t="s">
        <v>54</v>
      </c>
      <c r="H72" t="s">
        <v>68</v>
      </c>
    </row>
    <row r="73" spans="1:8" x14ac:dyDescent="0.3">
      <c r="A73" t="s">
        <v>203</v>
      </c>
      <c r="B73" t="s">
        <v>68</v>
      </c>
      <c r="C73">
        <v>2025</v>
      </c>
      <c r="D73" t="s">
        <v>10</v>
      </c>
      <c r="E73" t="s">
        <v>2</v>
      </c>
      <c r="F73">
        <v>2394926.54</v>
      </c>
      <c r="G73" t="s">
        <v>36</v>
      </c>
      <c r="H73" t="s">
        <v>68</v>
      </c>
    </row>
    <row r="74" spans="1:8" x14ac:dyDescent="0.3">
      <c r="A74" t="s">
        <v>204</v>
      </c>
      <c r="B74" t="s">
        <v>68</v>
      </c>
      <c r="C74">
        <v>2025</v>
      </c>
      <c r="D74" t="s">
        <v>10</v>
      </c>
      <c r="E74" t="s">
        <v>1</v>
      </c>
      <c r="F74">
        <v>13305.466699716695</v>
      </c>
      <c r="G74" t="s">
        <v>30</v>
      </c>
      <c r="H74" t="s">
        <v>68</v>
      </c>
    </row>
    <row r="75" spans="1:8" x14ac:dyDescent="0.3">
      <c r="A75" t="s">
        <v>205</v>
      </c>
      <c r="B75" t="s">
        <v>68</v>
      </c>
      <c r="C75">
        <v>2025</v>
      </c>
      <c r="D75" t="s">
        <v>10</v>
      </c>
      <c r="E75" t="s">
        <v>1</v>
      </c>
      <c r="F75">
        <v>706</v>
      </c>
      <c r="G75" t="s">
        <v>54</v>
      </c>
      <c r="H75" t="s">
        <v>68</v>
      </c>
    </row>
    <row r="76" spans="1:8" x14ac:dyDescent="0.3">
      <c r="A76" t="s">
        <v>206</v>
      </c>
      <c r="B76" t="s">
        <v>68</v>
      </c>
      <c r="C76">
        <v>2025</v>
      </c>
      <c r="D76" t="s">
        <v>10</v>
      </c>
      <c r="E76" t="s">
        <v>1</v>
      </c>
      <c r="F76">
        <v>9393659.4899999872</v>
      </c>
      <c r="G76" t="s">
        <v>36</v>
      </c>
      <c r="H76" t="s">
        <v>68</v>
      </c>
    </row>
    <row r="77" spans="1:8" x14ac:dyDescent="0.3">
      <c r="A77" t="s">
        <v>207</v>
      </c>
      <c r="B77" t="s">
        <v>68</v>
      </c>
      <c r="C77">
        <v>2025</v>
      </c>
      <c r="D77" t="s">
        <v>10</v>
      </c>
      <c r="E77" t="s">
        <v>4</v>
      </c>
      <c r="F77">
        <v>11691.642709466803</v>
      </c>
      <c r="G77" t="s">
        <v>30</v>
      </c>
      <c r="H77" t="s">
        <v>68</v>
      </c>
    </row>
    <row r="78" spans="1:8" x14ac:dyDescent="0.3">
      <c r="A78" t="s">
        <v>208</v>
      </c>
      <c r="B78" t="s">
        <v>68</v>
      </c>
      <c r="C78">
        <v>2025</v>
      </c>
      <c r="D78" t="s">
        <v>10</v>
      </c>
      <c r="E78" t="s">
        <v>4</v>
      </c>
      <c r="F78">
        <v>1838</v>
      </c>
      <c r="G78" t="s">
        <v>54</v>
      </c>
      <c r="H78" t="s">
        <v>68</v>
      </c>
    </row>
    <row r="79" spans="1:8" x14ac:dyDescent="0.3">
      <c r="A79" t="s">
        <v>209</v>
      </c>
      <c r="B79" t="s">
        <v>68</v>
      </c>
      <c r="C79">
        <v>2025</v>
      </c>
      <c r="D79" t="s">
        <v>10</v>
      </c>
      <c r="E79" t="s">
        <v>4</v>
      </c>
      <c r="F79">
        <v>21489239.299999986</v>
      </c>
      <c r="G79" t="s">
        <v>36</v>
      </c>
      <c r="H79" t="s">
        <v>68</v>
      </c>
    </row>
    <row r="80" spans="1:8" x14ac:dyDescent="0.3">
      <c r="A80" t="s">
        <v>210</v>
      </c>
      <c r="B80" t="s">
        <v>68</v>
      </c>
      <c r="C80">
        <v>2025</v>
      </c>
      <c r="D80" t="s">
        <v>10</v>
      </c>
      <c r="E80" t="s">
        <v>38</v>
      </c>
      <c r="F80">
        <v>10626.830348557693</v>
      </c>
      <c r="G80" t="s">
        <v>30</v>
      </c>
      <c r="H80" t="s">
        <v>68</v>
      </c>
    </row>
    <row r="81" spans="1:8" x14ac:dyDescent="0.3">
      <c r="A81" t="s">
        <v>211</v>
      </c>
      <c r="B81" t="s">
        <v>68</v>
      </c>
      <c r="C81">
        <v>2025</v>
      </c>
      <c r="D81" t="s">
        <v>10</v>
      </c>
      <c r="E81" t="s">
        <v>38</v>
      </c>
      <c r="F81">
        <v>832</v>
      </c>
      <c r="G81" t="s">
        <v>54</v>
      </c>
      <c r="H81" t="s">
        <v>68</v>
      </c>
    </row>
    <row r="82" spans="1:8" x14ac:dyDescent="0.3">
      <c r="A82" t="s">
        <v>212</v>
      </c>
      <c r="B82" t="s">
        <v>68</v>
      </c>
      <c r="C82">
        <v>2025</v>
      </c>
      <c r="D82" t="s">
        <v>10</v>
      </c>
      <c r="E82" t="s">
        <v>38</v>
      </c>
      <c r="F82">
        <v>8841522.8499999996</v>
      </c>
      <c r="G82" t="s">
        <v>36</v>
      </c>
      <c r="H82" t="s">
        <v>68</v>
      </c>
    </row>
    <row r="83" spans="1:8" x14ac:dyDescent="0.3">
      <c r="A83" t="s">
        <v>213</v>
      </c>
      <c r="B83" t="s">
        <v>69</v>
      </c>
      <c r="C83">
        <v>2025</v>
      </c>
      <c r="D83" t="s">
        <v>44</v>
      </c>
      <c r="E83" t="s">
        <v>2</v>
      </c>
      <c r="F83">
        <v>7385.0938709677439</v>
      </c>
      <c r="G83" t="s">
        <v>30</v>
      </c>
      <c r="H83" t="s">
        <v>69</v>
      </c>
    </row>
    <row r="84" spans="1:8" x14ac:dyDescent="0.3">
      <c r="A84" t="s">
        <v>214</v>
      </c>
      <c r="B84" t="s">
        <v>69</v>
      </c>
      <c r="C84">
        <v>2025</v>
      </c>
      <c r="D84" t="s">
        <v>44</v>
      </c>
      <c r="E84" t="s">
        <v>2</v>
      </c>
      <c r="F84">
        <v>93</v>
      </c>
      <c r="G84" t="s">
        <v>54</v>
      </c>
      <c r="H84" t="s">
        <v>69</v>
      </c>
    </row>
    <row r="85" spans="1:8" x14ac:dyDescent="0.3">
      <c r="A85" t="s">
        <v>215</v>
      </c>
      <c r="B85" t="s">
        <v>69</v>
      </c>
      <c r="C85">
        <v>2025</v>
      </c>
      <c r="D85" t="s">
        <v>44</v>
      </c>
      <c r="E85" t="s">
        <v>2</v>
      </c>
      <c r="F85">
        <v>686813.73000000021</v>
      </c>
      <c r="G85" t="s">
        <v>36</v>
      </c>
      <c r="H85" t="s">
        <v>69</v>
      </c>
    </row>
    <row r="86" spans="1:8" x14ac:dyDescent="0.3">
      <c r="A86" t="s">
        <v>216</v>
      </c>
      <c r="B86" t="s">
        <v>69</v>
      </c>
      <c r="C86">
        <v>2025</v>
      </c>
      <c r="D86" t="s">
        <v>44</v>
      </c>
      <c r="E86" t="s">
        <v>1</v>
      </c>
      <c r="F86">
        <v>13471.918704999976</v>
      </c>
      <c r="G86" t="s">
        <v>30</v>
      </c>
      <c r="H86" t="s">
        <v>69</v>
      </c>
    </row>
    <row r="87" spans="1:8" x14ac:dyDescent="0.3">
      <c r="A87" t="s">
        <v>217</v>
      </c>
      <c r="B87" t="s">
        <v>69</v>
      </c>
      <c r="C87">
        <v>2025</v>
      </c>
      <c r="D87" t="s">
        <v>44</v>
      </c>
      <c r="E87" t="s">
        <v>1</v>
      </c>
      <c r="F87">
        <v>2000</v>
      </c>
      <c r="G87" t="s">
        <v>54</v>
      </c>
      <c r="H87" t="s">
        <v>69</v>
      </c>
    </row>
    <row r="88" spans="1:8" x14ac:dyDescent="0.3">
      <c r="A88" t="s">
        <v>218</v>
      </c>
      <c r="B88" t="s">
        <v>69</v>
      </c>
      <c r="C88">
        <v>2025</v>
      </c>
      <c r="D88" t="s">
        <v>44</v>
      </c>
      <c r="E88" t="s">
        <v>1</v>
      </c>
      <c r="F88">
        <v>26943837.409999952</v>
      </c>
      <c r="G88" t="s">
        <v>36</v>
      </c>
      <c r="H88" t="s">
        <v>69</v>
      </c>
    </row>
    <row r="89" spans="1:8" x14ac:dyDescent="0.3">
      <c r="A89" t="s">
        <v>219</v>
      </c>
      <c r="B89" t="s">
        <v>69</v>
      </c>
      <c r="C89">
        <v>2025</v>
      </c>
      <c r="D89" t="s">
        <v>44</v>
      </c>
      <c r="E89" t="s">
        <v>4</v>
      </c>
      <c r="F89">
        <v>13167.972371882064</v>
      </c>
      <c r="G89" t="s">
        <v>30</v>
      </c>
      <c r="H89" t="s">
        <v>69</v>
      </c>
    </row>
    <row r="90" spans="1:8" x14ac:dyDescent="0.3">
      <c r="A90" t="s">
        <v>220</v>
      </c>
      <c r="B90" t="s">
        <v>69</v>
      </c>
      <c r="C90">
        <v>2025</v>
      </c>
      <c r="D90" t="s">
        <v>44</v>
      </c>
      <c r="E90" t="s">
        <v>4</v>
      </c>
      <c r="F90">
        <v>2205</v>
      </c>
      <c r="G90" t="s">
        <v>54</v>
      </c>
      <c r="H90" t="s">
        <v>69</v>
      </c>
    </row>
    <row r="91" spans="1:8" x14ac:dyDescent="0.3">
      <c r="A91" t="s">
        <v>221</v>
      </c>
      <c r="B91" t="s">
        <v>69</v>
      </c>
      <c r="C91">
        <v>2025</v>
      </c>
      <c r="D91" t="s">
        <v>44</v>
      </c>
      <c r="E91" t="s">
        <v>4</v>
      </c>
      <c r="F91">
        <v>29035379.07999995</v>
      </c>
      <c r="G91" t="s">
        <v>36</v>
      </c>
      <c r="H91" t="s">
        <v>69</v>
      </c>
    </row>
    <row r="92" spans="1:8" x14ac:dyDescent="0.3">
      <c r="A92" t="s">
        <v>222</v>
      </c>
      <c r="B92" t="s">
        <v>69</v>
      </c>
      <c r="C92">
        <v>2025</v>
      </c>
      <c r="D92" t="s">
        <v>44</v>
      </c>
      <c r="E92" t="s">
        <v>38</v>
      </c>
      <c r="F92">
        <v>12542.213749999992</v>
      </c>
      <c r="G92" t="s">
        <v>30</v>
      </c>
      <c r="H92" t="s">
        <v>69</v>
      </c>
    </row>
    <row r="93" spans="1:8" x14ac:dyDescent="0.3">
      <c r="A93" t="s">
        <v>223</v>
      </c>
      <c r="B93" t="s">
        <v>69</v>
      </c>
      <c r="C93">
        <v>2025</v>
      </c>
      <c r="D93" t="s">
        <v>44</v>
      </c>
      <c r="E93" t="s">
        <v>38</v>
      </c>
      <c r="F93">
        <v>112</v>
      </c>
      <c r="G93" t="s">
        <v>54</v>
      </c>
      <c r="H93" t="s">
        <v>69</v>
      </c>
    </row>
    <row r="94" spans="1:8" x14ac:dyDescent="0.3">
      <c r="A94" t="s">
        <v>224</v>
      </c>
      <c r="B94" t="s">
        <v>69</v>
      </c>
      <c r="C94">
        <v>2025</v>
      </c>
      <c r="D94" t="s">
        <v>44</v>
      </c>
      <c r="E94" t="s">
        <v>38</v>
      </c>
      <c r="F94">
        <v>1404727.939999999</v>
      </c>
      <c r="G94" t="s">
        <v>36</v>
      </c>
      <c r="H94" t="s">
        <v>69</v>
      </c>
    </row>
    <row r="95" spans="1:8" x14ac:dyDescent="0.3">
      <c r="A95" t="s">
        <v>225</v>
      </c>
      <c r="B95" t="s">
        <v>70</v>
      </c>
      <c r="C95">
        <v>2025</v>
      </c>
      <c r="D95" t="s">
        <v>6</v>
      </c>
      <c r="E95" t="s">
        <v>53</v>
      </c>
      <c r="F95">
        <v>11853.891063829786</v>
      </c>
      <c r="G95" t="s">
        <v>30</v>
      </c>
      <c r="H95" t="s">
        <v>70</v>
      </c>
    </row>
    <row r="96" spans="1:8" x14ac:dyDescent="0.3">
      <c r="A96" t="s">
        <v>226</v>
      </c>
      <c r="B96" t="s">
        <v>70</v>
      </c>
      <c r="C96">
        <v>2025</v>
      </c>
      <c r="D96" t="s">
        <v>6</v>
      </c>
      <c r="E96" t="s">
        <v>53</v>
      </c>
      <c r="F96">
        <v>47</v>
      </c>
      <c r="G96" t="s">
        <v>54</v>
      </c>
      <c r="H96" t="s">
        <v>70</v>
      </c>
    </row>
    <row r="97" spans="1:8" x14ac:dyDescent="0.3">
      <c r="A97" t="s">
        <v>227</v>
      </c>
      <c r="B97" t="s">
        <v>70</v>
      </c>
      <c r="C97">
        <v>2025</v>
      </c>
      <c r="D97" t="s">
        <v>6</v>
      </c>
      <c r="E97" t="s">
        <v>53</v>
      </c>
      <c r="F97">
        <v>557132.87999999989</v>
      </c>
      <c r="G97" t="s">
        <v>36</v>
      </c>
      <c r="H97" t="s">
        <v>70</v>
      </c>
    </row>
    <row r="98" spans="1:8" x14ac:dyDescent="0.3">
      <c r="A98" t="s">
        <v>228</v>
      </c>
      <c r="B98" t="s">
        <v>70</v>
      </c>
      <c r="C98">
        <v>2025</v>
      </c>
      <c r="D98" t="s">
        <v>6</v>
      </c>
      <c r="E98" t="s">
        <v>63</v>
      </c>
      <c r="F98">
        <v>16898.497272727273</v>
      </c>
      <c r="G98" t="s">
        <v>30</v>
      </c>
      <c r="H98" t="s">
        <v>70</v>
      </c>
    </row>
    <row r="99" spans="1:8" x14ac:dyDescent="0.3">
      <c r="A99" t="s">
        <v>229</v>
      </c>
      <c r="B99" t="s">
        <v>70</v>
      </c>
      <c r="C99">
        <v>2025</v>
      </c>
      <c r="D99" t="s">
        <v>6</v>
      </c>
      <c r="E99" t="s">
        <v>63</v>
      </c>
      <c r="F99">
        <v>11</v>
      </c>
      <c r="G99" t="s">
        <v>54</v>
      </c>
      <c r="H99" t="s">
        <v>70</v>
      </c>
    </row>
    <row r="100" spans="1:8" x14ac:dyDescent="0.3">
      <c r="A100" t="s">
        <v>230</v>
      </c>
      <c r="B100" t="s">
        <v>70</v>
      </c>
      <c r="C100">
        <v>2025</v>
      </c>
      <c r="D100" t="s">
        <v>6</v>
      </c>
      <c r="E100" t="s">
        <v>63</v>
      </c>
      <c r="F100">
        <v>185883.47</v>
      </c>
      <c r="G100" t="s">
        <v>36</v>
      </c>
      <c r="H100" t="s">
        <v>70</v>
      </c>
    </row>
    <row r="101" spans="1:8" x14ac:dyDescent="0.3">
      <c r="A101" t="s">
        <v>2116</v>
      </c>
      <c r="B101" t="s">
        <v>70</v>
      </c>
      <c r="C101">
        <v>2025</v>
      </c>
      <c r="D101" t="s">
        <v>6</v>
      </c>
      <c r="E101" t="s">
        <v>3</v>
      </c>
      <c r="F101">
        <v>15493.192999999999</v>
      </c>
      <c r="G101" t="s">
        <v>30</v>
      </c>
      <c r="H101" t="s">
        <v>70</v>
      </c>
    </row>
    <row r="102" spans="1:8" x14ac:dyDescent="0.3">
      <c r="A102" t="s">
        <v>2117</v>
      </c>
      <c r="B102" t="s">
        <v>70</v>
      </c>
      <c r="C102">
        <v>2025</v>
      </c>
      <c r="D102" t="s">
        <v>6</v>
      </c>
      <c r="E102" t="s">
        <v>3</v>
      </c>
      <c r="F102">
        <v>10</v>
      </c>
      <c r="G102" t="s">
        <v>54</v>
      </c>
      <c r="H102" t="s">
        <v>70</v>
      </c>
    </row>
    <row r="103" spans="1:8" x14ac:dyDescent="0.3">
      <c r="A103" t="s">
        <v>2118</v>
      </c>
      <c r="B103" t="s">
        <v>70</v>
      </c>
      <c r="C103">
        <v>2025</v>
      </c>
      <c r="D103" t="s">
        <v>6</v>
      </c>
      <c r="E103" t="s">
        <v>3</v>
      </c>
      <c r="F103">
        <v>154931.93</v>
      </c>
      <c r="G103" t="s">
        <v>36</v>
      </c>
      <c r="H103" t="s">
        <v>70</v>
      </c>
    </row>
    <row r="104" spans="1:8" x14ac:dyDescent="0.3">
      <c r="A104" t="s">
        <v>231</v>
      </c>
      <c r="B104" t="s">
        <v>70</v>
      </c>
      <c r="C104">
        <v>2025</v>
      </c>
      <c r="D104" t="s">
        <v>6</v>
      </c>
      <c r="E104" t="s">
        <v>2</v>
      </c>
      <c r="F104">
        <v>10790.430333333334</v>
      </c>
      <c r="G104" t="s">
        <v>30</v>
      </c>
      <c r="H104" t="s">
        <v>70</v>
      </c>
    </row>
    <row r="105" spans="1:8" x14ac:dyDescent="0.3">
      <c r="A105" t="s">
        <v>232</v>
      </c>
      <c r="B105" t="s">
        <v>70</v>
      </c>
      <c r="C105">
        <v>2025</v>
      </c>
      <c r="D105" t="s">
        <v>6</v>
      </c>
      <c r="E105" t="s">
        <v>2</v>
      </c>
      <c r="F105">
        <v>120</v>
      </c>
      <c r="G105" t="s">
        <v>54</v>
      </c>
      <c r="H105" t="s">
        <v>70</v>
      </c>
    </row>
    <row r="106" spans="1:8" x14ac:dyDescent="0.3">
      <c r="A106" t="s">
        <v>233</v>
      </c>
      <c r="B106" t="s">
        <v>70</v>
      </c>
      <c r="C106">
        <v>2025</v>
      </c>
      <c r="D106" t="s">
        <v>6</v>
      </c>
      <c r="E106" t="s">
        <v>2</v>
      </c>
      <c r="F106">
        <v>1294851.6400000001</v>
      </c>
      <c r="G106" t="s">
        <v>36</v>
      </c>
      <c r="H106" t="s">
        <v>70</v>
      </c>
    </row>
    <row r="107" spans="1:8" x14ac:dyDescent="0.3">
      <c r="A107" t="s">
        <v>234</v>
      </c>
      <c r="B107" t="s">
        <v>70</v>
      </c>
      <c r="C107">
        <v>2025</v>
      </c>
      <c r="D107" t="s">
        <v>6</v>
      </c>
      <c r="E107" t="s">
        <v>1</v>
      </c>
      <c r="F107">
        <v>15301.433638297873</v>
      </c>
      <c r="G107" t="s">
        <v>30</v>
      </c>
      <c r="H107" t="s">
        <v>70</v>
      </c>
    </row>
    <row r="108" spans="1:8" x14ac:dyDescent="0.3">
      <c r="A108" t="s">
        <v>235</v>
      </c>
      <c r="B108" t="s">
        <v>70</v>
      </c>
      <c r="C108">
        <v>2025</v>
      </c>
      <c r="D108" t="s">
        <v>6</v>
      </c>
      <c r="E108" t="s">
        <v>1</v>
      </c>
      <c r="F108">
        <v>1410</v>
      </c>
      <c r="G108" t="s">
        <v>54</v>
      </c>
      <c r="H108" t="s">
        <v>70</v>
      </c>
    </row>
    <row r="109" spans="1:8" x14ac:dyDescent="0.3">
      <c r="A109" t="s">
        <v>236</v>
      </c>
      <c r="B109" t="s">
        <v>70</v>
      </c>
      <c r="C109">
        <v>2025</v>
      </c>
      <c r="D109" t="s">
        <v>6</v>
      </c>
      <c r="E109" t="s">
        <v>1</v>
      </c>
      <c r="F109">
        <v>21575021.43</v>
      </c>
      <c r="G109" t="s">
        <v>36</v>
      </c>
      <c r="H109" t="s">
        <v>70</v>
      </c>
    </row>
    <row r="110" spans="1:8" x14ac:dyDescent="0.3">
      <c r="A110" t="s">
        <v>237</v>
      </c>
      <c r="B110" t="s">
        <v>70</v>
      </c>
      <c r="C110">
        <v>2025</v>
      </c>
      <c r="D110" t="s">
        <v>6</v>
      </c>
      <c r="E110" t="s">
        <v>4</v>
      </c>
      <c r="F110">
        <v>14518.100217267011</v>
      </c>
      <c r="G110" t="s">
        <v>30</v>
      </c>
      <c r="H110" t="s">
        <v>70</v>
      </c>
    </row>
    <row r="111" spans="1:8" x14ac:dyDescent="0.3">
      <c r="A111" t="s">
        <v>238</v>
      </c>
      <c r="B111" t="s">
        <v>70</v>
      </c>
      <c r="C111">
        <v>2025</v>
      </c>
      <c r="D111" t="s">
        <v>6</v>
      </c>
      <c r="E111" t="s">
        <v>4</v>
      </c>
      <c r="F111">
        <v>1749</v>
      </c>
      <c r="G111" t="s">
        <v>54</v>
      </c>
      <c r="H111" t="s">
        <v>70</v>
      </c>
    </row>
    <row r="112" spans="1:8" x14ac:dyDescent="0.3">
      <c r="A112" t="s">
        <v>239</v>
      </c>
      <c r="B112" t="s">
        <v>70</v>
      </c>
      <c r="C112">
        <v>2025</v>
      </c>
      <c r="D112" t="s">
        <v>6</v>
      </c>
      <c r="E112" t="s">
        <v>4</v>
      </c>
      <c r="F112">
        <v>25392157.280000001</v>
      </c>
      <c r="G112" t="s">
        <v>36</v>
      </c>
      <c r="H112" t="s">
        <v>70</v>
      </c>
    </row>
    <row r="113" spans="1:8" x14ac:dyDescent="0.3">
      <c r="A113" t="s">
        <v>240</v>
      </c>
      <c r="B113" t="s">
        <v>70</v>
      </c>
      <c r="C113">
        <v>2025</v>
      </c>
      <c r="D113" t="s">
        <v>6</v>
      </c>
      <c r="E113" t="s">
        <v>38</v>
      </c>
      <c r="F113">
        <v>10757.191589403976</v>
      </c>
      <c r="G113" t="s">
        <v>30</v>
      </c>
      <c r="H113" t="s">
        <v>70</v>
      </c>
    </row>
    <row r="114" spans="1:8" x14ac:dyDescent="0.3">
      <c r="A114" t="s">
        <v>241</v>
      </c>
      <c r="B114" t="s">
        <v>70</v>
      </c>
      <c r="C114">
        <v>2025</v>
      </c>
      <c r="D114" t="s">
        <v>6</v>
      </c>
      <c r="E114" t="s">
        <v>38</v>
      </c>
      <c r="F114">
        <v>151</v>
      </c>
      <c r="G114" t="s">
        <v>54</v>
      </c>
      <c r="H114" t="s">
        <v>70</v>
      </c>
    </row>
    <row r="115" spans="1:8" x14ac:dyDescent="0.3">
      <c r="A115" t="s">
        <v>242</v>
      </c>
      <c r="B115" t="s">
        <v>70</v>
      </c>
      <c r="C115">
        <v>2025</v>
      </c>
      <c r="D115" t="s">
        <v>6</v>
      </c>
      <c r="E115" t="s">
        <v>38</v>
      </c>
      <c r="F115">
        <v>1624335.9300000004</v>
      </c>
      <c r="G115" t="s">
        <v>36</v>
      </c>
      <c r="H115" t="s">
        <v>70</v>
      </c>
    </row>
    <row r="116" spans="1:8" x14ac:dyDescent="0.3">
      <c r="A116" t="s">
        <v>2119</v>
      </c>
      <c r="B116" t="s">
        <v>71</v>
      </c>
      <c r="C116">
        <v>2025</v>
      </c>
      <c r="D116" t="s">
        <v>11</v>
      </c>
      <c r="E116" t="s">
        <v>63</v>
      </c>
      <c r="F116">
        <v>16818.356666666667</v>
      </c>
      <c r="G116" t="s">
        <v>30</v>
      </c>
      <c r="H116" t="s">
        <v>71</v>
      </c>
    </row>
    <row r="117" spans="1:8" x14ac:dyDescent="0.3">
      <c r="A117" t="s">
        <v>2120</v>
      </c>
      <c r="B117" t="s">
        <v>71</v>
      </c>
      <c r="C117">
        <v>2025</v>
      </c>
      <c r="D117" t="s">
        <v>11</v>
      </c>
      <c r="E117" t="s">
        <v>63</v>
      </c>
      <c r="F117">
        <v>6</v>
      </c>
      <c r="G117" t="s">
        <v>54</v>
      </c>
      <c r="H117" t="s">
        <v>71</v>
      </c>
    </row>
    <row r="118" spans="1:8" x14ac:dyDescent="0.3">
      <c r="A118" t="s">
        <v>2121</v>
      </c>
      <c r="B118" t="s">
        <v>71</v>
      </c>
      <c r="C118">
        <v>2025</v>
      </c>
      <c r="D118" t="s">
        <v>11</v>
      </c>
      <c r="E118" t="s">
        <v>63</v>
      </c>
      <c r="F118">
        <v>100910.14</v>
      </c>
      <c r="G118" t="s">
        <v>36</v>
      </c>
      <c r="H118" t="s">
        <v>71</v>
      </c>
    </row>
    <row r="119" spans="1:8" x14ac:dyDescent="0.3">
      <c r="A119" t="s">
        <v>243</v>
      </c>
      <c r="B119" t="s">
        <v>71</v>
      </c>
      <c r="C119">
        <v>2025</v>
      </c>
      <c r="D119" t="s">
        <v>11</v>
      </c>
      <c r="E119" t="s">
        <v>3</v>
      </c>
      <c r="F119">
        <v>16320.875833333332</v>
      </c>
      <c r="G119" t="s">
        <v>30</v>
      </c>
      <c r="H119" t="s">
        <v>71</v>
      </c>
    </row>
    <row r="120" spans="1:8" x14ac:dyDescent="0.3">
      <c r="A120" t="s">
        <v>244</v>
      </c>
      <c r="B120" t="s">
        <v>71</v>
      </c>
      <c r="C120">
        <v>2025</v>
      </c>
      <c r="D120" t="s">
        <v>11</v>
      </c>
      <c r="E120" t="s">
        <v>3</v>
      </c>
      <c r="F120">
        <v>24</v>
      </c>
      <c r="G120" t="s">
        <v>54</v>
      </c>
      <c r="H120" t="s">
        <v>71</v>
      </c>
    </row>
    <row r="121" spans="1:8" x14ac:dyDescent="0.3">
      <c r="A121" t="s">
        <v>245</v>
      </c>
      <c r="B121" t="s">
        <v>71</v>
      </c>
      <c r="C121">
        <v>2025</v>
      </c>
      <c r="D121" t="s">
        <v>11</v>
      </c>
      <c r="E121" t="s">
        <v>3</v>
      </c>
      <c r="F121">
        <v>391701.01999999996</v>
      </c>
      <c r="G121" t="s">
        <v>36</v>
      </c>
      <c r="H121" t="s">
        <v>71</v>
      </c>
    </row>
    <row r="122" spans="1:8" x14ac:dyDescent="0.3">
      <c r="A122" t="s">
        <v>246</v>
      </c>
      <c r="B122" t="s">
        <v>71</v>
      </c>
      <c r="C122">
        <v>2025</v>
      </c>
      <c r="D122" t="s">
        <v>11</v>
      </c>
      <c r="E122" t="s">
        <v>2</v>
      </c>
      <c r="F122">
        <v>9848.205934959351</v>
      </c>
      <c r="G122" t="s">
        <v>30</v>
      </c>
      <c r="H122" t="s">
        <v>71</v>
      </c>
    </row>
    <row r="123" spans="1:8" x14ac:dyDescent="0.3">
      <c r="A123" t="s">
        <v>247</v>
      </c>
      <c r="B123" t="s">
        <v>71</v>
      </c>
      <c r="C123">
        <v>2025</v>
      </c>
      <c r="D123" t="s">
        <v>11</v>
      </c>
      <c r="E123" t="s">
        <v>2</v>
      </c>
      <c r="F123">
        <v>123</v>
      </c>
      <c r="G123" t="s">
        <v>54</v>
      </c>
      <c r="H123" t="s">
        <v>71</v>
      </c>
    </row>
    <row r="124" spans="1:8" x14ac:dyDescent="0.3">
      <c r="A124" t="s">
        <v>248</v>
      </c>
      <c r="B124" t="s">
        <v>71</v>
      </c>
      <c r="C124">
        <v>2025</v>
      </c>
      <c r="D124" t="s">
        <v>11</v>
      </c>
      <c r="E124" t="s">
        <v>2</v>
      </c>
      <c r="F124">
        <v>1211329.33</v>
      </c>
      <c r="G124" t="s">
        <v>36</v>
      </c>
      <c r="H124" t="s">
        <v>71</v>
      </c>
    </row>
    <row r="125" spans="1:8" x14ac:dyDescent="0.3">
      <c r="A125" t="s">
        <v>249</v>
      </c>
      <c r="B125" t="s">
        <v>71</v>
      </c>
      <c r="C125">
        <v>2025</v>
      </c>
      <c r="D125" t="s">
        <v>11</v>
      </c>
      <c r="E125" t="s">
        <v>1</v>
      </c>
      <c r="F125">
        <v>13773.442497149361</v>
      </c>
      <c r="G125" t="s">
        <v>30</v>
      </c>
      <c r="H125" t="s">
        <v>71</v>
      </c>
    </row>
    <row r="126" spans="1:8" x14ac:dyDescent="0.3">
      <c r="A126" t="s">
        <v>250</v>
      </c>
      <c r="B126" t="s">
        <v>71</v>
      </c>
      <c r="C126">
        <v>2025</v>
      </c>
      <c r="D126" t="s">
        <v>11</v>
      </c>
      <c r="E126" t="s">
        <v>1</v>
      </c>
      <c r="F126">
        <v>877</v>
      </c>
      <c r="G126" t="s">
        <v>54</v>
      </c>
      <c r="H126" t="s">
        <v>71</v>
      </c>
    </row>
    <row r="127" spans="1:8" x14ac:dyDescent="0.3">
      <c r="A127" t="s">
        <v>251</v>
      </c>
      <c r="B127" t="s">
        <v>71</v>
      </c>
      <c r="C127">
        <v>2025</v>
      </c>
      <c r="D127" t="s">
        <v>11</v>
      </c>
      <c r="E127" t="s">
        <v>1</v>
      </c>
      <c r="F127">
        <v>12079309.069999989</v>
      </c>
      <c r="G127" t="s">
        <v>36</v>
      </c>
      <c r="H127" t="s">
        <v>71</v>
      </c>
    </row>
    <row r="128" spans="1:8" x14ac:dyDescent="0.3">
      <c r="A128" t="s">
        <v>252</v>
      </c>
      <c r="B128" t="s">
        <v>71</v>
      </c>
      <c r="C128">
        <v>2025</v>
      </c>
      <c r="D128" t="s">
        <v>11</v>
      </c>
      <c r="E128" t="s">
        <v>4</v>
      </c>
      <c r="F128">
        <v>12471.800498177387</v>
      </c>
      <c r="G128" t="s">
        <v>30</v>
      </c>
      <c r="H128" t="s">
        <v>71</v>
      </c>
    </row>
    <row r="129" spans="1:8" x14ac:dyDescent="0.3">
      <c r="A129" t="s">
        <v>253</v>
      </c>
      <c r="B129" t="s">
        <v>71</v>
      </c>
      <c r="C129">
        <v>2025</v>
      </c>
      <c r="D129" t="s">
        <v>11</v>
      </c>
      <c r="E129" t="s">
        <v>4</v>
      </c>
      <c r="F129">
        <v>1646</v>
      </c>
      <c r="G129" t="s">
        <v>54</v>
      </c>
      <c r="H129" t="s">
        <v>71</v>
      </c>
    </row>
    <row r="130" spans="1:8" x14ac:dyDescent="0.3">
      <c r="A130" t="s">
        <v>254</v>
      </c>
      <c r="B130" t="s">
        <v>71</v>
      </c>
      <c r="C130">
        <v>2025</v>
      </c>
      <c r="D130" t="s">
        <v>11</v>
      </c>
      <c r="E130" t="s">
        <v>4</v>
      </c>
      <c r="F130">
        <v>20528583.619999979</v>
      </c>
      <c r="G130" t="s">
        <v>36</v>
      </c>
      <c r="H130" t="s">
        <v>71</v>
      </c>
    </row>
    <row r="131" spans="1:8" x14ac:dyDescent="0.3">
      <c r="A131" t="s">
        <v>255</v>
      </c>
      <c r="B131" t="s">
        <v>71</v>
      </c>
      <c r="C131">
        <v>2025</v>
      </c>
      <c r="D131" t="s">
        <v>11</v>
      </c>
      <c r="E131" t="s">
        <v>38</v>
      </c>
      <c r="F131">
        <v>10950.217629870118</v>
      </c>
      <c r="G131" t="s">
        <v>30</v>
      </c>
      <c r="H131" t="s">
        <v>71</v>
      </c>
    </row>
    <row r="132" spans="1:8" x14ac:dyDescent="0.3">
      <c r="A132" t="s">
        <v>256</v>
      </c>
      <c r="B132" t="s">
        <v>71</v>
      </c>
      <c r="C132">
        <v>2025</v>
      </c>
      <c r="D132" t="s">
        <v>11</v>
      </c>
      <c r="E132" t="s">
        <v>38</v>
      </c>
      <c r="F132">
        <v>616</v>
      </c>
      <c r="G132" t="s">
        <v>54</v>
      </c>
      <c r="H132" t="s">
        <v>71</v>
      </c>
    </row>
    <row r="133" spans="1:8" x14ac:dyDescent="0.3">
      <c r="A133" t="s">
        <v>257</v>
      </c>
      <c r="B133" t="s">
        <v>71</v>
      </c>
      <c r="C133">
        <v>2025</v>
      </c>
      <c r="D133" t="s">
        <v>11</v>
      </c>
      <c r="E133" t="s">
        <v>38</v>
      </c>
      <c r="F133">
        <v>6745334.0599999921</v>
      </c>
      <c r="G133" t="s">
        <v>36</v>
      </c>
      <c r="H133" t="s">
        <v>71</v>
      </c>
    </row>
    <row r="134" spans="1:8" x14ac:dyDescent="0.3">
      <c r="A134" t="s">
        <v>258</v>
      </c>
      <c r="B134" t="s">
        <v>72</v>
      </c>
      <c r="C134">
        <v>2025</v>
      </c>
      <c r="D134" t="s">
        <v>20</v>
      </c>
      <c r="E134" t="s">
        <v>2</v>
      </c>
      <c r="F134">
        <v>5354.4858823529421</v>
      </c>
      <c r="G134" t="s">
        <v>30</v>
      </c>
      <c r="H134" t="s">
        <v>72</v>
      </c>
    </row>
    <row r="135" spans="1:8" x14ac:dyDescent="0.3">
      <c r="A135" t="s">
        <v>259</v>
      </c>
      <c r="B135" t="s">
        <v>72</v>
      </c>
      <c r="C135">
        <v>2025</v>
      </c>
      <c r="D135" t="s">
        <v>20</v>
      </c>
      <c r="E135" t="s">
        <v>2</v>
      </c>
      <c r="F135">
        <v>51</v>
      </c>
      <c r="G135" t="s">
        <v>54</v>
      </c>
      <c r="H135" t="s">
        <v>72</v>
      </c>
    </row>
    <row r="136" spans="1:8" x14ac:dyDescent="0.3">
      <c r="A136" t="s">
        <v>260</v>
      </c>
      <c r="B136" t="s">
        <v>72</v>
      </c>
      <c r="C136">
        <v>2025</v>
      </c>
      <c r="D136" t="s">
        <v>20</v>
      </c>
      <c r="E136" t="s">
        <v>2</v>
      </c>
      <c r="F136">
        <v>273078.78000000003</v>
      </c>
      <c r="G136" t="s">
        <v>36</v>
      </c>
      <c r="H136" t="s">
        <v>72</v>
      </c>
    </row>
    <row r="137" spans="1:8" x14ac:dyDescent="0.3">
      <c r="A137" t="s">
        <v>261</v>
      </c>
      <c r="B137" t="s">
        <v>72</v>
      </c>
      <c r="C137">
        <v>2025</v>
      </c>
      <c r="D137" t="s">
        <v>20</v>
      </c>
      <c r="E137" t="s">
        <v>1</v>
      </c>
      <c r="F137">
        <v>9945.9532479784302</v>
      </c>
      <c r="G137" t="s">
        <v>30</v>
      </c>
      <c r="H137" t="s">
        <v>72</v>
      </c>
    </row>
    <row r="138" spans="1:8" x14ac:dyDescent="0.3">
      <c r="A138" t="s">
        <v>262</v>
      </c>
      <c r="B138" t="s">
        <v>72</v>
      </c>
      <c r="C138">
        <v>2025</v>
      </c>
      <c r="D138" t="s">
        <v>20</v>
      </c>
      <c r="E138" t="s">
        <v>1</v>
      </c>
      <c r="F138">
        <v>742</v>
      </c>
      <c r="G138" t="s">
        <v>54</v>
      </c>
      <c r="H138" t="s">
        <v>72</v>
      </c>
    </row>
    <row r="139" spans="1:8" x14ac:dyDescent="0.3">
      <c r="A139" t="s">
        <v>263</v>
      </c>
      <c r="B139" t="s">
        <v>72</v>
      </c>
      <c r="C139">
        <v>2025</v>
      </c>
      <c r="D139" t="s">
        <v>20</v>
      </c>
      <c r="E139" t="s">
        <v>1</v>
      </c>
      <c r="F139">
        <v>7379897.3099999949</v>
      </c>
      <c r="G139" t="s">
        <v>36</v>
      </c>
      <c r="H139" t="s">
        <v>72</v>
      </c>
    </row>
    <row r="140" spans="1:8" x14ac:dyDescent="0.3">
      <c r="A140" t="s">
        <v>264</v>
      </c>
      <c r="B140" t="s">
        <v>72</v>
      </c>
      <c r="C140">
        <v>2025</v>
      </c>
      <c r="D140" t="s">
        <v>20</v>
      </c>
      <c r="E140" t="s">
        <v>4</v>
      </c>
      <c r="F140">
        <v>9626.1976382380453</v>
      </c>
      <c r="G140" t="s">
        <v>30</v>
      </c>
      <c r="H140" t="s">
        <v>72</v>
      </c>
    </row>
    <row r="141" spans="1:8" x14ac:dyDescent="0.3">
      <c r="A141" t="s">
        <v>265</v>
      </c>
      <c r="B141" t="s">
        <v>72</v>
      </c>
      <c r="C141">
        <v>2025</v>
      </c>
      <c r="D141" t="s">
        <v>20</v>
      </c>
      <c r="E141" t="s">
        <v>4</v>
      </c>
      <c r="F141">
        <v>1067</v>
      </c>
      <c r="G141" t="s">
        <v>54</v>
      </c>
      <c r="H141" t="s">
        <v>72</v>
      </c>
    </row>
    <row r="142" spans="1:8" x14ac:dyDescent="0.3">
      <c r="A142" t="s">
        <v>266</v>
      </c>
      <c r="B142" t="s">
        <v>72</v>
      </c>
      <c r="C142">
        <v>2025</v>
      </c>
      <c r="D142" t="s">
        <v>20</v>
      </c>
      <c r="E142" t="s">
        <v>4</v>
      </c>
      <c r="F142">
        <v>10271152.879999995</v>
      </c>
      <c r="G142" t="s">
        <v>36</v>
      </c>
      <c r="H142" t="s">
        <v>72</v>
      </c>
    </row>
    <row r="143" spans="1:8" x14ac:dyDescent="0.3">
      <c r="A143" t="s">
        <v>267</v>
      </c>
      <c r="B143" t="s">
        <v>72</v>
      </c>
      <c r="C143">
        <v>2025</v>
      </c>
      <c r="D143" t="s">
        <v>20</v>
      </c>
      <c r="E143" t="s">
        <v>38</v>
      </c>
      <c r="F143">
        <v>9555.3897445255498</v>
      </c>
      <c r="G143" t="s">
        <v>30</v>
      </c>
      <c r="H143" t="s">
        <v>72</v>
      </c>
    </row>
    <row r="144" spans="1:8" x14ac:dyDescent="0.3">
      <c r="A144" t="s">
        <v>268</v>
      </c>
      <c r="B144" t="s">
        <v>72</v>
      </c>
      <c r="C144">
        <v>2025</v>
      </c>
      <c r="D144" t="s">
        <v>20</v>
      </c>
      <c r="E144" t="s">
        <v>38</v>
      </c>
      <c r="F144">
        <v>274</v>
      </c>
      <c r="G144" t="s">
        <v>54</v>
      </c>
      <c r="H144" t="s">
        <v>72</v>
      </c>
    </row>
    <row r="145" spans="1:8" x14ac:dyDescent="0.3">
      <c r="A145" t="s">
        <v>269</v>
      </c>
      <c r="B145" t="s">
        <v>72</v>
      </c>
      <c r="C145">
        <v>2025</v>
      </c>
      <c r="D145" t="s">
        <v>20</v>
      </c>
      <c r="E145" t="s">
        <v>38</v>
      </c>
      <c r="F145">
        <v>2618176.7900000005</v>
      </c>
      <c r="G145" t="s">
        <v>36</v>
      </c>
      <c r="H145" t="s">
        <v>72</v>
      </c>
    </row>
    <row r="146" spans="1:8" x14ac:dyDescent="0.3">
      <c r="A146" t="s">
        <v>2122</v>
      </c>
      <c r="B146" t="s">
        <v>73</v>
      </c>
      <c r="C146">
        <v>2025</v>
      </c>
      <c r="D146" t="s">
        <v>9</v>
      </c>
      <c r="E146" t="s">
        <v>63</v>
      </c>
      <c r="F146">
        <v>10528.023333333333</v>
      </c>
      <c r="G146" t="s">
        <v>30</v>
      </c>
      <c r="H146" t="s">
        <v>73</v>
      </c>
    </row>
    <row r="147" spans="1:8" x14ac:dyDescent="0.3">
      <c r="A147" t="s">
        <v>2123</v>
      </c>
      <c r="B147" t="s">
        <v>73</v>
      </c>
      <c r="C147">
        <v>2025</v>
      </c>
      <c r="D147" t="s">
        <v>9</v>
      </c>
      <c r="E147" t="s">
        <v>63</v>
      </c>
      <c r="F147">
        <v>3</v>
      </c>
      <c r="G147" t="s">
        <v>54</v>
      </c>
      <c r="H147" t="s">
        <v>73</v>
      </c>
    </row>
    <row r="148" spans="1:8" x14ac:dyDescent="0.3">
      <c r="A148" t="s">
        <v>2124</v>
      </c>
      <c r="B148" t="s">
        <v>73</v>
      </c>
      <c r="C148">
        <v>2025</v>
      </c>
      <c r="D148" t="s">
        <v>9</v>
      </c>
      <c r="E148" t="s">
        <v>63</v>
      </c>
      <c r="F148">
        <v>31584.07</v>
      </c>
      <c r="G148" t="s">
        <v>36</v>
      </c>
      <c r="H148" t="s">
        <v>73</v>
      </c>
    </row>
    <row r="149" spans="1:8" x14ac:dyDescent="0.3">
      <c r="A149" t="s">
        <v>270</v>
      </c>
      <c r="B149" t="s">
        <v>73</v>
      </c>
      <c r="C149">
        <v>2025</v>
      </c>
      <c r="D149" t="s">
        <v>9</v>
      </c>
      <c r="E149" t="s">
        <v>3</v>
      </c>
      <c r="F149">
        <v>15655.323076923078</v>
      </c>
      <c r="G149" t="s">
        <v>30</v>
      </c>
      <c r="H149" t="s">
        <v>73</v>
      </c>
    </row>
    <row r="150" spans="1:8" x14ac:dyDescent="0.3">
      <c r="A150" t="s">
        <v>271</v>
      </c>
      <c r="B150" t="s">
        <v>73</v>
      </c>
      <c r="C150">
        <v>2025</v>
      </c>
      <c r="D150" t="s">
        <v>9</v>
      </c>
      <c r="E150" t="s">
        <v>3</v>
      </c>
      <c r="F150">
        <v>65</v>
      </c>
      <c r="G150" t="s">
        <v>54</v>
      </c>
      <c r="H150" t="s">
        <v>73</v>
      </c>
    </row>
    <row r="151" spans="1:8" x14ac:dyDescent="0.3">
      <c r="A151" t="s">
        <v>272</v>
      </c>
      <c r="B151" t="s">
        <v>73</v>
      </c>
      <c r="C151">
        <v>2025</v>
      </c>
      <c r="D151" t="s">
        <v>9</v>
      </c>
      <c r="E151" t="s">
        <v>3</v>
      </c>
      <c r="F151">
        <v>1017596</v>
      </c>
      <c r="G151" t="s">
        <v>36</v>
      </c>
      <c r="H151" t="s">
        <v>73</v>
      </c>
    </row>
    <row r="152" spans="1:8" x14ac:dyDescent="0.3">
      <c r="A152" t="s">
        <v>273</v>
      </c>
      <c r="B152" t="s">
        <v>73</v>
      </c>
      <c r="C152">
        <v>2025</v>
      </c>
      <c r="D152" t="s">
        <v>9</v>
      </c>
      <c r="E152" t="s">
        <v>2</v>
      </c>
      <c r="F152">
        <v>10209.984351851852</v>
      </c>
      <c r="G152" t="s">
        <v>30</v>
      </c>
      <c r="H152" t="s">
        <v>73</v>
      </c>
    </row>
    <row r="153" spans="1:8" x14ac:dyDescent="0.3">
      <c r="A153" t="s">
        <v>274</v>
      </c>
      <c r="B153" t="s">
        <v>73</v>
      </c>
      <c r="C153">
        <v>2025</v>
      </c>
      <c r="D153" t="s">
        <v>9</v>
      </c>
      <c r="E153" t="s">
        <v>2</v>
      </c>
      <c r="F153">
        <v>216</v>
      </c>
      <c r="G153" t="s">
        <v>54</v>
      </c>
      <c r="H153" t="s">
        <v>73</v>
      </c>
    </row>
    <row r="154" spans="1:8" x14ac:dyDescent="0.3">
      <c r="A154" t="s">
        <v>275</v>
      </c>
      <c r="B154" t="s">
        <v>73</v>
      </c>
      <c r="C154">
        <v>2025</v>
      </c>
      <c r="D154" t="s">
        <v>9</v>
      </c>
      <c r="E154" t="s">
        <v>2</v>
      </c>
      <c r="F154">
        <v>2205356.62</v>
      </c>
      <c r="G154" t="s">
        <v>36</v>
      </c>
      <c r="H154" t="s">
        <v>73</v>
      </c>
    </row>
    <row r="155" spans="1:8" x14ac:dyDescent="0.3">
      <c r="A155" t="s">
        <v>276</v>
      </c>
      <c r="B155" t="s">
        <v>73</v>
      </c>
      <c r="C155">
        <v>2025</v>
      </c>
      <c r="D155" t="s">
        <v>9</v>
      </c>
      <c r="E155" t="s">
        <v>1</v>
      </c>
      <c r="F155">
        <v>13196.727639751562</v>
      </c>
      <c r="G155" t="s">
        <v>30</v>
      </c>
      <c r="H155" t="s">
        <v>73</v>
      </c>
    </row>
    <row r="156" spans="1:8" x14ac:dyDescent="0.3">
      <c r="A156" t="s">
        <v>277</v>
      </c>
      <c r="B156" t="s">
        <v>73</v>
      </c>
      <c r="C156">
        <v>2025</v>
      </c>
      <c r="D156" t="s">
        <v>9</v>
      </c>
      <c r="E156" t="s">
        <v>1</v>
      </c>
      <c r="F156">
        <v>1127</v>
      </c>
      <c r="G156" t="s">
        <v>54</v>
      </c>
      <c r="H156" t="s">
        <v>73</v>
      </c>
    </row>
    <row r="157" spans="1:8" x14ac:dyDescent="0.3">
      <c r="A157" t="s">
        <v>278</v>
      </c>
      <c r="B157" t="s">
        <v>73</v>
      </c>
      <c r="C157">
        <v>2025</v>
      </c>
      <c r="D157" t="s">
        <v>9</v>
      </c>
      <c r="E157" t="s">
        <v>1</v>
      </c>
      <c r="F157">
        <v>14872712.05000001</v>
      </c>
      <c r="G157" t="s">
        <v>36</v>
      </c>
      <c r="H157" t="s">
        <v>73</v>
      </c>
    </row>
    <row r="158" spans="1:8" x14ac:dyDescent="0.3">
      <c r="A158" t="s">
        <v>279</v>
      </c>
      <c r="B158" t="s">
        <v>73</v>
      </c>
      <c r="C158">
        <v>2025</v>
      </c>
      <c r="D158" t="s">
        <v>9</v>
      </c>
      <c r="E158" t="s">
        <v>4</v>
      </c>
      <c r="F158">
        <v>12090.689747774486</v>
      </c>
      <c r="G158" t="s">
        <v>30</v>
      </c>
      <c r="H158" t="s">
        <v>73</v>
      </c>
    </row>
    <row r="159" spans="1:8" x14ac:dyDescent="0.3">
      <c r="A159" t="s">
        <v>280</v>
      </c>
      <c r="B159" t="s">
        <v>73</v>
      </c>
      <c r="C159">
        <v>2025</v>
      </c>
      <c r="D159" t="s">
        <v>9</v>
      </c>
      <c r="E159" t="s">
        <v>4</v>
      </c>
      <c r="F159">
        <v>2022</v>
      </c>
      <c r="G159" t="s">
        <v>54</v>
      </c>
      <c r="H159" t="s">
        <v>73</v>
      </c>
    </row>
    <row r="160" spans="1:8" x14ac:dyDescent="0.3">
      <c r="A160" t="s">
        <v>281</v>
      </c>
      <c r="B160" t="s">
        <v>73</v>
      </c>
      <c r="C160">
        <v>2025</v>
      </c>
      <c r="D160" t="s">
        <v>9</v>
      </c>
      <c r="E160" t="s">
        <v>4</v>
      </c>
      <c r="F160">
        <v>24447374.670000009</v>
      </c>
      <c r="G160" t="s">
        <v>36</v>
      </c>
      <c r="H160" t="s">
        <v>73</v>
      </c>
    </row>
    <row r="161" spans="1:8" x14ac:dyDescent="0.3">
      <c r="A161" t="s">
        <v>282</v>
      </c>
      <c r="B161" t="s">
        <v>73</v>
      </c>
      <c r="C161">
        <v>2025</v>
      </c>
      <c r="D161" t="s">
        <v>9</v>
      </c>
      <c r="E161" t="s">
        <v>38</v>
      </c>
      <c r="F161">
        <v>10343.904959083473</v>
      </c>
      <c r="G161" t="s">
        <v>30</v>
      </c>
      <c r="H161" t="s">
        <v>73</v>
      </c>
    </row>
    <row r="162" spans="1:8" x14ac:dyDescent="0.3">
      <c r="A162" t="s">
        <v>283</v>
      </c>
      <c r="B162" t="s">
        <v>73</v>
      </c>
      <c r="C162">
        <v>2025</v>
      </c>
      <c r="D162" t="s">
        <v>9</v>
      </c>
      <c r="E162" t="s">
        <v>38</v>
      </c>
      <c r="F162">
        <v>611</v>
      </c>
      <c r="G162" t="s">
        <v>54</v>
      </c>
      <c r="H162" t="s">
        <v>73</v>
      </c>
    </row>
    <row r="163" spans="1:8" x14ac:dyDescent="0.3">
      <c r="A163" t="s">
        <v>284</v>
      </c>
      <c r="B163" t="s">
        <v>73</v>
      </c>
      <c r="C163">
        <v>2025</v>
      </c>
      <c r="D163" t="s">
        <v>9</v>
      </c>
      <c r="E163" t="s">
        <v>38</v>
      </c>
      <c r="F163">
        <v>6320125.9300000016</v>
      </c>
      <c r="G163" t="s">
        <v>36</v>
      </c>
      <c r="H163" t="s">
        <v>73</v>
      </c>
    </row>
    <row r="164" spans="1:8" x14ac:dyDescent="0.3">
      <c r="A164" t="s">
        <v>285</v>
      </c>
      <c r="B164" t="s">
        <v>74</v>
      </c>
      <c r="C164">
        <v>2025</v>
      </c>
      <c r="D164" t="s">
        <v>13</v>
      </c>
      <c r="E164" t="s">
        <v>53</v>
      </c>
      <c r="F164">
        <v>11194.060000000001</v>
      </c>
      <c r="G164" t="s">
        <v>30</v>
      </c>
      <c r="H164" t="s">
        <v>74</v>
      </c>
    </row>
    <row r="165" spans="1:8" x14ac:dyDescent="0.3">
      <c r="A165" t="s">
        <v>286</v>
      </c>
      <c r="B165" t="s">
        <v>74</v>
      </c>
      <c r="C165">
        <v>2025</v>
      </c>
      <c r="D165" t="s">
        <v>13</v>
      </c>
      <c r="E165" t="s">
        <v>53</v>
      </c>
      <c r="F165">
        <v>14</v>
      </c>
      <c r="G165" t="s">
        <v>54</v>
      </c>
      <c r="H165" t="s">
        <v>74</v>
      </c>
    </row>
    <row r="166" spans="1:8" x14ac:dyDescent="0.3">
      <c r="A166" t="s">
        <v>287</v>
      </c>
      <c r="B166" t="s">
        <v>74</v>
      </c>
      <c r="C166">
        <v>2025</v>
      </c>
      <c r="D166" t="s">
        <v>13</v>
      </c>
      <c r="E166" t="s">
        <v>53</v>
      </c>
      <c r="F166">
        <v>156716.84000000003</v>
      </c>
      <c r="G166" t="s">
        <v>36</v>
      </c>
      <c r="H166" t="s">
        <v>74</v>
      </c>
    </row>
    <row r="167" spans="1:8" x14ac:dyDescent="0.3">
      <c r="A167" t="s">
        <v>2125</v>
      </c>
      <c r="B167" t="s">
        <v>74</v>
      </c>
      <c r="C167">
        <v>2025</v>
      </c>
      <c r="D167" t="s">
        <v>13</v>
      </c>
      <c r="E167" t="s">
        <v>63</v>
      </c>
      <c r="F167">
        <v>17336.28</v>
      </c>
      <c r="G167" t="s">
        <v>30</v>
      </c>
      <c r="H167" t="s">
        <v>74</v>
      </c>
    </row>
    <row r="168" spans="1:8" x14ac:dyDescent="0.3">
      <c r="A168" t="s">
        <v>2126</v>
      </c>
      <c r="B168" t="s">
        <v>74</v>
      </c>
      <c r="C168">
        <v>2025</v>
      </c>
      <c r="D168" t="s">
        <v>13</v>
      </c>
      <c r="E168" t="s">
        <v>63</v>
      </c>
      <c r="F168">
        <v>1</v>
      </c>
      <c r="G168" t="s">
        <v>54</v>
      </c>
      <c r="H168" t="s">
        <v>74</v>
      </c>
    </row>
    <row r="169" spans="1:8" x14ac:dyDescent="0.3">
      <c r="A169" t="s">
        <v>2127</v>
      </c>
      <c r="B169" t="s">
        <v>74</v>
      </c>
      <c r="C169">
        <v>2025</v>
      </c>
      <c r="D169" t="s">
        <v>13</v>
      </c>
      <c r="E169" t="s">
        <v>63</v>
      </c>
      <c r="F169">
        <v>17336.28</v>
      </c>
      <c r="G169" t="s">
        <v>36</v>
      </c>
      <c r="H169" t="s">
        <v>74</v>
      </c>
    </row>
    <row r="170" spans="1:8" x14ac:dyDescent="0.3">
      <c r="A170" t="s">
        <v>2128</v>
      </c>
      <c r="B170" t="s">
        <v>74</v>
      </c>
      <c r="C170">
        <v>2025</v>
      </c>
      <c r="D170" t="s">
        <v>13</v>
      </c>
      <c r="E170" t="s">
        <v>3</v>
      </c>
      <c r="F170">
        <v>11645.091481481481</v>
      </c>
      <c r="G170" t="s">
        <v>30</v>
      </c>
      <c r="H170" t="s">
        <v>74</v>
      </c>
    </row>
    <row r="171" spans="1:8" x14ac:dyDescent="0.3">
      <c r="A171" t="s">
        <v>2129</v>
      </c>
      <c r="B171" t="s">
        <v>74</v>
      </c>
      <c r="C171">
        <v>2025</v>
      </c>
      <c r="D171" t="s">
        <v>13</v>
      </c>
      <c r="E171" t="s">
        <v>3</v>
      </c>
      <c r="F171">
        <v>54</v>
      </c>
      <c r="G171" t="s">
        <v>54</v>
      </c>
      <c r="H171" t="s">
        <v>74</v>
      </c>
    </row>
    <row r="172" spans="1:8" x14ac:dyDescent="0.3">
      <c r="A172" t="s">
        <v>2130</v>
      </c>
      <c r="B172" t="s">
        <v>74</v>
      </c>
      <c r="C172">
        <v>2025</v>
      </c>
      <c r="D172" t="s">
        <v>13</v>
      </c>
      <c r="E172" t="s">
        <v>3</v>
      </c>
      <c r="F172">
        <v>628834.93999999994</v>
      </c>
      <c r="G172" t="s">
        <v>36</v>
      </c>
      <c r="H172" t="s">
        <v>74</v>
      </c>
    </row>
    <row r="173" spans="1:8" x14ac:dyDescent="0.3">
      <c r="A173" t="s">
        <v>288</v>
      </c>
      <c r="B173" t="s">
        <v>74</v>
      </c>
      <c r="C173">
        <v>2025</v>
      </c>
      <c r="D173" t="s">
        <v>13</v>
      </c>
      <c r="E173" t="s">
        <v>2</v>
      </c>
      <c r="F173">
        <v>9627.4067499999983</v>
      </c>
      <c r="G173" t="s">
        <v>30</v>
      </c>
      <c r="H173" t="s">
        <v>74</v>
      </c>
    </row>
    <row r="174" spans="1:8" x14ac:dyDescent="0.3">
      <c r="A174" t="s">
        <v>289</v>
      </c>
      <c r="B174" t="s">
        <v>74</v>
      </c>
      <c r="C174">
        <v>2025</v>
      </c>
      <c r="D174" t="s">
        <v>13</v>
      </c>
      <c r="E174" t="s">
        <v>2</v>
      </c>
      <c r="F174">
        <v>80</v>
      </c>
      <c r="G174" t="s">
        <v>54</v>
      </c>
      <c r="H174" t="s">
        <v>74</v>
      </c>
    </row>
    <row r="175" spans="1:8" x14ac:dyDescent="0.3">
      <c r="A175" t="s">
        <v>290</v>
      </c>
      <c r="B175" t="s">
        <v>74</v>
      </c>
      <c r="C175">
        <v>2025</v>
      </c>
      <c r="D175" t="s">
        <v>13</v>
      </c>
      <c r="E175" t="s">
        <v>2</v>
      </c>
      <c r="F175">
        <v>770192.53999999992</v>
      </c>
      <c r="G175" t="s">
        <v>36</v>
      </c>
      <c r="H175" t="s">
        <v>74</v>
      </c>
    </row>
    <row r="176" spans="1:8" x14ac:dyDescent="0.3">
      <c r="A176" t="s">
        <v>291</v>
      </c>
      <c r="B176" t="s">
        <v>74</v>
      </c>
      <c r="C176">
        <v>2025</v>
      </c>
      <c r="D176" t="s">
        <v>13</v>
      </c>
      <c r="E176" t="s">
        <v>1</v>
      </c>
      <c r="F176">
        <v>11559.710438596499</v>
      </c>
      <c r="G176" t="s">
        <v>30</v>
      </c>
      <c r="H176" t="s">
        <v>74</v>
      </c>
    </row>
    <row r="177" spans="1:8" x14ac:dyDescent="0.3">
      <c r="A177" t="s">
        <v>292</v>
      </c>
      <c r="B177" t="s">
        <v>74</v>
      </c>
      <c r="C177">
        <v>2025</v>
      </c>
      <c r="D177" t="s">
        <v>13</v>
      </c>
      <c r="E177" t="s">
        <v>1</v>
      </c>
      <c r="F177">
        <v>570</v>
      </c>
      <c r="G177" t="s">
        <v>54</v>
      </c>
      <c r="H177" t="s">
        <v>74</v>
      </c>
    </row>
    <row r="178" spans="1:8" x14ac:dyDescent="0.3">
      <c r="A178" t="s">
        <v>293</v>
      </c>
      <c r="B178" t="s">
        <v>74</v>
      </c>
      <c r="C178">
        <v>2025</v>
      </c>
      <c r="D178" t="s">
        <v>13</v>
      </c>
      <c r="E178" t="s">
        <v>1</v>
      </c>
      <c r="F178">
        <v>6589034.9500000048</v>
      </c>
      <c r="G178" t="s">
        <v>36</v>
      </c>
      <c r="H178" t="s">
        <v>74</v>
      </c>
    </row>
    <row r="179" spans="1:8" x14ac:dyDescent="0.3">
      <c r="A179" t="s">
        <v>294</v>
      </c>
      <c r="B179" t="s">
        <v>74</v>
      </c>
      <c r="C179">
        <v>2025</v>
      </c>
      <c r="D179" t="s">
        <v>13</v>
      </c>
      <c r="E179" t="s">
        <v>4</v>
      </c>
      <c r="F179">
        <v>11043.982157612851</v>
      </c>
      <c r="G179" t="s">
        <v>30</v>
      </c>
      <c r="H179" t="s">
        <v>74</v>
      </c>
    </row>
    <row r="180" spans="1:8" x14ac:dyDescent="0.3">
      <c r="A180" t="s">
        <v>295</v>
      </c>
      <c r="B180" t="s">
        <v>74</v>
      </c>
      <c r="C180">
        <v>2025</v>
      </c>
      <c r="D180" t="s">
        <v>13</v>
      </c>
      <c r="E180" t="s">
        <v>4</v>
      </c>
      <c r="F180">
        <v>1307</v>
      </c>
      <c r="G180" t="s">
        <v>54</v>
      </c>
      <c r="H180" t="s">
        <v>74</v>
      </c>
    </row>
    <row r="181" spans="1:8" x14ac:dyDescent="0.3">
      <c r="A181" t="s">
        <v>296</v>
      </c>
      <c r="B181" t="s">
        <v>74</v>
      </c>
      <c r="C181">
        <v>2025</v>
      </c>
      <c r="D181" t="s">
        <v>13</v>
      </c>
      <c r="E181" t="s">
        <v>4</v>
      </c>
      <c r="F181">
        <v>14434484.679999996</v>
      </c>
      <c r="G181" t="s">
        <v>36</v>
      </c>
      <c r="H181" t="s">
        <v>74</v>
      </c>
    </row>
    <row r="182" spans="1:8" x14ac:dyDescent="0.3">
      <c r="A182" t="s">
        <v>297</v>
      </c>
      <c r="B182" t="s">
        <v>74</v>
      </c>
      <c r="C182">
        <v>2025</v>
      </c>
      <c r="D182" t="s">
        <v>13</v>
      </c>
      <c r="E182" t="s">
        <v>38</v>
      </c>
      <c r="F182">
        <v>10667.294438775498</v>
      </c>
      <c r="G182" t="s">
        <v>30</v>
      </c>
      <c r="H182" t="s">
        <v>74</v>
      </c>
    </row>
    <row r="183" spans="1:8" x14ac:dyDescent="0.3">
      <c r="A183" t="s">
        <v>298</v>
      </c>
      <c r="B183" t="s">
        <v>74</v>
      </c>
      <c r="C183">
        <v>2025</v>
      </c>
      <c r="D183" t="s">
        <v>13</v>
      </c>
      <c r="E183" t="s">
        <v>38</v>
      </c>
      <c r="F183">
        <v>588</v>
      </c>
      <c r="G183" t="s">
        <v>54</v>
      </c>
      <c r="H183" t="s">
        <v>74</v>
      </c>
    </row>
    <row r="184" spans="1:8" x14ac:dyDescent="0.3">
      <c r="A184" t="s">
        <v>299</v>
      </c>
      <c r="B184" t="s">
        <v>74</v>
      </c>
      <c r="C184">
        <v>2025</v>
      </c>
      <c r="D184" t="s">
        <v>13</v>
      </c>
      <c r="E184" t="s">
        <v>38</v>
      </c>
      <c r="F184">
        <v>6272369.1299999924</v>
      </c>
      <c r="G184" t="s">
        <v>36</v>
      </c>
      <c r="H184" t="s">
        <v>74</v>
      </c>
    </row>
    <row r="185" spans="1:8" x14ac:dyDescent="0.3">
      <c r="A185" t="s">
        <v>2131</v>
      </c>
      <c r="B185" t="s">
        <v>75</v>
      </c>
      <c r="C185">
        <v>2025</v>
      </c>
      <c r="D185" t="s">
        <v>21</v>
      </c>
      <c r="E185" t="s">
        <v>63</v>
      </c>
      <c r="F185">
        <v>16384.965</v>
      </c>
      <c r="G185" t="s">
        <v>30</v>
      </c>
      <c r="H185" t="s">
        <v>75</v>
      </c>
    </row>
    <row r="186" spans="1:8" x14ac:dyDescent="0.3">
      <c r="A186" t="s">
        <v>2132</v>
      </c>
      <c r="B186" t="s">
        <v>75</v>
      </c>
      <c r="C186">
        <v>2025</v>
      </c>
      <c r="D186" t="s">
        <v>21</v>
      </c>
      <c r="E186" t="s">
        <v>63</v>
      </c>
      <c r="F186">
        <v>2</v>
      </c>
      <c r="G186" t="s">
        <v>54</v>
      </c>
      <c r="H186" t="s">
        <v>75</v>
      </c>
    </row>
    <row r="187" spans="1:8" x14ac:dyDescent="0.3">
      <c r="A187" t="s">
        <v>2133</v>
      </c>
      <c r="B187" t="s">
        <v>75</v>
      </c>
      <c r="C187">
        <v>2025</v>
      </c>
      <c r="D187" t="s">
        <v>21</v>
      </c>
      <c r="E187" t="s">
        <v>63</v>
      </c>
      <c r="F187">
        <v>32769.93</v>
      </c>
      <c r="G187" t="s">
        <v>36</v>
      </c>
      <c r="H187" t="s">
        <v>75</v>
      </c>
    </row>
    <row r="188" spans="1:8" x14ac:dyDescent="0.3">
      <c r="A188" t="s">
        <v>300</v>
      </c>
      <c r="B188" t="s">
        <v>75</v>
      </c>
      <c r="C188">
        <v>2025</v>
      </c>
      <c r="D188" t="s">
        <v>21</v>
      </c>
      <c r="E188" t="s">
        <v>3</v>
      </c>
      <c r="F188">
        <v>18484.079583333336</v>
      </c>
      <c r="G188" t="s">
        <v>30</v>
      </c>
      <c r="H188" t="s">
        <v>75</v>
      </c>
    </row>
    <row r="189" spans="1:8" x14ac:dyDescent="0.3">
      <c r="A189" t="s">
        <v>301</v>
      </c>
      <c r="B189" t="s">
        <v>75</v>
      </c>
      <c r="C189">
        <v>2025</v>
      </c>
      <c r="D189" t="s">
        <v>21</v>
      </c>
      <c r="E189" t="s">
        <v>3</v>
      </c>
      <c r="F189">
        <v>24</v>
      </c>
      <c r="G189" t="s">
        <v>54</v>
      </c>
      <c r="H189" t="s">
        <v>75</v>
      </c>
    </row>
    <row r="190" spans="1:8" x14ac:dyDescent="0.3">
      <c r="A190" t="s">
        <v>302</v>
      </c>
      <c r="B190" t="s">
        <v>75</v>
      </c>
      <c r="C190">
        <v>2025</v>
      </c>
      <c r="D190" t="s">
        <v>21</v>
      </c>
      <c r="E190" t="s">
        <v>3</v>
      </c>
      <c r="F190">
        <v>443617.91000000003</v>
      </c>
      <c r="G190" t="s">
        <v>36</v>
      </c>
      <c r="H190" t="s">
        <v>75</v>
      </c>
    </row>
    <row r="191" spans="1:8" x14ac:dyDescent="0.3">
      <c r="A191" t="s">
        <v>303</v>
      </c>
      <c r="B191" t="s">
        <v>75</v>
      </c>
      <c r="C191">
        <v>2025</v>
      </c>
      <c r="D191" t="s">
        <v>21</v>
      </c>
      <c r="E191" t="s">
        <v>2</v>
      </c>
      <c r="F191">
        <v>12799.714090909089</v>
      </c>
      <c r="G191" t="s">
        <v>30</v>
      </c>
      <c r="H191" t="s">
        <v>75</v>
      </c>
    </row>
    <row r="192" spans="1:8" x14ac:dyDescent="0.3">
      <c r="A192" t="s">
        <v>304</v>
      </c>
      <c r="B192" t="s">
        <v>75</v>
      </c>
      <c r="C192">
        <v>2025</v>
      </c>
      <c r="D192" t="s">
        <v>21</v>
      </c>
      <c r="E192" t="s">
        <v>2</v>
      </c>
      <c r="F192">
        <v>110</v>
      </c>
      <c r="G192" t="s">
        <v>54</v>
      </c>
      <c r="H192" t="s">
        <v>75</v>
      </c>
    </row>
    <row r="193" spans="1:8" x14ac:dyDescent="0.3">
      <c r="A193" t="s">
        <v>305</v>
      </c>
      <c r="B193" t="s">
        <v>75</v>
      </c>
      <c r="C193">
        <v>2025</v>
      </c>
      <c r="D193" t="s">
        <v>21</v>
      </c>
      <c r="E193" t="s">
        <v>2</v>
      </c>
      <c r="F193">
        <v>1407968.5499999998</v>
      </c>
      <c r="G193" t="s">
        <v>36</v>
      </c>
      <c r="H193" t="s">
        <v>75</v>
      </c>
    </row>
    <row r="194" spans="1:8" x14ac:dyDescent="0.3">
      <c r="A194" t="s">
        <v>306</v>
      </c>
      <c r="B194" t="s">
        <v>75</v>
      </c>
      <c r="C194">
        <v>2025</v>
      </c>
      <c r="D194" t="s">
        <v>21</v>
      </c>
      <c r="E194" t="s">
        <v>1</v>
      </c>
      <c r="F194">
        <v>15203.961715425528</v>
      </c>
      <c r="G194" t="s">
        <v>30</v>
      </c>
      <c r="H194" t="s">
        <v>75</v>
      </c>
    </row>
    <row r="195" spans="1:8" x14ac:dyDescent="0.3">
      <c r="A195" t="s">
        <v>307</v>
      </c>
      <c r="B195" t="s">
        <v>75</v>
      </c>
      <c r="C195">
        <v>2025</v>
      </c>
      <c r="D195" t="s">
        <v>21</v>
      </c>
      <c r="E195" t="s">
        <v>1</v>
      </c>
      <c r="F195">
        <v>752</v>
      </c>
      <c r="G195" t="s">
        <v>54</v>
      </c>
      <c r="H195" t="s">
        <v>75</v>
      </c>
    </row>
    <row r="196" spans="1:8" x14ac:dyDescent="0.3">
      <c r="A196" t="s">
        <v>308</v>
      </c>
      <c r="B196" t="s">
        <v>75</v>
      </c>
      <c r="C196">
        <v>2025</v>
      </c>
      <c r="D196" t="s">
        <v>21</v>
      </c>
      <c r="E196" t="s">
        <v>1</v>
      </c>
      <c r="F196">
        <v>11433379.209999997</v>
      </c>
      <c r="G196" t="s">
        <v>36</v>
      </c>
      <c r="H196" t="s">
        <v>75</v>
      </c>
    </row>
    <row r="197" spans="1:8" x14ac:dyDescent="0.3">
      <c r="A197" t="s">
        <v>309</v>
      </c>
      <c r="B197" t="s">
        <v>75</v>
      </c>
      <c r="C197">
        <v>2025</v>
      </c>
      <c r="D197" t="s">
        <v>21</v>
      </c>
      <c r="E197" t="s">
        <v>4</v>
      </c>
      <c r="F197">
        <v>13651.516859716858</v>
      </c>
      <c r="G197" t="s">
        <v>30</v>
      </c>
      <c r="H197" t="s">
        <v>75</v>
      </c>
    </row>
    <row r="198" spans="1:8" x14ac:dyDescent="0.3">
      <c r="A198" t="s">
        <v>310</v>
      </c>
      <c r="B198" t="s">
        <v>75</v>
      </c>
      <c r="C198">
        <v>2025</v>
      </c>
      <c r="D198" t="s">
        <v>21</v>
      </c>
      <c r="E198" t="s">
        <v>4</v>
      </c>
      <c r="F198">
        <v>1554</v>
      </c>
      <c r="G198" t="s">
        <v>54</v>
      </c>
      <c r="H198" t="s">
        <v>75</v>
      </c>
    </row>
    <row r="199" spans="1:8" x14ac:dyDescent="0.3">
      <c r="A199" t="s">
        <v>311</v>
      </c>
      <c r="B199" t="s">
        <v>75</v>
      </c>
      <c r="C199">
        <v>2025</v>
      </c>
      <c r="D199" t="s">
        <v>21</v>
      </c>
      <c r="E199" t="s">
        <v>4</v>
      </c>
      <c r="F199">
        <v>21214457.199999996</v>
      </c>
      <c r="G199" t="s">
        <v>36</v>
      </c>
      <c r="H199" t="s">
        <v>75</v>
      </c>
    </row>
    <row r="200" spans="1:8" x14ac:dyDescent="0.3">
      <c r="A200" t="s">
        <v>312</v>
      </c>
      <c r="B200" t="s">
        <v>75</v>
      </c>
      <c r="C200">
        <v>2025</v>
      </c>
      <c r="D200" t="s">
        <v>21</v>
      </c>
      <c r="E200" t="s">
        <v>38</v>
      </c>
      <c r="F200">
        <v>11856.93933933934</v>
      </c>
      <c r="G200" t="s">
        <v>30</v>
      </c>
      <c r="H200" t="s">
        <v>75</v>
      </c>
    </row>
    <row r="201" spans="1:8" x14ac:dyDescent="0.3">
      <c r="A201" t="s">
        <v>313</v>
      </c>
      <c r="B201" t="s">
        <v>75</v>
      </c>
      <c r="C201">
        <v>2025</v>
      </c>
      <c r="D201" t="s">
        <v>21</v>
      </c>
      <c r="E201" t="s">
        <v>38</v>
      </c>
      <c r="F201">
        <v>666</v>
      </c>
      <c r="G201" t="s">
        <v>54</v>
      </c>
      <c r="H201" t="s">
        <v>75</v>
      </c>
    </row>
    <row r="202" spans="1:8" x14ac:dyDescent="0.3">
      <c r="A202" t="s">
        <v>314</v>
      </c>
      <c r="B202" t="s">
        <v>75</v>
      </c>
      <c r="C202">
        <v>2025</v>
      </c>
      <c r="D202" t="s">
        <v>21</v>
      </c>
      <c r="E202" t="s">
        <v>38</v>
      </c>
      <c r="F202">
        <v>7896721.6000000006</v>
      </c>
      <c r="G202" t="s">
        <v>36</v>
      </c>
      <c r="H202" t="s">
        <v>75</v>
      </c>
    </row>
    <row r="203" spans="1:8" x14ac:dyDescent="0.3">
      <c r="A203" t="s">
        <v>2134</v>
      </c>
      <c r="B203" t="s">
        <v>76</v>
      </c>
      <c r="C203">
        <v>2025</v>
      </c>
      <c r="D203" t="s">
        <v>19</v>
      </c>
      <c r="E203" t="s">
        <v>63</v>
      </c>
      <c r="F203">
        <v>6716.81</v>
      </c>
      <c r="G203" t="s">
        <v>30</v>
      </c>
      <c r="H203" t="s">
        <v>76</v>
      </c>
    </row>
    <row r="204" spans="1:8" x14ac:dyDescent="0.3">
      <c r="A204" t="s">
        <v>2135</v>
      </c>
      <c r="B204" t="s">
        <v>76</v>
      </c>
      <c r="C204">
        <v>2025</v>
      </c>
      <c r="D204" t="s">
        <v>19</v>
      </c>
      <c r="E204" t="s">
        <v>63</v>
      </c>
      <c r="F204">
        <v>1</v>
      </c>
      <c r="G204" t="s">
        <v>54</v>
      </c>
      <c r="H204" t="s">
        <v>76</v>
      </c>
    </row>
    <row r="205" spans="1:8" x14ac:dyDescent="0.3">
      <c r="A205" t="s">
        <v>2136</v>
      </c>
      <c r="B205" t="s">
        <v>76</v>
      </c>
      <c r="C205">
        <v>2025</v>
      </c>
      <c r="D205" t="s">
        <v>19</v>
      </c>
      <c r="E205" t="s">
        <v>63</v>
      </c>
      <c r="F205">
        <v>6716.81</v>
      </c>
      <c r="G205" t="s">
        <v>36</v>
      </c>
      <c r="H205" t="s">
        <v>76</v>
      </c>
    </row>
    <row r="206" spans="1:8" x14ac:dyDescent="0.3">
      <c r="A206" t="s">
        <v>315</v>
      </c>
      <c r="B206" t="s">
        <v>76</v>
      </c>
      <c r="C206">
        <v>2025</v>
      </c>
      <c r="D206" t="s">
        <v>19</v>
      </c>
      <c r="E206" t="s">
        <v>3</v>
      </c>
      <c r="F206">
        <v>13550.956969696968</v>
      </c>
      <c r="G206" t="s">
        <v>30</v>
      </c>
      <c r="H206" t="s">
        <v>76</v>
      </c>
    </row>
    <row r="207" spans="1:8" x14ac:dyDescent="0.3">
      <c r="A207" t="s">
        <v>316</v>
      </c>
      <c r="B207" t="s">
        <v>76</v>
      </c>
      <c r="C207">
        <v>2025</v>
      </c>
      <c r="D207" t="s">
        <v>19</v>
      </c>
      <c r="E207" t="s">
        <v>3</v>
      </c>
      <c r="F207">
        <v>33</v>
      </c>
      <c r="G207" t="s">
        <v>54</v>
      </c>
      <c r="H207" t="s">
        <v>76</v>
      </c>
    </row>
    <row r="208" spans="1:8" x14ac:dyDescent="0.3">
      <c r="A208" t="s">
        <v>317</v>
      </c>
      <c r="B208" t="s">
        <v>76</v>
      </c>
      <c r="C208">
        <v>2025</v>
      </c>
      <c r="D208" t="s">
        <v>19</v>
      </c>
      <c r="E208" t="s">
        <v>3</v>
      </c>
      <c r="F208">
        <v>447181.57999999996</v>
      </c>
      <c r="G208" t="s">
        <v>36</v>
      </c>
      <c r="H208" t="s">
        <v>76</v>
      </c>
    </row>
    <row r="209" spans="1:8" x14ac:dyDescent="0.3">
      <c r="A209" t="s">
        <v>318</v>
      </c>
      <c r="B209" t="s">
        <v>76</v>
      </c>
      <c r="C209">
        <v>2025</v>
      </c>
      <c r="D209" t="s">
        <v>19</v>
      </c>
      <c r="E209" t="s">
        <v>2</v>
      </c>
      <c r="F209">
        <v>10321.864507042254</v>
      </c>
      <c r="G209" t="s">
        <v>30</v>
      </c>
      <c r="H209" t="s">
        <v>76</v>
      </c>
    </row>
    <row r="210" spans="1:8" x14ac:dyDescent="0.3">
      <c r="A210" t="s">
        <v>319</v>
      </c>
      <c r="B210" t="s">
        <v>76</v>
      </c>
      <c r="C210">
        <v>2025</v>
      </c>
      <c r="D210" t="s">
        <v>19</v>
      </c>
      <c r="E210" t="s">
        <v>2</v>
      </c>
      <c r="F210">
        <v>213</v>
      </c>
      <c r="G210" t="s">
        <v>54</v>
      </c>
      <c r="H210" t="s">
        <v>76</v>
      </c>
    </row>
    <row r="211" spans="1:8" x14ac:dyDescent="0.3">
      <c r="A211" t="s">
        <v>320</v>
      </c>
      <c r="B211" t="s">
        <v>76</v>
      </c>
      <c r="C211">
        <v>2025</v>
      </c>
      <c r="D211" t="s">
        <v>19</v>
      </c>
      <c r="E211" t="s">
        <v>2</v>
      </c>
      <c r="F211">
        <v>2198557.14</v>
      </c>
      <c r="G211" t="s">
        <v>36</v>
      </c>
      <c r="H211" t="s">
        <v>76</v>
      </c>
    </row>
    <row r="212" spans="1:8" x14ac:dyDescent="0.3">
      <c r="A212" t="s">
        <v>321</v>
      </c>
      <c r="B212" t="s">
        <v>76</v>
      </c>
      <c r="C212">
        <v>2025</v>
      </c>
      <c r="D212" t="s">
        <v>19</v>
      </c>
      <c r="E212" t="s">
        <v>1</v>
      </c>
      <c r="F212">
        <v>14885.582494296585</v>
      </c>
      <c r="G212" t="s">
        <v>30</v>
      </c>
      <c r="H212" t="s">
        <v>76</v>
      </c>
    </row>
    <row r="213" spans="1:8" x14ac:dyDescent="0.3">
      <c r="A213" t="s">
        <v>322</v>
      </c>
      <c r="B213" t="s">
        <v>76</v>
      </c>
      <c r="C213">
        <v>2025</v>
      </c>
      <c r="D213" t="s">
        <v>19</v>
      </c>
      <c r="E213" t="s">
        <v>1</v>
      </c>
      <c r="F213">
        <v>1315</v>
      </c>
      <c r="G213" t="s">
        <v>54</v>
      </c>
      <c r="H213" t="s">
        <v>76</v>
      </c>
    </row>
    <row r="214" spans="1:8" x14ac:dyDescent="0.3">
      <c r="A214" t="s">
        <v>323</v>
      </c>
      <c r="B214" t="s">
        <v>76</v>
      </c>
      <c r="C214">
        <v>2025</v>
      </c>
      <c r="D214" t="s">
        <v>19</v>
      </c>
      <c r="E214" t="s">
        <v>1</v>
      </c>
      <c r="F214">
        <v>19574540.980000008</v>
      </c>
      <c r="G214" t="s">
        <v>36</v>
      </c>
      <c r="H214" t="s">
        <v>76</v>
      </c>
    </row>
    <row r="215" spans="1:8" x14ac:dyDescent="0.3">
      <c r="A215" t="s">
        <v>324</v>
      </c>
      <c r="B215" t="s">
        <v>76</v>
      </c>
      <c r="C215">
        <v>2025</v>
      </c>
      <c r="D215" t="s">
        <v>19</v>
      </c>
      <c r="E215" t="s">
        <v>4</v>
      </c>
      <c r="F215">
        <v>12674.29338474364</v>
      </c>
      <c r="G215" t="s">
        <v>30</v>
      </c>
      <c r="H215" t="s">
        <v>76</v>
      </c>
    </row>
    <row r="216" spans="1:8" x14ac:dyDescent="0.3">
      <c r="A216" t="s">
        <v>325</v>
      </c>
      <c r="B216" t="s">
        <v>76</v>
      </c>
      <c r="C216">
        <v>2025</v>
      </c>
      <c r="D216" t="s">
        <v>19</v>
      </c>
      <c r="E216" t="s">
        <v>4</v>
      </c>
      <c r="F216">
        <v>2399</v>
      </c>
      <c r="G216" t="s">
        <v>54</v>
      </c>
      <c r="H216" t="s">
        <v>76</v>
      </c>
    </row>
    <row r="217" spans="1:8" x14ac:dyDescent="0.3">
      <c r="A217" t="s">
        <v>326</v>
      </c>
      <c r="B217" t="s">
        <v>76</v>
      </c>
      <c r="C217">
        <v>2025</v>
      </c>
      <c r="D217" t="s">
        <v>19</v>
      </c>
      <c r="E217" t="s">
        <v>4</v>
      </c>
      <c r="F217">
        <v>30405629.829999991</v>
      </c>
      <c r="G217" t="s">
        <v>36</v>
      </c>
      <c r="H217" t="s">
        <v>76</v>
      </c>
    </row>
    <row r="218" spans="1:8" x14ac:dyDescent="0.3">
      <c r="A218" t="s">
        <v>327</v>
      </c>
      <c r="B218" t="s">
        <v>76</v>
      </c>
      <c r="C218">
        <v>2025</v>
      </c>
      <c r="D218" t="s">
        <v>19</v>
      </c>
      <c r="E218" t="s">
        <v>38</v>
      </c>
      <c r="F218">
        <v>9771.3659737156322</v>
      </c>
      <c r="G218" t="s">
        <v>30</v>
      </c>
      <c r="H218" t="s">
        <v>76</v>
      </c>
    </row>
    <row r="219" spans="1:8" x14ac:dyDescent="0.3">
      <c r="A219" t="s">
        <v>328</v>
      </c>
      <c r="B219" t="s">
        <v>76</v>
      </c>
      <c r="C219">
        <v>2025</v>
      </c>
      <c r="D219" t="s">
        <v>19</v>
      </c>
      <c r="E219" t="s">
        <v>38</v>
      </c>
      <c r="F219">
        <v>837</v>
      </c>
      <c r="G219" t="s">
        <v>54</v>
      </c>
      <c r="H219" t="s">
        <v>76</v>
      </c>
    </row>
    <row r="220" spans="1:8" x14ac:dyDescent="0.3">
      <c r="A220" t="s">
        <v>329</v>
      </c>
      <c r="B220" t="s">
        <v>76</v>
      </c>
      <c r="C220">
        <v>2025</v>
      </c>
      <c r="D220" t="s">
        <v>19</v>
      </c>
      <c r="E220" t="s">
        <v>38</v>
      </c>
      <c r="F220">
        <v>8178633.3199999845</v>
      </c>
      <c r="G220" t="s">
        <v>36</v>
      </c>
      <c r="H220" t="s">
        <v>76</v>
      </c>
    </row>
    <row r="221" spans="1:8" x14ac:dyDescent="0.3">
      <c r="A221" t="s">
        <v>2137</v>
      </c>
      <c r="B221" t="s">
        <v>77</v>
      </c>
      <c r="C221">
        <v>2025</v>
      </c>
      <c r="D221" t="s">
        <v>49</v>
      </c>
      <c r="E221" t="s">
        <v>63</v>
      </c>
      <c r="F221">
        <v>4946.91</v>
      </c>
      <c r="G221" t="s">
        <v>30</v>
      </c>
      <c r="H221" t="s">
        <v>77</v>
      </c>
    </row>
    <row r="222" spans="1:8" x14ac:dyDescent="0.3">
      <c r="A222" t="s">
        <v>2138</v>
      </c>
      <c r="B222" t="s">
        <v>77</v>
      </c>
      <c r="C222">
        <v>2025</v>
      </c>
      <c r="D222" t="s">
        <v>49</v>
      </c>
      <c r="E222" t="s">
        <v>63</v>
      </c>
      <c r="F222">
        <v>1</v>
      </c>
      <c r="G222" t="s">
        <v>54</v>
      </c>
      <c r="H222" t="s">
        <v>77</v>
      </c>
    </row>
    <row r="223" spans="1:8" x14ac:dyDescent="0.3">
      <c r="A223" t="s">
        <v>2139</v>
      </c>
      <c r="B223" t="s">
        <v>77</v>
      </c>
      <c r="C223">
        <v>2025</v>
      </c>
      <c r="D223" t="s">
        <v>49</v>
      </c>
      <c r="E223" t="s">
        <v>63</v>
      </c>
      <c r="F223">
        <v>4946.91</v>
      </c>
      <c r="G223" t="s">
        <v>36</v>
      </c>
      <c r="H223" t="s">
        <v>77</v>
      </c>
    </row>
    <row r="224" spans="1:8" x14ac:dyDescent="0.3">
      <c r="A224" t="s">
        <v>330</v>
      </c>
      <c r="B224" t="s">
        <v>77</v>
      </c>
      <c r="C224">
        <v>2025</v>
      </c>
      <c r="D224" t="s">
        <v>49</v>
      </c>
      <c r="E224" t="s">
        <v>3</v>
      </c>
      <c r="F224">
        <v>15664.093272727272</v>
      </c>
      <c r="G224" t="s">
        <v>30</v>
      </c>
      <c r="H224" t="s">
        <v>77</v>
      </c>
    </row>
    <row r="225" spans="1:8" x14ac:dyDescent="0.3">
      <c r="A225" t="s">
        <v>331</v>
      </c>
      <c r="B225" t="s">
        <v>77</v>
      </c>
      <c r="C225">
        <v>2025</v>
      </c>
      <c r="D225" t="s">
        <v>49</v>
      </c>
      <c r="E225" t="s">
        <v>3</v>
      </c>
      <c r="F225">
        <v>55</v>
      </c>
      <c r="G225" t="s">
        <v>54</v>
      </c>
      <c r="H225" t="s">
        <v>77</v>
      </c>
    </row>
    <row r="226" spans="1:8" x14ac:dyDescent="0.3">
      <c r="A226" t="s">
        <v>332</v>
      </c>
      <c r="B226" t="s">
        <v>77</v>
      </c>
      <c r="C226">
        <v>2025</v>
      </c>
      <c r="D226" t="s">
        <v>49</v>
      </c>
      <c r="E226" t="s">
        <v>3</v>
      </c>
      <c r="F226">
        <v>861525.13</v>
      </c>
      <c r="G226" t="s">
        <v>36</v>
      </c>
      <c r="H226" t="s">
        <v>77</v>
      </c>
    </row>
    <row r="227" spans="1:8" x14ac:dyDescent="0.3">
      <c r="A227" t="s">
        <v>333</v>
      </c>
      <c r="B227" t="s">
        <v>77</v>
      </c>
      <c r="C227">
        <v>2025</v>
      </c>
      <c r="D227" t="s">
        <v>49</v>
      </c>
      <c r="E227" t="s">
        <v>2</v>
      </c>
      <c r="F227">
        <v>9272.8439361702112</v>
      </c>
      <c r="G227" t="s">
        <v>30</v>
      </c>
      <c r="H227" t="s">
        <v>77</v>
      </c>
    </row>
    <row r="228" spans="1:8" x14ac:dyDescent="0.3">
      <c r="A228" t="s">
        <v>334</v>
      </c>
      <c r="B228" t="s">
        <v>77</v>
      </c>
      <c r="C228">
        <v>2025</v>
      </c>
      <c r="D228" t="s">
        <v>49</v>
      </c>
      <c r="E228" t="s">
        <v>2</v>
      </c>
      <c r="F228">
        <v>282</v>
      </c>
      <c r="G228" t="s">
        <v>54</v>
      </c>
      <c r="H228" t="s">
        <v>77</v>
      </c>
    </row>
    <row r="229" spans="1:8" x14ac:dyDescent="0.3">
      <c r="A229" t="s">
        <v>335</v>
      </c>
      <c r="B229" t="s">
        <v>77</v>
      </c>
      <c r="C229">
        <v>2025</v>
      </c>
      <c r="D229" t="s">
        <v>49</v>
      </c>
      <c r="E229" t="s">
        <v>2</v>
      </c>
      <c r="F229">
        <v>2614941.9899999998</v>
      </c>
      <c r="G229" t="s">
        <v>36</v>
      </c>
      <c r="H229" t="s">
        <v>77</v>
      </c>
    </row>
    <row r="230" spans="1:8" x14ac:dyDescent="0.3">
      <c r="A230" t="s">
        <v>336</v>
      </c>
      <c r="B230" t="s">
        <v>77</v>
      </c>
      <c r="C230">
        <v>2025</v>
      </c>
      <c r="D230" t="s">
        <v>49</v>
      </c>
      <c r="E230" t="s">
        <v>1</v>
      </c>
      <c r="F230">
        <v>14134.206763372615</v>
      </c>
      <c r="G230" t="s">
        <v>30</v>
      </c>
      <c r="H230" t="s">
        <v>77</v>
      </c>
    </row>
    <row r="231" spans="1:8" x14ac:dyDescent="0.3">
      <c r="A231" t="s">
        <v>337</v>
      </c>
      <c r="B231" t="s">
        <v>77</v>
      </c>
      <c r="C231">
        <v>2025</v>
      </c>
      <c r="D231" t="s">
        <v>49</v>
      </c>
      <c r="E231" t="s">
        <v>1</v>
      </c>
      <c r="F231">
        <v>1103</v>
      </c>
      <c r="G231" t="s">
        <v>54</v>
      </c>
      <c r="H231" t="s">
        <v>77</v>
      </c>
    </row>
    <row r="232" spans="1:8" x14ac:dyDescent="0.3">
      <c r="A232" t="s">
        <v>338</v>
      </c>
      <c r="B232" t="s">
        <v>77</v>
      </c>
      <c r="C232">
        <v>2025</v>
      </c>
      <c r="D232" t="s">
        <v>49</v>
      </c>
      <c r="E232" t="s">
        <v>1</v>
      </c>
      <c r="F232">
        <v>15590030.059999993</v>
      </c>
      <c r="G232" t="s">
        <v>36</v>
      </c>
      <c r="H232" t="s">
        <v>77</v>
      </c>
    </row>
    <row r="233" spans="1:8" x14ac:dyDescent="0.3">
      <c r="A233" t="s">
        <v>339</v>
      </c>
      <c r="B233" t="s">
        <v>77</v>
      </c>
      <c r="C233">
        <v>2025</v>
      </c>
      <c r="D233" t="s">
        <v>49</v>
      </c>
      <c r="E233" t="s">
        <v>4</v>
      </c>
      <c r="F233">
        <v>12650.414154852777</v>
      </c>
      <c r="G233" t="s">
        <v>30</v>
      </c>
      <c r="H233" t="s">
        <v>77</v>
      </c>
    </row>
    <row r="234" spans="1:8" x14ac:dyDescent="0.3">
      <c r="A234" t="s">
        <v>340</v>
      </c>
      <c r="B234" t="s">
        <v>77</v>
      </c>
      <c r="C234">
        <v>2025</v>
      </c>
      <c r="D234" t="s">
        <v>49</v>
      </c>
      <c r="E234" t="s">
        <v>4</v>
      </c>
      <c r="F234">
        <v>1834</v>
      </c>
      <c r="G234" t="s">
        <v>54</v>
      </c>
      <c r="H234" t="s">
        <v>77</v>
      </c>
    </row>
    <row r="235" spans="1:8" x14ac:dyDescent="0.3">
      <c r="A235" t="s">
        <v>341</v>
      </c>
      <c r="B235" t="s">
        <v>77</v>
      </c>
      <c r="C235">
        <v>2025</v>
      </c>
      <c r="D235" t="s">
        <v>49</v>
      </c>
      <c r="E235" t="s">
        <v>4</v>
      </c>
      <c r="F235">
        <v>23200859.559999991</v>
      </c>
      <c r="G235" t="s">
        <v>36</v>
      </c>
      <c r="H235" t="s">
        <v>77</v>
      </c>
    </row>
    <row r="236" spans="1:8" x14ac:dyDescent="0.3">
      <c r="A236" t="s">
        <v>342</v>
      </c>
      <c r="B236" t="s">
        <v>77</v>
      </c>
      <c r="C236">
        <v>2025</v>
      </c>
      <c r="D236" t="s">
        <v>49</v>
      </c>
      <c r="E236" t="s">
        <v>38</v>
      </c>
      <c r="F236">
        <v>10507.418498727739</v>
      </c>
      <c r="G236" t="s">
        <v>30</v>
      </c>
      <c r="H236" t="s">
        <v>77</v>
      </c>
    </row>
    <row r="237" spans="1:8" x14ac:dyDescent="0.3">
      <c r="A237" t="s">
        <v>343</v>
      </c>
      <c r="B237" t="s">
        <v>77</v>
      </c>
      <c r="C237">
        <v>2025</v>
      </c>
      <c r="D237" t="s">
        <v>49</v>
      </c>
      <c r="E237" t="s">
        <v>38</v>
      </c>
      <c r="F237">
        <v>393</v>
      </c>
      <c r="G237" t="s">
        <v>54</v>
      </c>
      <c r="H237" t="s">
        <v>77</v>
      </c>
    </row>
    <row r="238" spans="1:8" x14ac:dyDescent="0.3">
      <c r="A238" t="s">
        <v>344</v>
      </c>
      <c r="B238" t="s">
        <v>77</v>
      </c>
      <c r="C238">
        <v>2025</v>
      </c>
      <c r="D238" t="s">
        <v>49</v>
      </c>
      <c r="E238" t="s">
        <v>38</v>
      </c>
      <c r="F238">
        <v>4129415.4700000011</v>
      </c>
      <c r="G238" t="s">
        <v>36</v>
      </c>
      <c r="H238" t="s">
        <v>77</v>
      </c>
    </row>
    <row r="239" spans="1:8" x14ac:dyDescent="0.3">
      <c r="A239" t="s">
        <v>345</v>
      </c>
      <c r="B239" t="s">
        <v>78</v>
      </c>
      <c r="C239">
        <v>2025</v>
      </c>
      <c r="D239" t="s">
        <v>22</v>
      </c>
      <c r="E239" t="s">
        <v>2</v>
      </c>
      <c r="F239">
        <v>5088.5417741935498</v>
      </c>
      <c r="G239" t="s">
        <v>30</v>
      </c>
      <c r="H239" t="s">
        <v>78</v>
      </c>
    </row>
    <row r="240" spans="1:8" x14ac:dyDescent="0.3">
      <c r="A240" t="s">
        <v>346</v>
      </c>
      <c r="B240" t="s">
        <v>78</v>
      </c>
      <c r="C240">
        <v>2025</v>
      </c>
      <c r="D240" t="s">
        <v>22</v>
      </c>
      <c r="E240" t="s">
        <v>2</v>
      </c>
      <c r="F240">
        <v>62</v>
      </c>
      <c r="G240" t="s">
        <v>54</v>
      </c>
      <c r="H240" t="s">
        <v>78</v>
      </c>
    </row>
    <row r="241" spans="1:8" x14ac:dyDescent="0.3">
      <c r="A241" t="s">
        <v>347</v>
      </c>
      <c r="B241" t="s">
        <v>78</v>
      </c>
      <c r="C241">
        <v>2025</v>
      </c>
      <c r="D241" t="s">
        <v>22</v>
      </c>
      <c r="E241" t="s">
        <v>2</v>
      </c>
      <c r="F241">
        <v>315489.59000000008</v>
      </c>
      <c r="G241" t="s">
        <v>36</v>
      </c>
      <c r="H241" t="s">
        <v>78</v>
      </c>
    </row>
    <row r="242" spans="1:8" x14ac:dyDescent="0.3">
      <c r="A242" t="s">
        <v>348</v>
      </c>
      <c r="B242" t="s">
        <v>78</v>
      </c>
      <c r="C242">
        <v>2025</v>
      </c>
      <c r="D242" t="s">
        <v>22</v>
      </c>
      <c r="E242" t="s">
        <v>1</v>
      </c>
      <c r="F242">
        <v>13950.864134438316</v>
      </c>
      <c r="G242" t="s">
        <v>30</v>
      </c>
      <c r="H242" t="s">
        <v>78</v>
      </c>
    </row>
    <row r="243" spans="1:8" x14ac:dyDescent="0.3">
      <c r="A243" t="s">
        <v>349</v>
      </c>
      <c r="B243" t="s">
        <v>78</v>
      </c>
      <c r="C243">
        <v>2025</v>
      </c>
      <c r="D243" t="s">
        <v>22</v>
      </c>
      <c r="E243" t="s">
        <v>1</v>
      </c>
      <c r="F243">
        <v>1086</v>
      </c>
      <c r="G243" t="s">
        <v>54</v>
      </c>
      <c r="H243" t="s">
        <v>78</v>
      </c>
    </row>
    <row r="244" spans="1:8" x14ac:dyDescent="0.3">
      <c r="A244" t="s">
        <v>350</v>
      </c>
      <c r="B244" t="s">
        <v>78</v>
      </c>
      <c r="C244">
        <v>2025</v>
      </c>
      <c r="D244" t="s">
        <v>22</v>
      </c>
      <c r="E244" t="s">
        <v>1</v>
      </c>
      <c r="F244">
        <v>15150638.45000001</v>
      </c>
      <c r="G244" t="s">
        <v>36</v>
      </c>
      <c r="H244" t="s">
        <v>78</v>
      </c>
    </row>
    <row r="245" spans="1:8" x14ac:dyDescent="0.3">
      <c r="A245" t="s">
        <v>351</v>
      </c>
      <c r="B245" t="s">
        <v>78</v>
      </c>
      <c r="C245">
        <v>2025</v>
      </c>
      <c r="D245" t="s">
        <v>22</v>
      </c>
      <c r="E245" t="s">
        <v>4</v>
      </c>
      <c r="F245">
        <v>12971.638063127699</v>
      </c>
      <c r="G245" t="s">
        <v>30</v>
      </c>
      <c r="H245" t="s">
        <v>78</v>
      </c>
    </row>
    <row r="246" spans="1:8" x14ac:dyDescent="0.3">
      <c r="A246" t="s">
        <v>352</v>
      </c>
      <c r="B246" t="s">
        <v>78</v>
      </c>
      <c r="C246">
        <v>2025</v>
      </c>
      <c r="D246" t="s">
        <v>22</v>
      </c>
      <c r="E246" t="s">
        <v>4</v>
      </c>
      <c r="F246">
        <v>1394</v>
      </c>
      <c r="G246" t="s">
        <v>54</v>
      </c>
      <c r="H246" t="s">
        <v>78</v>
      </c>
    </row>
    <row r="247" spans="1:8" x14ac:dyDescent="0.3">
      <c r="A247" t="s">
        <v>353</v>
      </c>
      <c r="B247" t="s">
        <v>78</v>
      </c>
      <c r="C247">
        <v>2025</v>
      </c>
      <c r="D247" t="s">
        <v>22</v>
      </c>
      <c r="E247" t="s">
        <v>4</v>
      </c>
      <c r="F247">
        <v>18082463.460000012</v>
      </c>
      <c r="G247" t="s">
        <v>36</v>
      </c>
      <c r="H247" t="s">
        <v>78</v>
      </c>
    </row>
    <row r="248" spans="1:8" x14ac:dyDescent="0.3">
      <c r="A248" t="s">
        <v>354</v>
      </c>
      <c r="B248" t="s">
        <v>78</v>
      </c>
      <c r="C248">
        <v>2025</v>
      </c>
      <c r="D248" t="s">
        <v>22</v>
      </c>
      <c r="E248" t="s">
        <v>38</v>
      </c>
      <c r="F248">
        <v>10635.509837398378</v>
      </c>
      <c r="G248" t="s">
        <v>30</v>
      </c>
      <c r="H248" t="s">
        <v>78</v>
      </c>
    </row>
    <row r="249" spans="1:8" x14ac:dyDescent="0.3">
      <c r="A249" t="s">
        <v>355</v>
      </c>
      <c r="B249" t="s">
        <v>78</v>
      </c>
      <c r="C249">
        <v>2025</v>
      </c>
      <c r="D249" t="s">
        <v>22</v>
      </c>
      <c r="E249" t="s">
        <v>38</v>
      </c>
      <c r="F249">
        <v>246</v>
      </c>
      <c r="G249" t="s">
        <v>54</v>
      </c>
      <c r="H249" t="s">
        <v>78</v>
      </c>
    </row>
    <row r="250" spans="1:8" x14ac:dyDescent="0.3">
      <c r="A250" t="s">
        <v>356</v>
      </c>
      <c r="B250" t="s">
        <v>78</v>
      </c>
      <c r="C250">
        <v>2025</v>
      </c>
      <c r="D250" t="s">
        <v>22</v>
      </c>
      <c r="E250" t="s">
        <v>38</v>
      </c>
      <c r="F250">
        <v>2616335.4200000009</v>
      </c>
      <c r="G250" t="s">
        <v>36</v>
      </c>
      <c r="H250" t="s">
        <v>78</v>
      </c>
    </row>
    <row r="251" spans="1:8" x14ac:dyDescent="0.3">
      <c r="A251" t="s">
        <v>637</v>
      </c>
      <c r="B251" t="s">
        <v>108</v>
      </c>
      <c r="C251">
        <v>2025</v>
      </c>
      <c r="D251" t="s">
        <v>116</v>
      </c>
      <c r="E251" t="s">
        <v>3</v>
      </c>
      <c r="F251">
        <v>3530.9799999999996</v>
      </c>
      <c r="G251" t="s">
        <v>30</v>
      </c>
      <c r="H251" t="s">
        <v>108</v>
      </c>
    </row>
    <row r="252" spans="1:8" x14ac:dyDescent="0.3">
      <c r="A252" t="s">
        <v>635</v>
      </c>
      <c r="B252" t="s">
        <v>108</v>
      </c>
      <c r="C252">
        <v>2025</v>
      </c>
      <c r="D252" t="s">
        <v>116</v>
      </c>
      <c r="E252" t="s">
        <v>3</v>
      </c>
      <c r="F252">
        <v>1</v>
      </c>
      <c r="G252" t="s">
        <v>54</v>
      </c>
      <c r="H252" t="s">
        <v>108</v>
      </c>
    </row>
    <row r="253" spans="1:8" x14ac:dyDescent="0.3">
      <c r="A253" t="s">
        <v>638</v>
      </c>
      <c r="B253" t="s">
        <v>108</v>
      </c>
      <c r="C253">
        <v>2025</v>
      </c>
      <c r="D253" t="s">
        <v>116</v>
      </c>
      <c r="E253" t="s">
        <v>3</v>
      </c>
      <c r="F253">
        <v>3530.9799999999996</v>
      </c>
      <c r="G253" t="s">
        <v>36</v>
      </c>
      <c r="H253" t="s">
        <v>108</v>
      </c>
    </row>
    <row r="254" spans="1:8" x14ac:dyDescent="0.3">
      <c r="A254" t="s">
        <v>357</v>
      </c>
      <c r="B254" t="s">
        <v>108</v>
      </c>
      <c r="C254">
        <v>2025</v>
      </c>
      <c r="D254" t="s">
        <v>116</v>
      </c>
      <c r="E254" t="s">
        <v>2</v>
      </c>
      <c r="F254">
        <v>5534.1997244094473</v>
      </c>
      <c r="G254" t="s">
        <v>30</v>
      </c>
      <c r="H254" t="s">
        <v>108</v>
      </c>
    </row>
    <row r="255" spans="1:8" x14ac:dyDescent="0.3">
      <c r="A255" t="s">
        <v>358</v>
      </c>
      <c r="B255" t="s">
        <v>108</v>
      </c>
      <c r="C255">
        <v>2025</v>
      </c>
      <c r="D255" t="s">
        <v>116</v>
      </c>
      <c r="E255" t="s">
        <v>2</v>
      </c>
      <c r="F255">
        <v>254</v>
      </c>
      <c r="G255" t="s">
        <v>54</v>
      </c>
      <c r="H255" t="s">
        <v>108</v>
      </c>
    </row>
    <row r="256" spans="1:8" x14ac:dyDescent="0.3">
      <c r="A256" t="s">
        <v>359</v>
      </c>
      <c r="B256" t="s">
        <v>108</v>
      </c>
      <c r="C256">
        <v>2025</v>
      </c>
      <c r="D256" t="s">
        <v>116</v>
      </c>
      <c r="E256" t="s">
        <v>2</v>
      </c>
      <c r="F256">
        <v>1405686.7299999995</v>
      </c>
      <c r="G256" t="s">
        <v>36</v>
      </c>
      <c r="H256" t="s">
        <v>108</v>
      </c>
    </row>
    <row r="257" spans="1:8" x14ac:dyDescent="0.3">
      <c r="A257" t="s">
        <v>360</v>
      </c>
      <c r="B257" t="s">
        <v>108</v>
      </c>
      <c r="C257">
        <v>2025</v>
      </c>
      <c r="D257" t="s">
        <v>116</v>
      </c>
      <c r="E257" t="s">
        <v>1</v>
      </c>
      <c r="F257">
        <v>10839.136104033996</v>
      </c>
      <c r="G257" t="s">
        <v>30</v>
      </c>
      <c r="H257" t="s">
        <v>108</v>
      </c>
    </row>
    <row r="258" spans="1:8" x14ac:dyDescent="0.3">
      <c r="A258" t="s">
        <v>361</v>
      </c>
      <c r="B258" t="s">
        <v>108</v>
      </c>
      <c r="C258">
        <v>2025</v>
      </c>
      <c r="D258" t="s">
        <v>116</v>
      </c>
      <c r="E258" t="s">
        <v>1</v>
      </c>
      <c r="F258">
        <v>942</v>
      </c>
      <c r="G258" t="s">
        <v>54</v>
      </c>
      <c r="H258" t="s">
        <v>108</v>
      </c>
    </row>
    <row r="259" spans="1:8" x14ac:dyDescent="0.3">
      <c r="A259" t="s">
        <v>362</v>
      </c>
      <c r="B259" t="s">
        <v>108</v>
      </c>
      <c r="C259">
        <v>2025</v>
      </c>
      <c r="D259" t="s">
        <v>116</v>
      </c>
      <c r="E259" t="s">
        <v>1</v>
      </c>
      <c r="F259">
        <v>10210466.210000025</v>
      </c>
      <c r="G259" t="s">
        <v>36</v>
      </c>
      <c r="H259" t="s">
        <v>108</v>
      </c>
    </row>
    <row r="260" spans="1:8" x14ac:dyDescent="0.3">
      <c r="A260" t="s">
        <v>363</v>
      </c>
      <c r="B260" t="s">
        <v>108</v>
      </c>
      <c r="C260">
        <v>2025</v>
      </c>
      <c r="D260" t="s">
        <v>116</v>
      </c>
      <c r="E260" t="s">
        <v>4</v>
      </c>
      <c r="F260">
        <v>9707.3382790309315</v>
      </c>
      <c r="G260" t="s">
        <v>30</v>
      </c>
      <c r="H260" t="s">
        <v>108</v>
      </c>
    </row>
    <row r="261" spans="1:8" x14ac:dyDescent="0.3">
      <c r="A261" t="s">
        <v>364</v>
      </c>
      <c r="B261" t="s">
        <v>108</v>
      </c>
      <c r="C261">
        <v>2025</v>
      </c>
      <c r="D261" t="s">
        <v>116</v>
      </c>
      <c r="E261" t="s">
        <v>4</v>
      </c>
      <c r="F261">
        <v>1197</v>
      </c>
      <c r="G261" t="s">
        <v>54</v>
      </c>
      <c r="H261" t="s">
        <v>108</v>
      </c>
    </row>
    <row r="262" spans="1:8" x14ac:dyDescent="0.3">
      <c r="A262" t="s">
        <v>365</v>
      </c>
      <c r="B262" t="s">
        <v>108</v>
      </c>
      <c r="C262">
        <v>2025</v>
      </c>
      <c r="D262" t="s">
        <v>116</v>
      </c>
      <c r="E262" t="s">
        <v>4</v>
      </c>
      <c r="F262">
        <v>11619683.920000024</v>
      </c>
      <c r="G262" t="s">
        <v>36</v>
      </c>
      <c r="H262" t="s">
        <v>108</v>
      </c>
    </row>
    <row r="263" spans="1:8" x14ac:dyDescent="0.3">
      <c r="A263" t="s">
        <v>639</v>
      </c>
      <c r="B263" t="s">
        <v>114</v>
      </c>
      <c r="C263">
        <v>2025</v>
      </c>
      <c r="D263" t="s">
        <v>113</v>
      </c>
      <c r="E263" t="s">
        <v>3</v>
      </c>
      <c r="F263">
        <v>6185.84</v>
      </c>
      <c r="G263" t="s">
        <v>30</v>
      </c>
      <c r="H263" t="s">
        <v>114</v>
      </c>
    </row>
    <row r="264" spans="1:8" x14ac:dyDescent="0.3">
      <c r="A264" t="s">
        <v>636</v>
      </c>
      <c r="B264" t="s">
        <v>114</v>
      </c>
      <c r="C264">
        <v>2025</v>
      </c>
      <c r="D264" t="s">
        <v>113</v>
      </c>
      <c r="E264" t="s">
        <v>3</v>
      </c>
      <c r="F264">
        <v>2</v>
      </c>
      <c r="G264" t="s">
        <v>54</v>
      </c>
      <c r="H264" t="s">
        <v>114</v>
      </c>
    </row>
    <row r="265" spans="1:8" x14ac:dyDescent="0.3">
      <c r="A265" t="s">
        <v>640</v>
      </c>
      <c r="B265" t="s">
        <v>114</v>
      </c>
      <c r="C265">
        <v>2025</v>
      </c>
      <c r="D265" t="s">
        <v>113</v>
      </c>
      <c r="E265" t="s">
        <v>3</v>
      </c>
      <c r="F265">
        <v>12371.68</v>
      </c>
      <c r="G265" t="s">
        <v>36</v>
      </c>
      <c r="H265" t="s">
        <v>114</v>
      </c>
    </row>
    <row r="266" spans="1:8" x14ac:dyDescent="0.3">
      <c r="A266" t="s">
        <v>366</v>
      </c>
      <c r="B266" t="s">
        <v>114</v>
      </c>
      <c r="C266">
        <v>2025</v>
      </c>
      <c r="D266" t="s">
        <v>113</v>
      </c>
      <c r="E266" t="s">
        <v>2</v>
      </c>
      <c r="F266">
        <v>4143.7582706766916</v>
      </c>
      <c r="G266" t="s">
        <v>30</v>
      </c>
      <c r="H266" t="s">
        <v>114</v>
      </c>
    </row>
    <row r="267" spans="1:8" x14ac:dyDescent="0.3">
      <c r="A267" t="s">
        <v>367</v>
      </c>
      <c r="B267" t="s">
        <v>114</v>
      </c>
      <c r="C267">
        <v>2025</v>
      </c>
      <c r="D267" t="s">
        <v>113</v>
      </c>
      <c r="E267" t="s">
        <v>2</v>
      </c>
      <c r="F267">
        <v>133</v>
      </c>
      <c r="G267" t="s">
        <v>54</v>
      </c>
      <c r="H267" t="s">
        <v>114</v>
      </c>
    </row>
    <row r="268" spans="1:8" x14ac:dyDescent="0.3">
      <c r="A268" t="s">
        <v>368</v>
      </c>
      <c r="B268" t="s">
        <v>114</v>
      </c>
      <c r="C268">
        <v>2025</v>
      </c>
      <c r="D268" t="s">
        <v>113</v>
      </c>
      <c r="E268" t="s">
        <v>2</v>
      </c>
      <c r="F268">
        <v>551119.85</v>
      </c>
      <c r="G268" t="s">
        <v>36</v>
      </c>
      <c r="H268" t="s">
        <v>114</v>
      </c>
    </row>
    <row r="269" spans="1:8" x14ac:dyDescent="0.3">
      <c r="A269" t="s">
        <v>369</v>
      </c>
      <c r="B269" t="s">
        <v>114</v>
      </c>
      <c r="C269">
        <v>2025</v>
      </c>
      <c r="D269" t="s">
        <v>113</v>
      </c>
      <c r="E269" t="s">
        <v>1</v>
      </c>
      <c r="F269">
        <v>12458.476672967854</v>
      </c>
      <c r="G269" t="s">
        <v>30</v>
      </c>
      <c r="H269" t="s">
        <v>114</v>
      </c>
    </row>
    <row r="270" spans="1:8" x14ac:dyDescent="0.3">
      <c r="A270" t="s">
        <v>370</v>
      </c>
      <c r="B270" t="s">
        <v>114</v>
      </c>
      <c r="C270">
        <v>2025</v>
      </c>
      <c r="D270" t="s">
        <v>113</v>
      </c>
      <c r="E270" t="s">
        <v>1</v>
      </c>
      <c r="F270">
        <v>529</v>
      </c>
      <c r="G270" t="s">
        <v>54</v>
      </c>
      <c r="H270" t="s">
        <v>114</v>
      </c>
    </row>
    <row r="271" spans="1:8" x14ac:dyDescent="0.3">
      <c r="A271" t="s">
        <v>371</v>
      </c>
      <c r="B271" t="s">
        <v>114</v>
      </c>
      <c r="C271">
        <v>2025</v>
      </c>
      <c r="D271" t="s">
        <v>113</v>
      </c>
      <c r="E271" t="s">
        <v>1</v>
      </c>
      <c r="F271">
        <v>6590534.1599999946</v>
      </c>
      <c r="G271" t="s">
        <v>36</v>
      </c>
      <c r="H271" t="s">
        <v>114</v>
      </c>
    </row>
    <row r="272" spans="1:8" x14ac:dyDescent="0.3">
      <c r="A272" t="s">
        <v>372</v>
      </c>
      <c r="B272" t="s">
        <v>114</v>
      </c>
      <c r="C272">
        <v>2025</v>
      </c>
      <c r="D272" t="s">
        <v>113</v>
      </c>
      <c r="E272" t="s">
        <v>4</v>
      </c>
      <c r="F272">
        <v>10751.992046242767</v>
      </c>
      <c r="G272" t="s">
        <v>30</v>
      </c>
      <c r="H272" t="s">
        <v>114</v>
      </c>
    </row>
    <row r="273" spans="1:8" x14ac:dyDescent="0.3">
      <c r="A273" t="s">
        <v>373</v>
      </c>
      <c r="B273" t="s">
        <v>114</v>
      </c>
      <c r="C273">
        <v>2025</v>
      </c>
      <c r="D273" t="s">
        <v>113</v>
      </c>
      <c r="E273" t="s">
        <v>4</v>
      </c>
      <c r="F273">
        <v>865</v>
      </c>
      <c r="G273" t="s">
        <v>54</v>
      </c>
      <c r="H273" t="s">
        <v>114</v>
      </c>
    </row>
    <row r="274" spans="1:8" x14ac:dyDescent="0.3">
      <c r="A274" t="s">
        <v>374</v>
      </c>
      <c r="B274" t="s">
        <v>114</v>
      </c>
      <c r="C274">
        <v>2025</v>
      </c>
      <c r="D274" t="s">
        <v>113</v>
      </c>
      <c r="E274" t="s">
        <v>4</v>
      </c>
      <c r="F274">
        <v>9300473.1199999936</v>
      </c>
      <c r="G274" t="s">
        <v>36</v>
      </c>
      <c r="H274" t="s">
        <v>114</v>
      </c>
    </row>
    <row r="275" spans="1:8" x14ac:dyDescent="0.3">
      <c r="A275" t="s">
        <v>375</v>
      </c>
      <c r="B275" t="s">
        <v>114</v>
      </c>
      <c r="C275">
        <v>2025</v>
      </c>
      <c r="D275" t="s">
        <v>113</v>
      </c>
      <c r="E275" t="s">
        <v>38</v>
      </c>
      <c r="F275">
        <v>10678.842935323379</v>
      </c>
      <c r="G275" t="s">
        <v>30</v>
      </c>
      <c r="H275" t="s">
        <v>114</v>
      </c>
    </row>
    <row r="276" spans="1:8" x14ac:dyDescent="0.3">
      <c r="A276" t="s">
        <v>376</v>
      </c>
      <c r="B276" t="s">
        <v>114</v>
      </c>
      <c r="C276">
        <v>2025</v>
      </c>
      <c r="D276" t="s">
        <v>113</v>
      </c>
      <c r="E276" t="s">
        <v>38</v>
      </c>
      <c r="F276">
        <v>201</v>
      </c>
      <c r="G276" t="s">
        <v>54</v>
      </c>
      <c r="H276" t="s">
        <v>114</v>
      </c>
    </row>
    <row r="277" spans="1:8" x14ac:dyDescent="0.3">
      <c r="A277" t="s">
        <v>377</v>
      </c>
      <c r="B277" t="s">
        <v>114</v>
      </c>
      <c r="C277">
        <v>2025</v>
      </c>
      <c r="D277" t="s">
        <v>113</v>
      </c>
      <c r="E277" t="s">
        <v>38</v>
      </c>
      <c r="F277">
        <v>2146447.4299999992</v>
      </c>
      <c r="G277" t="s">
        <v>36</v>
      </c>
      <c r="H277" t="s">
        <v>114</v>
      </c>
    </row>
    <row r="278" spans="1:8" x14ac:dyDescent="0.3">
      <c r="A278" t="s">
        <v>2140</v>
      </c>
      <c r="B278" t="s">
        <v>79</v>
      </c>
      <c r="C278">
        <v>2025</v>
      </c>
      <c r="D278" t="s">
        <v>18</v>
      </c>
      <c r="E278" t="s">
        <v>63</v>
      </c>
      <c r="F278">
        <v>13774.34</v>
      </c>
      <c r="G278" t="s">
        <v>30</v>
      </c>
      <c r="H278" t="s">
        <v>79</v>
      </c>
    </row>
    <row r="279" spans="1:8" x14ac:dyDescent="0.3">
      <c r="A279" t="s">
        <v>2141</v>
      </c>
      <c r="B279" t="s">
        <v>79</v>
      </c>
      <c r="C279">
        <v>2025</v>
      </c>
      <c r="D279" t="s">
        <v>18</v>
      </c>
      <c r="E279" t="s">
        <v>63</v>
      </c>
      <c r="F279">
        <v>1</v>
      </c>
      <c r="G279" t="s">
        <v>54</v>
      </c>
      <c r="H279" t="s">
        <v>79</v>
      </c>
    </row>
    <row r="280" spans="1:8" x14ac:dyDescent="0.3">
      <c r="A280" t="s">
        <v>2142</v>
      </c>
      <c r="B280" t="s">
        <v>79</v>
      </c>
      <c r="C280">
        <v>2025</v>
      </c>
      <c r="D280" t="s">
        <v>18</v>
      </c>
      <c r="E280" t="s">
        <v>63</v>
      </c>
      <c r="F280">
        <v>13774.34</v>
      </c>
      <c r="G280" t="s">
        <v>36</v>
      </c>
      <c r="H280" t="s">
        <v>79</v>
      </c>
    </row>
    <row r="281" spans="1:8" x14ac:dyDescent="0.3">
      <c r="A281" t="s">
        <v>378</v>
      </c>
      <c r="B281" t="s">
        <v>79</v>
      </c>
      <c r="C281">
        <v>2025</v>
      </c>
      <c r="D281" t="s">
        <v>18</v>
      </c>
      <c r="E281" t="s">
        <v>3</v>
      </c>
      <c r="F281">
        <v>10607.864399999999</v>
      </c>
      <c r="G281" t="s">
        <v>30</v>
      </c>
      <c r="H281" t="s">
        <v>79</v>
      </c>
    </row>
    <row r="282" spans="1:8" x14ac:dyDescent="0.3">
      <c r="A282" t="s">
        <v>379</v>
      </c>
      <c r="B282" t="s">
        <v>79</v>
      </c>
      <c r="C282">
        <v>2025</v>
      </c>
      <c r="D282" t="s">
        <v>18</v>
      </c>
      <c r="E282" t="s">
        <v>3</v>
      </c>
      <c r="F282">
        <v>25</v>
      </c>
      <c r="G282" t="s">
        <v>54</v>
      </c>
      <c r="H282" t="s">
        <v>79</v>
      </c>
    </row>
    <row r="283" spans="1:8" x14ac:dyDescent="0.3">
      <c r="A283" t="s">
        <v>380</v>
      </c>
      <c r="B283" t="s">
        <v>79</v>
      </c>
      <c r="C283">
        <v>2025</v>
      </c>
      <c r="D283" t="s">
        <v>18</v>
      </c>
      <c r="E283" t="s">
        <v>3</v>
      </c>
      <c r="F283">
        <v>265196.61</v>
      </c>
      <c r="G283" t="s">
        <v>36</v>
      </c>
      <c r="H283" t="s">
        <v>79</v>
      </c>
    </row>
    <row r="284" spans="1:8" x14ac:dyDescent="0.3">
      <c r="A284" t="s">
        <v>381</v>
      </c>
      <c r="B284" t="s">
        <v>79</v>
      </c>
      <c r="C284">
        <v>2025</v>
      </c>
      <c r="D284" t="s">
        <v>18</v>
      </c>
      <c r="E284" t="s">
        <v>2</v>
      </c>
      <c r="F284">
        <v>7801.4109523809529</v>
      </c>
      <c r="G284" t="s">
        <v>30</v>
      </c>
      <c r="H284" t="s">
        <v>79</v>
      </c>
    </row>
    <row r="285" spans="1:8" x14ac:dyDescent="0.3">
      <c r="A285" t="s">
        <v>382</v>
      </c>
      <c r="B285" t="s">
        <v>79</v>
      </c>
      <c r="C285">
        <v>2025</v>
      </c>
      <c r="D285" t="s">
        <v>18</v>
      </c>
      <c r="E285" t="s">
        <v>2</v>
      </c>
      <c r="F285">
        <v>21</v>
      </c>
      <c r="G285" t="s">
        <v>54</v>
      </c>
      <c r="H285" t="s">
        <v>79</v>
      </c>
    </row>
    <row r="286" spans="1:8" x14ac:dyDescent="0.3">
      <c r="A286" t="s">
        <v>383</v>
      </c>
      <c r="B286" t="s">
        <v>79</v>
      </c>
      <c r="C286">
        <v>2025</v>
      </c>
      <c r="D286" t="s">
        <v>18</v>
      </c>
      <c r="E286" t="s">
        <v>2</v>
      </c>
      <c r="F286">
        <v>163829.63</v>
      </c>
      <c r="G286" t="s">
        <v>36</v>
      </c>
      <c r="H286" t="s">
        <v>79</v>
      </c>
    </row>
    <row r="287" spans="1:8" x14ac:dyDescent="0.3">
      <c r="A287" t="s">
        <v>384</v>
      </c>
      <c r="B287" t="s">
        <v>79</v>
      </c>
      <c r="C287">
        <v>2025</v>
      </c>
      <c r="D287" t="s">
        <v>18</v>
      </c>
      <c r="E287" t="s">
        <v>1</v>
      </c>
      <c r="F287">
        <v>11232.594900900904</v>
      </c>
      <c r="G287" t="s">
        <v>30</v>
      </c>
      <c r="H287" t="s">
        <v>79</v>
      </c>
    </row>
    <row r="288" spans="1:8" x14ac:dyDescent="0.3">
      <c r="A288" t="s">
        <v>385</v>
      </c>
      <c r="B288" t="s">
        <v>79</v>
      </c>
      <c r="C288">
        <v>2025</v>
      </c>
      <c r="D288" t="s">
        <v>18</v>
      </c>
      <c r="E288" t="s">
        <v>1</v>
      </c>
      <c r="F288">
        <v>555</v>
      </c>
      <c r="G288" t="s">
        <v>54</v>
      </c>
      <c r="H288" t="s">
        <v>79</v>
      </c>
    </row>
    <row r="289" spans="1:8" x14ac:dyDescent="0.3">
      <c r="A289" t="s">
        <v>386</v>
      </c>
      <c r="B289" t="s">
        <v>79</v>
      </c>
      <c r="C289">
        <v>2025</v>
      </c>
      <c r="D289" t="s">
        <v>18</v>
      </c>
      <c r="E289" t="s">
        <v>1</v>
      </c>
      <c r="F289">
        <v>6234090.1700000018</v>
      </c>
      <c r="G289" t="s">
        <v>36</v>
      </c>
      <c r="H289" t="s">
        <v>79</v>
      </c>
    </row>
    <row r="290" spans="1:8" x14ac:dyDescent="0.3">
      <c r="A290" t="s">
        <v>387</v>
      </c>
      <c r="B290" t="s">
        <v>79</v>
      </c>
      <c r="C290">
        <v>2025</v>
      </c>
      <c r="D290" t="s">
        <v>18</v>
      </c>
      <c r="E290" t="s">
        <v>4</v>
      </c>
      <c r="F290">
        <v>10848.886032786884</v>
      </c>
      <c r="G290" t="s">
        <v>30</v>
      </c>
      <c r="H290" t="s">
        <v>79</v>
      </c>
    </row>
    <row r="291" spans="1:8" x14ac:dyDescent="0.3">
      <c r="A291" t="s">
        <v>388</v>
      </c>
      <c r="B291" t="s">
        <v>79</v>
      </c>
      <c r="C291">
        <v>2025</v>
      </c>
      <c r="D291" t="s">
        <v>18</v>
      </c>
      <c r="E291" t="s">
        <v>4</v>
      </c>
      <c r="F291">
        <v>915</v>
      </c>
      <c r="G291" t="s">
        <v>54</v>
      </c>
      <c r="H291" t="s">
        <v>79</v>
      </c>
    </row>
    <row r="292" spans="1:8" x14ac:dyDescent="0.3">
      <c r="A292" t="s">
        <v>389</v>
      </c>
      <c r="B292" t="s">
        <v>79</v>
      </c>
      <c r="C292">
        <v>2025</v>
      </c>
      <c r="D292" t="s">
        <v>18</v>
      </c>
      <c r="E292" t="s">
        <v>4</v>
      </c>
      <c r="F292">
        <v>9926730.7199999988</v>
      </c>
      <c r="G292" t="s">
        <v>36</v>
      </c>
      <c r="H292" t="s">
        <v>79</v>
      </c>
    </row>
    <row r="293" spans="1:8" x14ac:dyDescent="0.3">
      <c r="A293" t="s">
        <v>390</v>
      </c>
      <c r="B293" t="s">
        <v>79</v>
      </c>
      <c r="C293">
        <v>2025</v>
      </c>
      <c r="D293" t="s">
        <v>18</v>
      </c>
      <c r="E293" t="s">
        <v>38</v>
      </c>
      <c r="F293">
        <v>10382.875303514365</v>
      </c>
      <c r="G293" t="s">
        <v>30</v>
      </c>
      <c r="H293" t="s">
        <v>79</v>
      </c>
    </row>
    <row r="294" spans="1:8" x14ac:dyDescent="0.3">
      <c r="A294" t="s">
        <v>391</v>
      </c>
      <c r="B294" t="s">
        <v>79</v>
      </c>
      <c r="C294">
        <v>2025</v>
      </c>
      <c r="D294" t="s">
        <v>18</v>
      </c>
      <c r="E294" t="s">
        <v>38</v>
      </c>
      <c r="F294">
        <v>313</v>
      </c>
      <c r="G294" t="s">
        <v>54</v>
      </c>
      <c r="H294" t="s">
        <v>79</v>
      </c>
    </row>
    <row r="295" spans="1:8" x14ac:dyDescent="0.3">
      <c r="A295" t="s">
        <v>392</v>
      </c>
      <c r="B295" t="s">
        <v>79</v>
      </c>
      <c r="C295">
        <v>2025</v>
      </c>
      <c r="D295" t="s">
        <v>18</v>
      </c>
      <c r="E295" t="s">
        <v>38</v>
      </c>
      <c r="F295">
        <v>3249839.9699999965</v>
      </c>
      <c r="G295" t="s">
        <v>36</v>
      </c>
      <c r="H295" t="s">
        <v>79</v>
      </c>
    </row>
    <row r="296" spans="1:8" x14ac:dyDescent="0.3">
      <c r="A296" t="s">
        <v>393</v>
      </c>
      <c r="B296" t="s">
        <v>80</v>
      </c>
      <c r="C296">
        <v>2025</v>
      </c>
      <c r="D296" t="s">
        <v>48</v>
      </c>
      <c r="E296" t="s">
        <v>2</v>
      </c>
      <c r="F296">
        <v>8201.7765573770484</v>
      </c>
      <c r="G296" t="s">
        <v>30</v>
      </c>
      <c r="H296" t="s">
        <v>80</v>
      </c>
    </row>
    <row r="297" spans="1:8" x14ac:dyDescent="0.3">
      <c r="A297" t="s">
        <v>394</v>
      </c>
      <c r="B297" t="s">
        <v>80</v>
      </c>
      <c r="C297">
        <v>2025</v>
      </c>
      <c r="D297" t="s">
        <v>48</v>
      </c>
      <c r="E297" t="s">
        <v>2</v>
      </c>
      <c r="F297">
        <v>122</v>
      </c>
      <c r="G297" t="s">
        <v>54</v>
      </c>
      <c r="H297" t="s">
        <v>80</v>
      </c>
    </row>
    <row r="298" spans="1:8" x14ac:dyDescent="0.3">
      <c r="A298" t="s">
        <v>395</v>
      </c>
      <c r="B298" t="s">
        <v>80</v>
      </c>
      <c r="C298">
        <v>2025</v>
      </c>
      <c r="D298" t="s">
        <v>48</v>
      </c>
      <c r="E298" t="s">
        <v>2</v>
      </c>
      <c r="F298">
        <v>1000616.7399999999</v>
      </c>
      <c r="G298" t="s">
        <v>36</v>
      </c>
      <c r="H298" t="s">
        <v>80</v>
      </c>
    </row>
    <row r="299" spans="1:8" x14ac:dyDescent="0.3">
      <c r="A299" t="s">
        <v>396</v>
      </c>
      <c r="B299" t="s">
        <v>80</v>
      </c>
      <c r="C299">
        <v>2025</v>
      </c>
      <c r="D299" t="s">
        <v>48</v>
      </c>
      <c r="E299" t="s">
        <v>1</v>
      </c>
      <c r="F299">
        <v>13584.899560067717</v>
      </c>
      <c r="G299" t="s">
        <v>30</v>
      </c>
      <c r="H299" t="s">
        <v>80</v>
      </c>
    </row>
    <row r="300" spans="1:8" x14ac:dyDescent="0.3">
      <c r="A300" t="s">
        <v>397</v>
      </c>
      <c r="B300" t="s">
        <v>80</v>
      </c>
      <c r="C300">
        <v>2025</v>
      </c>
      <c r="D300" t="s">
        <v>48</v>
      </c>
      <c r="E300" t="s">
        <v>1</v>
      </c>
      <c r="F300">
        <v>1773</v>
      </c>
      <c r="G300" t="s">
        <v>54</v>
      </c>
      <c r="H300" t="s">
        <v>80</v>
      </c>
    </row>
    <row r="301" spans="1:8" x14ac:dyDescent="0.3">
      <c r="A301" t="s">
        <v>398</v>
      </c>
      <c r="B301" t="s">
        <v>80</v>
      </c>
      <c r="C301">
        <v>2025</v>
      </c>
      <c r="D301" t="s">
        <v>48</v>
      </c>
      <c r="E301" t="s">
        <v>1</v>
      </c>
      <c r="F301">
        <v>24086026.920000061</v>
      </c>
      <c r="G301" t="s">
        <v>36</v>
      </c>
      <c r="H301" t="s">
        <v>80</v>
      </c>
    </row>
    <row r="302" spans="1:8" x14ac:dyDescent="0.3">
      <c r="A302" t="s">
        <v>399</v>
      </c>
      <c r="B302" t="s">
        <v>80</v>
      </c>
      <c r="C302">
        <v>2025</v>
      </c>
      <c r="D302" t="s">
        <v>48</v>
      </c>
      <c r="E302" t="s">
        <v>4</v>
      </c>
      <c r="F302">
        <v>13115.370984736612</v>
      </c>
      <c r="G302" t="s">
        <v>30</v>
      </c>
      <c r="H302" t="s">
        <v>80</v>
      </c>
    </row>
    <row r="303" spans="1:8" x14ac:dyDescent="0.3">
      <c r="A303" t="s">
        <v>400</v>
      </c>
      <c r="B303" t="s">
        <v>80</v>
      </c>
      <c r="C303">
        <v>2025</v>
      </c>
      <c r="D303" t="s">
        <v>48</v>
      </c>
      <c r="E303" t="s">
        <v>4</v>
      </c>
      <c r="F303">
        <v>2031</v>
      </c>
      <c r="G303" t="s">
        <v>54</v>
      </c>
      <c r="H303" t="s">
        <v>80</v>
      </c>
    </row>
    <row r="304" spans="1:8" x14ac:dyDescent="0.3">
      <c r="A304" t="s">
        <v>401</v>
      </c>
      <c r="B304" t="s">
        <v>80</v>
      </c>
      <c r="C304">
        <v>2025</v>
      </c>
      <c r="D304" t="s">
        <v>48</v>
      </c>
      <c r="E304" t="s">
        <v>4</v>
      </c>
      <c r="F304">
        <v>26637318.470000058</v>
      </c>
      <c r="G304" t="s">
        <v>36</v>
      </c>
      <c r="H304" t="s">
        <v>80</v>
      </c>
    </row>
    <row r="305" spans="1:8" x14ac:dyDescent="0.3">
      <c r="A305" t="s">
        <v>402</v>
      </c>
      <c r="B305" t="s">
        <v>80</v>
      </c>
      <c r="C305">
        <v>2025</v>
      </c>
      <c r="D305" t="s">
        <v>48</v>
      </c>
      <c r="E305" t="s">
        <v>38</v>
      </c>
      <c r="F305">
        <v>11402.020661764705</v>
      </c>
      <c r="G305" t="s">
        <v>30</v>
      </c>
      <c r="H305" t="s">
        <v>80</v>
      </c>
    </row>
    <row r="306" spans="1:8" x14ac:dyDescent="0.3">
      <c r="A306" t="s">
        <v>403</v>
      </c>
      <c r="B306" t="s">
        <v>80</v>
      </c>
      <c r="C306">
        <v>2025</v>
      </c>
      <c r="D306" t="s">
        <v>48</v>
      </c>
      <c r="E306" t="s">
        <v>38</v>
      </c>
      <c r="F306">
        <v>136</v>
      </c>
      <c r="G306" t="s">
        <v>54</v>
      </c>
      <c r="H306" t="s">
        <v>80</v>
      </c>
    </row>
    <row r="307" spans="1:8" x14ac:dyDescent="0.3">
      <c r="A307" t="s">
        <v>404</v>
      </c>
      <c r="B307" t="s">
        <v>80</v>
      </c>
      <c r="C307">
        <v>2025</v>
      </c>
      <c r="D307" t="s">
        <v>48</v>
      </c>
      <c r="E307" t="s">
        <v>38</v>
      </c>
      <c r="F307">
        <v>1550674.8099999998</v>
      </c>
      <c r="G307" t="s">
        <v>36</v>
      </c>
      <c r="H307" t="s">
        <v>80</v>
      </c>
    </row>
    <row r="308" spans="1:8" x14ac:dyDescent="0.3">
      <c r="A308" t="s">
        <v>405</v>
      </c>
      <c r="B308" t="s">
        <v>81</v>
      </c>
      <c r="C308">
        <v>2025</v>
      </c>
      <c r="D308" t="s">
        <v>14</v>
      </c>
      <c r="E308" t="s">
        <v>2</v>
      </c>
      <c r="F308">
        <v>6187.1232530120469</v>
      </c>
      <c r="G308" t="s">
        <v>30</v>
      </c>
      <c r="H308" t="s">
        <v>81</v>
      </c>
    </row>
    <row r="309" spans="1:8" x14ac:dyDescent="0.3">
      <c r="A309" t="s">
        <v>406</v>
      </c>
      <c r="B309" t="s">
        <v>81</v>
      </c>
      <c r="C309">
        <v>2025</v>
      </c>
      <c r="D309" t="s">
        <v>14</v>
      </c>
      <c r="E309" t="s">
        <v>2</v>
      </c>
      <c r="F309">
        <v>83</v>
      </c>
      <c r="G309" t="s">
        <v>54</v>
      </c>
      <c r="H309" t="s">
        <v>81</v>
      </c>
    </row>
    <row r="310" spans="1:8" x14ac:dyDescent="0.3">
      <c r="A310" t="s">
        <v>407</v>
      </c>
      <c r="B310" t="s">
        <v>81</v>
      </c>
      <c r="C310">
        <v>2025</v>
      </c>
      <c r="D310" t="s">
        <v>14</v>
      </c>
      <c r="E310" t="s">
        <v>2</v>
      </c>
      <c r="F310">
        <v>513531.22999999992</v>
      </c>
      <c r="G310" t="s">
        <v>36</v>
      </c>
      <c r="H310" t="s">
        <v>81</v>
      </c>
    </row>
    <row r="311" spans="1:8" x14ac:dyDescent="0.3">
      <c r="A311" t="s">
        <v>408</v>
      </c>
      <c r="B311" t="s">
        <v>81</v>
      </c>
      <c r="C311">
        <v>2025</v>
      </c>
      <c r="D311" t="s">
        <v>14</v>
      </c>
      <c r="E311" t="s">
        <v>1</v>
      </c>
      <c r="F311">
        <v>12306.002709313276</v>
      </c>
      <c r="G311" t="s">
        <v>30</v>
      </c>
      <c r="H311" t="s">
        <v>81</v>
      </c>
    </row>
    <row r="312" spans="1:8" x14ac:dyDescent="0.3">
      <c r="A312" t="s">
        <v>409</v>
      </c>
      <c r="B312" t="s">
        <v>81</v>
      </c>
      <c r="C312">
        <v>2025</v>
      </c>
      <c r="D312" t="s">
        <v>14</v>
      </c>
      <c r="E312" t="s">
        <v>1</v>
      </c>
      <c r="F312">
        <v>1063</v>
      </c>
      <c r="G312" t="s">
        <v>54</v>
      </c>
      <c r="H312" t="s">
        <v>81</v>
      </c>
    </row>
    <row r="313" spans="1:8" x14ac:dyDescent="0.3">
      <c r="A313" t="s">
        <v>410</v>
      </c>
      <c r="B313" t="s">
        <v>81</v>
      </c>
      <c r="C313">
        <v>2025</v>
      </c>
      <c r="D313" t="s">
        <v>14</v>
      </c>
      <c r="E313" t="s">
        <v>1</v>
      </c>
      <c r="F313">
        <v>13081280.880000012</v>
      </c>
      <c r="G313" t="s">
        <v>36</v>
      </c>
      <c r="H313" t="s">
        <v>81</v>
      </c>
    </row>
    <row r="314" spans="1:8" x14ac:dyDescent="0.3">
      <c r="A314" t="s">
        <v>411</v>
      </c>
      <c r="B314" t="s">
        <v>81</v>
      </c>
      <c r="C314">
        <v>2025</v>
      </c>
      <c r="D314" t="s">
        <v>14</v>
      </c>
      <c r="E314" t="s">
        <v>4</v>
      </c>
      <c r="F314">
        <v>11881.925026061068</v>
      </c>
      <c r="G314" t="s">
        <v>30</v>
      </c>
      <c r="H314" t="s">
        <v>81</v>
      </c>
    </row>
    <row r="315" spans="1:8" x14ac:dyDescent="0.3">
      <c r="A315" t="s">
        <v>412</v>
      </c>
      <c r="B315" t="s">
        <v>81</v>
      </c>
      <c r="C315">
        <v>2025</v>
      </c>
      <c r="D315" t="s">
        <v>14</v>
      </c>
      <c r="E315" t="s">
        <v>4</v>
      </c>
      <c r="F315">
        <v>1343</v>
      </c>
      <c r="G315" t="s">
        <v>54</v>
      </c>
      <c r="H315" t="s">
        <v>81</v>
      </c>
    </row>
    <row r="316" spans="1:8" x14ac:dyDescent="0.3">
      <c r="A316" t="s">
        <v>413</v>
      </c>
      <c r="B316" t="s">
        <v>81</v>
      </c>
      <c r="C316">
        <v>2025</v>
      </c>
      <c r="D316" t="s">
        <v>14</v>
      </c>
      <c r="E316" t="s">
        <v>4</v>
      </c>
      <c r="F316">
        <v>15957425.310000014</v>
      </c>
      <c r="G316" t="s">
        <v>36</v>
      </c>
      <c r="H316" t="s">
        <v>81</v>
      </c>
    </row>
    <row r="317" spans="1:8" x14ac:dyDescent="0.3">
      <c r="A317" t="s">
        <v>414</v>
      </c>
      <c r="B317" t="s">
        <v>81</v>
      </c>
      <c r="C317">
        <v>2025</v>
      </c>
      <c r="D317" t="s">
        <v>14</v>
      </c>
      <c r="E317" t="s">
        <v>38</v>
      </c>
      <c r="F317">
        <v>11992.960406091372</v>
      </c>
      <c r="G317" t="s">
        <v>30</v>
      </c>
      <c r="H317" t="s">
        <v>81</v>
      </c>
    </row>
    <row r="318" spans="1:8" x14ac:dyDescent="0.3">
      <c r="A318" t="s">
        <v>415</v>
      </c>
      <c r="B318" t="s">
        <v>81</v>
      </c>
      <c r="C318">
        <v>2025</v>
      </c>
      <c r="D318" t="s">
        <v>14</v>
      </c>
      <c r="E318" t="s">
        <v>38</v>
      </c>
      <c r="F318">
        <v>197</v>
      </c>
      <c r="G318" t="s">
        <v>54</v>
      </c>
      <c r="H318" t="s">
        <v>81</v>
      </c>
    </row>
    <row r="319" spans="1:8" x14ac:dyDescent="0.3">
      <c r="A319" t="s">
        <v>416</v>
      </c>
      <c r="B319" t="s">
        <v>81</v>
      </c>
      <c r="C319">
        <v>2025</v>
      </c>
      <c r="D319" t="s">
        <v>14</v>
      </c>
      <c r="E319" t="s">
        <v>38</v>
      </c>
      <c r="F319">
        <v>2362613.2000000002</v>
      </c>
      <c r="G319" t="s">
        <v>36</v>
      </c>
      <c r="H319" t="s">
        <v>81</v>
      </c>
    </row>
    <row r="320" spans="1:8" x14ac:dyDescent="0.3">
      <c r="A320" t="s">
        <v>417</v>
      </c>
      <c r="B320" t="s">
        <v>82</v>
      </c>
      <c r="C320">
        <v>2025</v>
      </c>
      <c r="D320" t="s">
        <v>7</v>
      </c>
      <c r="E320" t="s">
        <v>2</v>
      </c>
      <c r="F320">
        <v>5550.3921052631595</v>
      </c>
      <c r="G320" t="s">
        <v>30</v>
      </c>
      <c r="H320" t="s">
        <v>82</v>
      </c>
    </row>
    <row r="321" spans="1:8" x14ac:dyDescent="0.3">
      <c r="A321" t="s">
        <v>418</v>
      </c>
      <c r="B321" t="s">
        <v>82</v>
      </c>
      <c r="C321">
        <v>2025</v>
      </c>
      <c r="D321" t="s">
        <v>7</v>
      </c>
      <c r="E321" t="s">
        <v>2</v>
      </c>
      <c r="F321">
        <v>38</v>
      </c>
      <c r="G321" t="s">
        <v>54</v>
      </c>
      <c r="H321" t="s">
        <v>82</v>
      </c>
    </row>
    <row r="322" spans="1:8" x14ac:dyDescent="0.3">
      <c r="A322" t="s">
        <v>419</v>
      </c>
      <c r="B322" t="s">
        <v>82</v>
      </c>
      <c r="C322">
        <v>2025</v>
      </c>
      <c r="D322" t="s">
        <v>7</v>
      </c>
      <c r="E322" t="s">
        <v>2</v>
      </c>
      <c r="F322">
        <v>210914.90000000005</v>
      </c>
      <c r="G322" t="s">
        <v>36</v>
      </c>
      <c r="H322" t="s">
        <v>82</v>
      </c>
    </row>
    <row r="323" spans="1:8" x14ac:dyDescent="0.3">
      <c r="A323" t="s">
        <v>420</v>
      </c>
      <c r="B323" t="s">
        <v>82</v>
      </c>
      <c r="C323">
        <v>2025</v>
      </c>
      <c r="D323" t="s">
        <v>7</v>
      </c>
      <c r="E323" t="s">
        <v>1</v>
      </c>
      <c r="F323">
        <v>14269.021868131858</v>
      </c>
      <c r="G323" t="s">
        <v>30</v>
      </c>
      <c r="H323" t="s">
        <v>82</v>
      </c>
    </row>
    <row r="324" spans="1:8" x14ac:dyDescent="0.3">
      <c r="A324" t="s">
        <v>421</v>
      </c>
      <c r="B324" t="s">
        <v>82</v>
      </c>
      <c r="C324">
        <v>2025</v>
      </c>
      <c r="D324" t="s">
        <v>7</v>
      </c>
      <c r="E324" t="s">
        <v>1</v>
      </c>
      <c r="F324">
        <v>1092</v>
      </c>
      <c r="G324" t="s">
        <v>54</v>
      </c>
      <c r="H324" t="s">
        <v>82</v>
      </c>
    </row>
    <row r="325" spans="1:8" x14ac:dyDescent="0.3">
      <c r="A325" t="s">
        <v>422</v>
      </c>
      <c r="B325" t="s">
        <v>82</v>
      </c>
      <c r="C325">
        <v>2025</v>
      </c>
      <c r="D325" t="s">
        <v>7</v>
      </c>
      <c r="E325" t="s">
        <v>1</v>
      </c>
      <c r="F325">
        <v>15581771.87999999</v>
      </c>
      <c r="G325" t="s">
        <v>36</v>
      </c>
      <c r="H325" t="s">
        <v>82</v>
      </c>
    </row>
    <row r="326" spans="1:8" x14ac:dyDescent="0.3">
      <c r="A326" t="s">
        <v>423</v>
      </c>
      <c r="B326" t="s">
        <v>82</v>
      </c>
      <c r="C326">
        <v>2025</v>
      </c>
      <c r="D326" t="s">
        <v>7</v>
      </c>
      <c r="E326" t="s">
        <v>4</v>
      </c>
      <c r="F326">
        <v>13883.345237288127</v>
      </c>
      <c r="G326" t="s">
        <v>30</v>
      </c>
      <c r="H326" t="s">
        <v>82</v>
      </c>
    </row>
    <row r="327" spans="1:8" x14ac:dyDescent="0.3">
      <c r="A327" t="s">
        <v>424</v>
      </c>
      <c r="B327" t="s">
        <v>82</v>
      </c>
      <c r="C327">
        <v>2025</v>
      </c>
      <c r="D327" t="s">
        <v>7</v>
      </c>
      <c r="E327" t="s">
        <v>4</v>
      </c>
      <c r="F327">
        <v>1180</v>
      </c>
      <c r="G327" t="s">
        <v>54</v>
      </c>
      <c r="H327" t="s">
        <v>82</v>
      </c>
    </row>
    <row r="328" spans="1:8" x14ac:dyDescent="0.3">
      <c r="A328" t="s">
        <v>425</v>
      </c>
      <c r="B328" t="s">
        <v>82</v>
      </c>
      <c r="C328">
        <v>2025</v>
      </c>
      <c r="D328" t="s">
        <v>7</v>
      </c>
      <c r="E328" t="s">
        <v>4</v>
      </c>
      <c r="F328">
        <v>16382347.37999999</v>
      </c>
      <c r="G328" t="s">
        <v>36</v>
      </c>
      <c r="H328" t="s">
        <v>82</v>
      </c>
    </row>
    <row r="329" spans="1:8" x14ac:dyDescent="0.3">
      <c r="A329" t="s">
        <v>426</v>
      </c>
      <c r="B329" t="s">
        <v>82</v>
      </c>
      <c r="C329">
        <v>2025</v>
      </c>
      <c r="D329" t="s">
        <v>7</v>
      </c>
      <c r="E329" t="s">
        <v>38</v>
      </c>
      <c r="F329">
        <v>11793.212</v>
      </c>
      <c r="G329" t="s">
        <v>30</v>
      </c>
      <c r="H329" t="s">
        <v>82</v>
      </c>
    </row>
    <row r="330" spans="1:8" x14ac:dyDescent="0.3">
      <c r="A330" t="s">
        <v>427</v>
      </c>
      <c r="B330" t="s">
        <v>82</v>
      </c>
      <c r="C330">
        <v>2025</v>
      </c>
      <c r="D330" t="s">
        <v>7</v>
      </c>
      <c r="E330" t="s">
        <v>38</v>
      </c>
      <c r="F330">
        <v>50</v>
      </c>
      <c r="G330" t="s">
        <v>54</v>
      </c>
      <c r="H330" t="s">
        <v>82</v>
      </c>
    </row>
    <row r="331" spans="1:8" x14ac:dyDescent="0.3">
      <c r="A331" t="s">
        <v>428</v>
      </c>
      <c r="B331" t="s">
        <v>82</v>
      </c>
      <c r="C331">
        <v>2025</v>
      </c>
      <c r="D331" t="s">
        <v>7</v>
      </c>
      <c r="E331" t="s">
        <v>38</v>
      </c>
      <c r="F331">
        <v>589660.6</v>
      </c>
      <c r="G331" t="s">
        <v>36</v>
      </c>
      <c r="H331" t="s">
        <v>82</v>
      </c>
    </row>
    <row r="332" spans="1:8" x14ac:dyDescent="0.3">
      <c r="A332" t="s">
        <v>429</v>
      </c>
      <c r="B332" t="s">
        <v>83</v>
      </c>
      <c r="C332">
        <v>2025</v>
      </c>
      <c r="D332" t="s">
        <v>17</v>
      </c>
      <c r="E332" t="s">
        <v>2</v>
      </c>
      <c r="F332">
        <v>5797.4244370860952</v>
      </c>
      <c r="G332" t="s">
        <v>30</v>
      </c>
      <c r="H332" t="s">
        <v>83</v>
      </c>
    </row>
    <row r="333" spans="1:8" x14ac:dyDescent="0.3">
      <c r="A333" t="s">
        <v>430</v>
      </c>
      <c r="B333" t="s">
        <v>83</v>
      </c>
      <c r="C333">
        <v>2025</v>
      </c>
      <c r="D333" t="s">
        <v>17</v>
      </c>
      <c r="E333" t="s">
        <v>2</v>
      </c>
      <c r="F333">
        <v>151</v>
      </c>
      <c r="G333" t="s">
        <v>54</v>
      </c>
      <c r="H333" t="s">
        <v>83</v>
      </c>
    </row>
    <row r="334" spans="1:8" x14ac:dyDescent="0.3">
      <c r="A334" t="s">
        <v>431</v>
      </c>
      <c r="B334" t="s">
        <v>83</v>
      </c>
      <c r="C334">
        <v>2025</v>
      </c>
      <c r="D334" t="s">
        <v>17</v>
      </c>
      <c r="E334" t="s">
        <v>2</v>
      </c>
      <c r="F334">
        <v>875411.09000000032</v>
      </c>
      <c r="G334" t="s">
        <v>36</v>
      </c>
      <c r="H334" t="s">
        <v>83</v>
      </c>
    </row>
    <row r="335" spans="1:8" x14ac:dyDescent="0.3">
      <c r="A335" t="s">
        <v>432</v>
      </c>
      <c r="B335" t="s">
        <v>83</v>
      </c>
      <c r="C335">
        <v>2025</v>
      </c>
      <c r="D335" t="s">
        <v>17</v>
      </c>
      <c r="E335" t="s">
        <v>1</v>
      </c>
      <c r="F335">
        <v>11811.516674937957</v>
      </c>
      <c r="G335" t="s">
        <v>30</v>
      </c>
      <c r="H335" t="s">
        <v>83</v>
      </c>
    </row>
    <row r="336" spans="1:8" x14ac:dyDescent="0.3">
      <c r="A336" t="s">
        <v>433</v>
      </c>
      <c r="B336" t="s">
        <v>83</v>
      </c>
      <c r="C336">
        <v>2025</v>
      </c>
      <c r="D336" t="s">
        <v>17</v>
      </c>
      <c r="E336" t="s">
        <v>1</v>
      </c>
      <c r="F336">
        <v>806</v>
      </c>
      <c r="G336" t="s">
        <v>54</v>
      </c>
      <c r="H336" t="s">
        <v>83</v>
      </c>
    </row>
    <row r="337" spans="1:8" x14ac:dyDescent="0.3">
      <c r="A337" t="s">
        <v>434</v>
      </c>
      <c r="B337" t="s">
        <v>83</v>
      </c>
      <c r="C337">
        <v>2025</v>
      </c>
      <c r="D337" t="s">
        <v>17</v>
      </c>
      <c r="E337" t="s">
        <v>1</v>
      </c>
      <c r="F337">
        <v>9520082.4399999939</v>
      </c>
      <c r="G337" t="s">
        <v>36</v>
      </c>
      <c r="H337" t="s">
        <v>83</v>
      </c>
    </row>
    <row r="338" spans="1:8" x14ac:dyDescent="0.3">
      <c r="A338" t="s">
        <v>435</v>
      </c>
      <c r="B338" t="s">
        <v>83</v>
      </c>
      <c r="C338">
        <v>2025</v>
      </c>
      <c r="D338" t="s">
        <v>17</v>
      </c>
      <c r="E338" t="s">
        <v>4</v>
      </c>
      <c r="F338">
        <v>10857.338299050627</v>
      </c>
      <c r="G338" t="s">
        <v>30</v>
      </c>
      <c r="H338" t="s">
        <v>83</v>
      </c>
    </row>
    <row r="339" spans="1:8" x14ac:dyDescent="0.3">
      <c r="A339" t="s">
        <v>436</v>
      </c>
      <c r="B339" t="s">
        <v>83</v>
      </c>
      <c r="C339">
        <v>2025</v>
      </c>
      <c r="D339" t="s">
        <v>17</v>
      </c>
      <c r="E339" t="s">
        <v>4</v>
      </c>
      <c r="F339">
        <v>1264</v>
      </c>
      <c r="G339" t="s">
        <v>54</v>
      </c>
      <c r="H339" t="s">
        <v>83</v>
      </c>
    </row>
    <row r="340" spans="1:8" x14ac:dyDescent="0.3">
      <c r="A340" t="s">
        <v>437</v>
      </c>
      <c r="B340" t="s">
        <v>83</v>
      </c>
      <c r="C340">
        <v>2025</v>
      </c>
      <c r="D340" t="s">
        <v>17</v>
      </c>
      <c r="E340" t="s">
        <v>4</v>
      </c>
      <c r="F340">
        <v>13723675.609999992</v>
      </c>
      <c r="G340" t="s">
        <v>36</v>
      </c>
      <c r="H340" t="s">
        <v>83</v>
      </c>
    </row>
    <row r="341" spans="1:8" x14ac:dyDescent="0.3">
      <c r="A341" t="s">
        <v>438</v>
      </c>
      <c r="B341" t="s">
        <v>83</v>
      </c>
      <c r="C341">
        <v>2025</v>
      </c>
      <c r="D341" t="s">
        <v>17</v>
      </c>
      <c r="E341" t="s">
        <v>38</v>
      </c>
      <c r="F341">
        <v>10840.983973941364</v>
      </c>
      <c r="G341" t="s">
        <v>30</v>
      </c>
      <c r="H341" t="s">
        <v>83</v>
      </c>
    </row>
    <row r="342" spans="1:8" x14ac:dyDescent="0.3">
      <c r="A342" t="s">
        <v>439</v>
      </c>
      <c r="B342" t="s">
        <v>83</v>
      </c>
      <c r="C342">
        <v>2025</v>
      </c>
      <c r="D342" t="s">
        <v>17</v>
      </c>
      <c r="E342" t="s">
        <v>38</v>
      </c>
      <c r="F342">
        <v>307</v>
      </c>
      <c r="G342" t="s">
        <v>54</v>
      </c>
      <c r="H342" t="s">
        <v>83</v>
      </c>
    </row>
    <row r="343" spans="1:8" x14ac:dyDescent="0.3">
      <c r="A343" t="s">
        <v>440</v>
      </c>
      <c r="B343" t="s">
        <v>83</v>
      </c>
      <c r="C343">
        <v>2025</v>
      </c>
      <c r="D343" t="s">
        <v>17</v>
      </c>
      <c r="E343" t="s">
        <v>38</v>
      </c>
      <c r="F343">
        <v>3328182.0799999987</v>
      </c>
      <c r="G343" t="s">
        <v>36</v>
      </c>
      <c r="H343" t="s">
        <v>83</v>
      </c>
    </row>
    <row r="344" spans="1:8" x14ac:dyDescent="0.3">
      <c r="A344" t="s">
        <v>441</v>
      </c>
      <c r="B344" t="s">
        <v>84</v>
      </c>
      <c r="C344">
        <v>2025</v>
      </c>
      <c r="D344" t="s">
        <v>26</v>
      </c>
      <c r="E344" t="s">
        <v>63</v>
      </c>
      <c r="F344">
        <v>9827.7333333333336</v>
      </c>
      <c r="G344" t="s">
        <v>30</v>
      </c>
      <c r="H344" t="s">
        <v>84</v>
      </c>
    </row>
    <row r="345" spans="1:8" x14ac:dyDescent="0.3">
      <c r="A345" t="s">
        <v>442</v>
      </c>
      <c r="B345" t="s">
        <v>84</v>
      </c>
      <c r="C345">
        <v>2025</v>
      </c>
      <c r="D345" t="s">
        <v>26</v>
      </c>
      <c r="E345" t="s">
        <v>63</v>
      </c>
      <c r="F345">
        <v>3</v>
      </c>
      <c r="G345" t="s">
        <v>54</v>
      </c>
      <c r="H345" t="s">
        <v>84</v>
      </c>
    </row>
    <row r="346" spans="1:8" x14ac:dyDescent="0.3">
      <c r="A346" t="s">
        <v>443</v>
      </c>
      <c r="B346" t="s">
        <v>84</v>
      </c>
      <c r="C346">
        <v>2025</v>
      </c>
      <c r="D346" t="s">
        <v>26</v>
      </c>
      <c r="E346" t="s">
        <v>63</v>
      </c>
      <c r="F346">
        <v>29483.200000000001</v>
      </c>
      <c r="G346" t="s">
        <v>36</v>
      </c>
      <c r="H346" t="s">
        <v>84</v>
      </c>
    </row>
    <row r="347" spans="1:8" x14ac:dyDescent="0.3">
      <c r="A347" t="s">
        <v>444</v>
      </c>
      <c r="B347" t="s">
        <v>84</v>
      </c>
      <c r="C347">
        <v>2025</v>
      </c>
      <c r="D347" t="s">
        <v>26</v>
      </c>
      <c r="E347" t="s">
        <v>3</v>
      </c>
      <c r="F347">
        <v>15876.715789473683</v>
      </c>
      <c r="G347" t="s">
        <v>30</v>
      </c>
      <c r="H347" t="s">
        <v>84</v>
      </c>
    </row>
    <row r="348" spans="1:8" x14ac:dyDescent="0.3">
      <c r="A348" t="s">
        <v>445</v>
      </c>
      <c r="B348" t="s">
        <v>84</v>
      </c>
      <c r="C348">
        <v>2025</v>
      </c>
      <c r="D348" t="s">
        <v>26</v>
      </c>
      <c r="E348" t="s">
        <v>3</v>
      </c>
      <c r="F348">
        <v>19</v>
      </c>
      <c r="G348" t="s">
        <v>54</v>
      </c>
      <c r="H348" t="s">
        <v>84</v>
      </c>
    </row>
    <row r="349" spans="1:8" x14ac:dyDescent="0.3">
      <c r="A349" t="s">
        <v>446</v>
      </c>
      <c r="B349" t="s">
        <v>84</v>
      </c>
      <c r="C349">
        <v>2025</v>
      </c>
      <c r="D349" t="s">
        <v>26</v>
      </c>
      <c r="E349" t="s">
        <v>3</v>
      </c>
      <c r="F349">
        <v>301657.59999999998</v>
      </c>
      <c r="G349" t="s">
        <v>36</v>
      </c>
      <c r="H349" t="s">
        <v>84</v>
      </c>
    </row>
    <row r="350" spans="1:8" x14ac:dyDescent="0.3">
      <c r="A350" t="s">
        <v>447</v>
      </c>
      <c r="B350" t="s">
        <v>84</v>
      </c>
      <c r="C350">
        <v>2025</v>
      </c>
      <c r="D350" t="s">
        <v>26</v>
      </c>
      <c r="E350" t="s">
        <v>2</v>
      </c>
      <c r="F350">
        <v>10942.204174757277</v>
      </c>
      <c r="G350" t="s">
        <v>30</v>
      </c>
      <c r="H350" t="s">
        <v>84</v>
      </c>
    </row>
    <row r="351" spans="1:8" x14ac:dyDescent="0.3">
      <c r="A351" t="s">
        <v>448</v>
      </c>
      <c r="B351" t="s">
        <v>84</v>
      </c>
      <c r="C351">
        <v>2025</v>
      </c>
      <c r="D351" t="s">
        <v>26</v>
      </c>
      <c r="E351" t="s">
        <v>2</v>
      </c>
      <c r="F351">
        <v>103</v>
      </c>
      <c r="G351" t="s">
        <v>54</v>
      </c>
      <c r="H351" t="s">
        <v>84</v>
      </c>
    </row>
    <row r="352" spans="1:8" x14ac:dyDescent="0.3">
      <c r="A352" t="s">
        <v>449</v>
      </c>
      <c r="B352" t="s">
        <v>84</v>
      </c>
      <c r="C352">
        <v>2025</v>
      </c>
      <c r="D352" t="s">
        <v>26</v>
      </c>
      <c r="E352" t="s">
        <v>2</v>
      </c>
      <c r="F352">
        <v>1127047.0299999996</v>
      </c>
      <c r="G352" t="s">
        <v>36</v>
      </c>
      <c r="H352" t="s">
        <v>84</v>
      </c>
    </row>
    <row r="353" spans="1:8" x14ac:dyDescent="0.3">
      <c r="A353" t="s">
        <v>450</v>
      </c>
      <c r="B353" t="s">
        <v>84</v>
      </c>
      <c r="C353">
        <v>2025</v>
      </c>
      <c r="D353" t="s">
        <v>26</v>
      </c>
      <c r="E353" t="s">
        <v>1</v>
      </c>
      <c r="F353">
        <v>13277.553617021267</v>
      </c>
      <c r="G353" t="s">
        <v>30</v>
      </c>
      <c r="H353" t="s">
        <v>84</v>
      </c>
    </row>
    <row r="354" spans="1:8" x14ac:dyDescent="0.3">
      <c r="A354" t="s">
        <v>451</v>
      </c>
      <c r="B354" t="s">
        <v>84</v>
      </c>
      <c r="C354">
        <v>2025</v>
      </c>
      <c r="D354" t="s">
        <v>26</v>
      </c>
      <c r="E354" t="s">
        <v>1</v>
      </c>
      <c r="F354">
        <v>705</v>
      </c>
      <c r="G354" t="s">
        <v>54</v>
      </c>
      <c r="H354" t="s">
        <v>84</v>
      </c>
    </row>
    <row r="355" spans="1:8" x14ac:dyDescent="0.3">
      <c r="A355" t="s">
        <v>452</v>
      </c>
      <c r="B355" t="s">
        <v>84</v>
      </c>
      <c r="C355">
        <v>2025</v>
      </c>
      <c r="D355" t="s">
        <v>26</v>
      </c>
      <c r="E355" t="s">
        <v>1</v>
      </c>
      <c r="F355">
        <v>9360675.2999999933</v>
      </c>
      <c r="G355" t="s">
        <v>36</v>
      </c>
      <c r="H355" t="s">
        <v>84</v>
      </c>
    </row>
    <row r="356" spans="1:8" x14ac:dyDescent="0.3">
      <c r="A356" t="s">
        <v>453</v>
      </c>
      <c r="B356" t="s">
        <v>84</v>
      </c>
      <c r="C356">
        <v>2025</v>
      </c>
      <c r="D356" t="s">
        <v>26</v>
      </c>
      <c r="E356" t="s">
        <v>4</v>
      </c>
      <c r="F356">
        <v>12219.882833806814</v>
      </c>
      <c r="G356" t="s">
        <v>30</v>
      </c>
      <c r="H356" t="s">
        <v>84</v>
      </c>
    </row>
    <row r="357" spans="1:8" x14ac:dyDescent="0.3">
      <c r="A357" t="s">
        <v>454</v>
      </c>
      <c r="B357" t="s">
        <v>84</v>
      </c>
      <c r="C357">
        <v>2025</v>
      </c>
      <c r="D357" t="s">
        <v>26</v>
      </c>
      <c r="E357" t="s">
        <v>4</v>
      </c>
      <c r="F357">
        <v>1408</v>
      </c>
      <c r="G357" t="s">
        <v>54</v>
      </c>
      <c r="H357" t="s">
        <v>84</v>
      </c>
    </row>
    <row r="358" spans="1:8" x14ac:dyDescent="0.3">
      <c r="A358" t="s">
        <v>455</v>
      </c>
      <c r="B358" t="s">
        <v>84</v>
      </c>
      <c r="C358">
        <v>2025</v>
      </c>
      <c r="D358" t="s">
        <v>26</v>
      </c>
      <c r="E358" t="s">
        <v>4</v>
      </c>
      <c r="F358">
        <v>17205595.029999994</v>
      </c>
      <c r="G358" t="s">
        <v>36</v>
      </c>
      <c r="H358" t="s">
        <v>84</v>
      </c>
    </row>
    <row r="359" spans="1:8" x14ac:dyDescent="0.3">
      <c r="A359" t="s">
        <v>456</v>
      </c>
      <c r="B359" t="s">
        <v>84</v>
      </c>
      <c r="C359">
        <v>2025</v>
      </c>
      <c r="D359" t="s">
        <v>26</v>
      </c>
      <c r="E359" t="s">
        <v>38</v>
      </c>
      <c r="F359">
        <v>11049.709169550173</v>
      </c>
      <c r="G359" t="s">
        <v>30</v>
      </c>
      <c r="H359" t="s">
        <v>84</v>
      </c>
    </row>
    <row r="360" spans="1:8" x14ac:dyDescent="0.3">
      <c r="A360" t="s">
        <v>457</v>
      </c>
      <c r="B360" t="s">
        <v>84</v>
      </c>
      <c r="C360">
        <v>2025</v>
      </c>
      <c r="D360" t="s">
        <v>26</v>
      </c>
      <c r="E360" t="s">
        <v>38</v>
      </c>
      <c r="F360">
        <v>578</v>
      </c>
      <c r="G360" t="s">
        <v>54</v>
      </c>
      <c r="H360" t="s">
        <v>84</v>
      </c>
    </row>
    <row r="361" spans="1:8" x14ac:dyDescent="0.3">
      <c r="A361" t="s">
        <v>458</v>
      </c>
      <c r="B361" t="s">
        <v>84</v>
      </c>
      <c r="C361">
        <v>2025</v>
      </c>
      <c r="D361" t="s">
        <v>26</v>
      </c>
      <c r="E361" t="s">
        <v>38</v>
      </c>
      <c r="F361">
        <v>6386731.9000000004</v>
      </c>
      <c r="G361" t="s">
        <v>36</v>
      </c>
      <c r="H361" t="s">
        <v>84</v>
      </c>
    </row>
    <row r="362" spans="1:8" x14ac:dyDescent="0.3">
      <c r="A362" t="s">
        <v>2143</v>
      </c>
      <c r="B362" t="s">
        <v>85</v>
      </c>
      <c r="C362">
        <v>2025</v>
      </c>
      <c r="D362" t="s">
        <v>16</v>
      </c>
      <c r="E362" t="s">
        <v>63</v>
      </c>
      <c r="F362">
        <v>16668.14</v>
      </c>
      <c r="G362" t="s">
        <v>30</v>
      </c>
      <c r="H362" t="s">
        <v>85</v>
      </c>
    </row>
    <row r="363" spans="1:8" x14ac:dyDescent="0.3">
      <c r="A363" t="s">
        <v>2144</v>
      </c>
      <c r="B363" t="s">
        <v>85</v>
      </c>
      <c r="C363">
        <v>2025</v>
      </c>
      <c r="D363" t="s">
        <v>16</v>
      </c>
      <c r="E363" t="s">
        <v>63</v>
      </c>
      <c r="F363">
        <v>4</v>
      </c>
      <c r="G363" t="s">
        <v>54</v>
      </c>
      <c r="H363" t="s">
        <v>85</v>
      </c>
    </row>
    <row r="364" spans="1:8" x14ac:dyDescent="0.3">
      <c r="A364" t="s">
        <v>2145</v>
      </c>
      <c r="B364" t="s">
        <v>85</v>
      </c>
      <c r="C364">
        <v>2025</v>
      </c>
      <c r="D364" t="s">
        <v>16</v>
      </c>
      <c r="E364" t="s">
        <v>63</v>
      </c>
      <c r="F364">
        <v>66672.56</v>
      </c>
      <c r="G364" t="s">
        <v>36</v>
      </c>
      <c r="H364" t="s">
        <v>85</v>
      </c>
    </row>
    <row r="365" spans="1:8" x14ac:dyDescent="0.3">
      <c r="A365" t="s">
        <v>459</v>
      </c>
      <c r="B365" t="s">
        <v>85</v>
      </c>
      <c r="C365">
        <v>2025</v>
      </c>
      <c r="D365" t="s">
        <v>16</v>
      </c>
      <c r="E365" t="s">
        <v>3</v>
      </c>
      <c r="F365">
        <v>17852.378181818185</v>
      </c>
      <c r="G365" t="s">
        <v>30</v>
      </c>
      <c r="H365" t="s">
        <v>85</v>
      </c>
    </row>
    <row r="366" spans="1:8" x14ac:dyDescent="0.3">
      <c r="A366" t="s">
        <v>460</v>
      </c>
      <c r="B366" t="s">
        <v>85</v>
      </c>
      <c r="C366">
        <v>2025</v>
      </c>
      <c r="D366" t="s">
        <v>16</v>
      </c>
      <c r="E366" t="s">
        <v>3</v>
      </c>
      <c r="F366">
        <v>22</v>
      </c>
      <c r="G366" t="s">
        <v>54</v>
      </c>
      <c r="H366" t="s">
        <v>85</v>
      </c>
    </row>
    <row r="367" spans="1:8" x14ac:dyDescent="0.3">
      <c r="A367" t="s">
        <v>461</v>
      </c>
      <c r="B367" t="s">
        <v>85</v>
      </c>
      <c r="C367">
        <v>2025</v>
      </c>
      <c r="D367" t="s">
        <v>16</v>
      </c>
      <c r="E367" t="s">
        <v>3</v>
      </c>
      <c r="F367">
        <v>392752.32000000007</v>
      </c>
      <c r="G367" t="s">
        <v>36</v>
      </c>
      <c r="H367" t="s">
        <v>85</v>
      </c>
    </row>
    <row r="368" spans="1:8" x14ac:dyDescent="0.3">
      <c r="A368" t="s">
        <v>462</v>
      </c>
      <c r="B368" t="s">
        <v>85</v>
      </c>
      <c r="C368">
        <v>2025</v>
      </c>
      <c r="D368" t="s">
        <v>16</v>
      </c>
      <c r="E368" t="s">
        <v>2</v>
      </c>
      <c r="F368">
        <v>9621.1846527777798</v>
      </c>
      <c r="G368" t="s">
        <v>30</v>
      </c>
      <c r="H368" t="s">
        <v>85</v>
      </c>
    </row>
    <row r="369" spans="1:8" x14ac:dyDescent="0.3">
      <c r="A369" t="s">
        <v>463</v>
      </c>
      <c r="B369" t="s">
        <v>85</v>
      </c>
      <c r="C369">
        <v>2025</v>
      </c>
      <c r="D369" t="s">
        <v>16</v>
      </c>
      <c r="E369" t="s">
        <v>2</v>
      </c>
      <c r="F369">
        <v>144</v>
      </c>
      <c r="G369" t="s">
        <v>54</v>
      </c>
      <c r="H369" t="s">
        <v>85</v>
      </c>
    </row>
    <row r="370" spans="1:8" x14ac:dyDescent="0.3">
      <c r="A370" t="s">
        <v>464</v>
      </c>
      <c r="B370" t="s">
        <v>85</v>
      </c>
      <c r="C370">
        <v>2025</v>
      </c>
      <c r="D370" t="s">
        <v>16</v>
      </c>
      <c r="E370" t="s">
        <v>2</v>
      </c>
      <c r="F370">
        <v>1385450.5900000003</v>
      </c>
      <c r="G370" t="s">
        <v>36</v>
      </c>
      <c r="H370" t="s">
        <v>85</v>
      </c>
    </row>
    <row r="371" spans="1:8" x14ac:dyDescent="0.3">
      <c r="A371" t="s">
        <v>465</v>
      </c>
      <c r="B371" t="s">
        <v>85</v>
      </c>
      <c r="C371">
        <v>2025</v>
      </c>
      <c r="D371" t="s">
        <v>16</v>
      </c>
      <c r="E371" t="s">
        <v>1</v>
      </c>
      <c r="F371">
        <v>14681.822390029331</v>
      </c>
      <c r="G371" t="s">
        <v>30</v>
      </c>
      <c r="H371" t="s">
        <v>85</v>
      </c>
    </row>
    <row r="372" spans="1:8" x14ac:dyDescent="0.3">
      <c r="A372" t="s">
        <v>466</v>
      </c>
      <c r="B372" t="s">
        <v>85</v>
      </c>
      <c r="C372">
        <v>2025</v>
      </c>
      <c r="D372" t="s">
        <v>16</v>
      </c>
      <c r="E372" t="s">
        <v>1</v>
      </c>
      <c r="F372">
        <v>682</v>
      </c>
      <c r="G372" t="s">
        <v>54</v>
      </c>
      <c r="H372" t="s">
        <v>85</v>
      </c>
    </row>
    <row r="373" spans="1:8" x14ac:dyDescent="0.3">
      <c r="A373" t="s">
        <v>467</v>
      </c>
      <c r="B373" t="s">
        <v>85</v>
      </c>
      <c r="C373">
        <v>2025</v>
      </c>
      <c r="D373" t="s">
        <v>16</v>
      </c>
      <c r="E373" t="s">
        <v>1</v>
      </c>
      <c r="F373">
        <v>10013002.870000003</v>
      </c>
      <c r="G373" t="s">
        <v>36</v>
      </c>
      <c r="H373" t="s">
        <v>85</v>
      </c>
    </row>
    <row r="374" spans="1:8" x14ac:dyDescent="0.3">
      <c r="A374" t="s">
        <v>468</v>
      </c>
      <c r="B374" t="s">
        <v>85</v>
      </c>
      <c r="C374">
        <v>2025</v>
      </c>
      <c r="D374" t="s">
        <v>16</v>
      </c>
      <c r="E374" t="s">
        <v>4</v>
      </c>
      <c r="F374">
        <v>12795.085768211922</v>
      </c>
      <c r="G374" t="s">
        <v>30</v>
      </c>
      <c r="H374" t="s">
        <v>85</v>
      </c>
    </row>
    <row r="375" spans="1:8" x14ac:dyDescent="0.3">
      <c r="A375" t="s">
        <v>469</v>
      </c>
      <c r="B375" t="s">
        <v>85</v>
      </c>
      <c r="C375">
        <v>2025</v>
      </c>
      <c r="D375" t="s">
        <v>16</v>
      </c>
      <c r="E375" t="s">
        <v>4</v>
      </c>
      <c r="F375">
        <v>1510</v>
      </c>
      <c r="G375" t="s">
        <v>54</v>
      </c>
      <c r="H375" t="s">
        <v>85</v>
      </c>
    </row>
    <row r="376" spans="1:8" x14ac:dyDescent="0.3">
      <c r="A376" t="s">
        <v>470</v>
      </c>
      <c r="B376" t="s">
        <v>85</v>
      </c>
      <c r="C376">
        <v>2025</v>
      </c>
      <c r="D376" t="s">
        <v>16</v>
      </c>
      <c r="E376" t="s">
        <v>4</v>
      </c>
      <c r="F376">
        <v>19320579.510000002</v>
      </c>
      <c r="G376" t="s">
        <v>36</v>
      </c>
      <c r="H376" t="s">
        <v>85</v>
      </c>
    </row>
    <row r="377" spans="1:8" x14ac:dyDescent="0.3">
      <c r="A377" t="s">
        <v>471</v>
      </c>
      <c r="B377" t="s">
        <v>85</v>
      </c>
      <c r="C377">
        <v>2025</v>
      </c>
      <c r="D377" t="s">
        <v>16</v>
      </c>
      <c r="E377" t="s">
        <v>38</v>
      </c>
      <c r="F377">
        <v>11341.491139817628</v>
      </c>
      <c r="G377" t="s">
        <v>30</v>
      </c>
      <c r="H377" t="s">
        <v>85</v>
      </c>
    </row>
    <row r="378" spans="1:8" x14ac:dyDescent="0.3">
      <c r="A378" t="s">
        <v>472</v>
      </c>
      <c r="B378" t="s">
        <v>85</v>
      </c>
      <c r="C378">
        <v>2025</v>
      </c>
      <c r="D378" t="s">
        <v>16</v>
      </c>
      <c r="E378" t="s">
        <v>38</v>
      </c>
      <c r="F378">
        <v>658</v>
      </c>
      <c r="G378" t="s">
        <v>54</v>
      </c>
      <c r="H378" t="s">
        <v>85</v>
      </c>
    </row>
    <row r="379" spans="1:8" x14ac:dyDescent="0.3">
      <c r="A379" t="s">
        <v>473</v>
      </c>
      <c r="B379" t="s">
        <v>85</v>
      </c>
      <c r="C379">
        <v>2025</v>
      </c>
      <c r="D379" t="s">
        <v>16</v>
      </c>
      <c r="E379" t="s">
        <v>38</v>
      </c>
      <c r="F379">
        <v>7462701.169999999</v>
      </c>
      <c r="G379" t="s">
        <v>36</v>
      </c>
      <c r="H379" t="s">
        <v>85</v>
      </c>
    </row>
    <row r="380" spans="1:8" x14ac:dyDescent="0.3">
      <c r="A380" t="s">
        <v>474</v>
      </c>
      <c r="B380" t="s">
        <v>86</v>
      </c>
      <c r="C380">
        <v>2025</v>
      </c>
      <c r="D380" t="s">
        <v>8</v>
      </c>
      <c r="E380" t="s">
        <v>3</v>
      </c>
      <c r="F380">
        <v>13130.641428571427</v>
      </c>
      <c r="G380" t="s">
        <v>30</v>
      </c>
      <c r="H380" t="s">
        <v>86</v>
      </c>
    </row>
    <row r="381" spans="1:8" x14ac:dyDescent="0.3">
      <c r="A381" t="s">
        <v>475</v>
      </c>
      <c r="B381" t="s">
        <v>86</v>
      </c>
      <c r="C381">
        <v>2025</v>
      </c>
      <c r="D381" t="s">
        <v>8</v>
      </c>
      <c r="E381" t="s">
        <v>3</v>
      </c>
      <c r="F381">
        <v>21</v>
      </c>
      <c r="G381" t="s">
        <v>54</v>
      </c>
      <c r="H381" t="s">
        <v>86</v>
      </c>
    </row>
    <row r="382" spans="1:8" x14ac:dyDescent="0.3">
      <c r="A382" t="s">
        <v>476</v>
      </c>
      <c r="B382" t="s">
        <v>86</v>
      </c>
      <c r="C382">
        <v>2025</v>
      </c>
      <c r="D382" t="s">
        <v>8</v>
      </c>
      <c r="E382" t="s">
        <v>3</v>
      </c>
      <c r="F382">
        <v>275743.46999999997</v>
      </c>
      <c r="G382" t="s">
        <v>36</v>
      </c>
      <c r="H382" t="s">
        <v>86</v>
      </c>
    </row>
    <row r="383" spans="1:8" x14ac:dyDescent="0.3">
      <c r="A383" t="s">
        <v>477</v>
      </c>
      <c r="B383" t="s">
        <v>86</v>
      </c>
      <c r="C383">
        <v>2025</v>
      </c>
      <c r="D383" t="s">
        <v>8</v>
      </c>
      <c r="E383" t="s">
        <v>2</v>
      </c>
      <c r="F383">
        <v>9587.4497247706495</v>
      </c>
      <c r="G383" t="s">
        <v>30</v>
      </c>
      <c r="H383" t="s">
        <v>86</v>
      </c>
    </row>
    <row r="384" spans="1:8" x14ac:dyDescent="0.3">
      <c r="A384" t="s">
        <v>478</v>
      </c>
      <c r="B384" t="s">
        <v>86</v>
      </c>
      <c r="C384">
        <v>2025</v>
      </c>
      <c r="D384" t="s">
        <v>8</v>
      </c>
      <c r="E384" t="s">
        <v>2</v>
      </c>
      <c r="F384">
        <v>218</v>
      </c>
      <c r="G384" t="s">
        <v>54</v>
      </c>
      <c r="H384" t="s">
        <v>86</v>
      </c>
    </row>
    <row r="385" spans="1:8" x14ac:dyDescent="0.3">
      <c r="A385" t="s">
        <v>479</v>
      </c>
      <c r="B385" t="s">
        <v>86</v>
      </c>
      <c r="C385">
        <v>2025</v>
      </c>
      <c r="D385" t="s">
        <v>8</v>
      </c>
      <c r="E385" t="s">
        <v>2</v>
      </c>
      <c r="F385">
        <v>2090064.0400000014</v>
      </c>
      <c r="G385" t="s">
        <v>36</v>
      </c>
      <c r="H385" t="s">
        <v>86</v>
      </c>
    </row>
    <row r="386" spans="1:8" x14ac:dyDescent="0.3">
      <c r="A386" t="s">
        <v>480</v>
      </c>
      <c r="B386" t="s">
        <v>86</v>
      </c>
      <c r="C386">
        <v>2025</v>
      </c>
      <c r="D386" t="s">
        <v>8</v>
      </c>
      <c r="E386" t="s">
        <v>1</v>
      </c>
      <c r="F386">
        <v>13031.106605316963</v>
      </c>
      <c r="G386" t="s">
        <v>30</v>
      </c>
      <c r="H386" t="s">
        <v>86</v>
      </c>
    </row>
    <row r="387" spans="1:8" x14ac:dyDescent="0.3">
      <c r="A387" t="s">
        <v>481</v>
      </c>
      <c r="B387" t="s">
        <v>86</v>
      </c>
      <c r="C387">
        <v>2025</v>
      </c>
      <c r="D387" t="s">
        <v>8</v>
      </c>
      <c r="E387" t="s">
        <v>1</v>
      </c>
      <c r="F387">
        <v>489</v>
      </c>
      <c r="G387" t="s">
        <v>54</v>
      </c>
      <c r="H387" t="s">
        <v>86</v>
      </c>
    </row>
    <row r="388" spans="1:8" x14ac:dyDescent="0.3">
      <c r="A388" t="s">
        <v>482</v>
      </c>
      <c r="B388" t="s">
        <v>86</v>
      </c>
      <c r="C388">
        <v>2025</v>
      </c>
      <c r="D388" t="s">
        <v>8</v>
      </c>
      <c r="E388" t="s">
        <v>1</v>
      </c>
      <c r="F388">
        <v>6372211.1299999952</v>
      </c>
      <c r="G388" t="s">
        <v>36</v>
      </c>
      <c r="H388" t="s">
        <v>86</v>
      </c>
    </row>
    <row r="389" spans="1:8" x14ac:dyDescent="0.3">
      <c r="A389" t="s">
        <v>483</v>
      </c>
      <c r="B389" t="s">
        <v>86</v>
      </c>
      <c r="C389">
        <v>2025</v>
      </c>
      <c r="D389" t="s">
        <v>8</v>
      </c>
      <c r="E389" t="s">
        <v>4</v>
      </c>
      <c r="F389">
        <v>11455.655485915488</v>
      </c>
      <c r="G389" t="s">
        <v>30</v>
      </c>
      <c r="H389" t="s">
        <v>86</v>
      </c>
    </row>
    <row r="390" spans="1:8" x14ac:dyDescent="0.3">
      <c r="A390" t="s">
        <v>484</v>
      </c>
      <c r="B390" t="s">
        <v>86</v>
      </c>
      <c r="C390">
        <v>2025</v>
      </c>
      <c r="D390" t="s">
        <v>8</v>
      </c>
      <c r="E390" t="s">
        <v>4</v>
      </c>
      <c r="F390">
        <v>1420</v>
      </c>
      <c r="G390" t="s">
        <v>54</v>
      </c>
      <c r="H390" t="s">
        <v>86</v>
      </c>
    </row>
    <row r="391" spans="1:8" x14ac:dyDescent="0.3">
      <c r="A391" t="s">
        <v>485</v>
      </c>
      <c r="B391" t="s">
        <v>86</v>
      </c>
      <c r="C391">
        <v>2025</v>
      </c>
      <c r="D391" t="s">
        <v>8</v>
      </c>
      <c r="E391" t="s">
        <v>4</v>
      </c>
      <c r="F391">
        <v>16267030.789999994</v>
      </c>
      <c r="G391" t="s">
        <v>36</v>
      </c>
      <c r="H391" t="s">
        <v>86</v>
      </c>
    </row>
    <row r="392" spans="1:8" x14ac:dyDescent="0.3">
      <c r="A392" t="s">
        <v>486</v>
      </c>
      <c r="B392" t="s">
        <v>86</v>
      </c>
      <c r="C392">
        <v>2025</v>
      </c>
      <c r="D392" t="s">
        <v>8</v>
      </c>
      <c r="E392" t="s">
        <v>38</v>
      </c>
      <c r="F392">
        <v>10880.075361271671</v>
      </c>
      <c r="G392" t="s">
        <v>30</v>
      </c>
      <c r="H392" t="s">
        <v>86</v>
      </c>
    </row>
    <row r="393" spans="1:8" x14ac:dyDescent="0.3">
      <c r="A393" t="s">
        <v>487</v>
      </c>
      <c r="B393" t="s">
        <v>86</v>
      </c>
      <c r="C393">
        <v>2025</v>
      </c>
      <c r="D393" t="s">
        <v>8</v>
      </c>
      <c r="E393" t="s">
        <v>38</v>
      </c>
      <c r="F393">
        <v>692</v>
      </c>
      <c r="G393" t="s">
        <v>54</v>
      </c>
      <c r="H393" t="s">
        <v>86</v>
      </c>
    </row>
    <row r="394" spans="1:8" x14ac:dyDescent="0.3">
      <c r="A394" t="s">
        <v>488</v>
      </c>
      <c r="B394" t="s">
        <v>86</v>
      </c>
      <c r="C394">
        <v>2025</v>
      </c>
      <c r="D394" t="s">
        <v>8</v>
      </c>
      <c r="E394" t="s">
        <v>38</v>
      </c>
      <c r="F394">
        <v>7529012.1499999966</v>
      </c>
      <c r="G394" t="s">
        <v>36</v>
      </c>
      <c r="H394" t="s">
        <v>86</v>
      </c>
    </row>
    <row r="395" spans="1:8" x14ac:dyDescent="0.3">
      <c r="A395" t="s">
        <v>489</v>
      </c>
      <c r="B395" t="s">
        <v>87</v>
      </c>
      <c r="C395">
        <v>2025</v>
      </c>
      <c r="D395" t="s">
        <v>15</v>
      </c>
      <c r="E395" t="s">
        <v>2</v>
      </c>
      <c r="F395">
        <v>5672.3224637681151</v>
      </c>
      <c r="G395" t="s">
        <v>30</v>
      </c>
      <c r="H395" t="s">
        <v>87</v>
      </c>
    </row>
    <row r="396" spans="1:8" x14ac:dyDescent="0.3">
      <c r="A396" t="s">
        <v>490</v>
      </c>
      <c r="B396" t="s">
        <v>87</v>
      </c>
      <c r="C396">
        <v>2025</v>
      </c>
      <c r="D396" t="s">
        <v>15</v>
      </c>
      <c r="E396" t="s">
        <v>2</v>
      </c>
      <c r="F396">
        <v>138</v>
      </c>
      <c r="G396" t="s">
        <v>54</v>
      </c>
      <c r="H396" t="s">
        <v>87</v>
      </c>
    </row>
    <row r="397" spans="1:8" x14ac:dyDescent="0.3">
      <c r="A397" t="s">
        <v>491</v>
      </c>
      <c r="B397" t="s">
        <v>87</v>
      </c>
      <c r="C397">
        <v>2025</v>
      </c>
      <c r="D397" t="s">
        <v>15</v>
      </c>
      <c r="E397" t="s">
        <v>2</v>
      </c>
      <c r="F397">
        <v>782780.49999999988</v>
      </c>
      <c r="G397" t="s">
        <v>36</v>
      </c>
      <c r="H397" t="s">
        <v>87</v>
      </c>
    </row>
    <row r="398" spans="1:8" x14ac:dyDescent="0.3">
      <c r="A398" t="s">
        <v>492</v>
      </c>
      <c r="B398" t="s">
        <v>87</v>
      </c>
      <c r="C398">
        <v>2025</v>
      </c>
      <c r="D398" t="s">
        <v>15</v>
      </c>
      <c r="E398" t="s">
        <v>1</v>
      </c>
      <c r="F398">
        <v>12904.011474903484</v>
      </c>
      <c r="G398" t="s">
        <v>30</v>
      </c>
      <c r="H398" t="s">
        <v>87</v>
      </c>
    </row>
    <row r="399" spans="1:8" x14ac:dyDescent="0.3">
      <c r="A399" t="s">
        <v>493</v>
      </c>
      <c r="B399" t="s">
        <v>87</v>
      </c>
      <c r="C399">
        <v>2025</v>
      </c>
      <c r="D399" t="s">
        <v>15</v>
      </c>
      <c r="E399" t="s">
        <v>1</v>
      </c>
      <c r="F399">
        <v>1295</v>
      </c>
      <c r="G399" t="s">
        <v>54</v>
      </c>
      <c r="H399" t="s">
        <v>87</v>
      </c>
    </row>
    <row r="400" spans="1:8" x14ac:dyDescent="0.3">
      <c r="A400" t="s">
        <v>494</v>
      </c>
      <c r="B400" t="s">
        <v>87</v>
      </c>
      <c r="C400">
        <v>2025</v>
      </c>
      <c r="D400" t="s">
        <v>15</v>
      </c>
      <c r="E400" t="s">
        <v>1</v>
      </c>
      <c r="F400">
        <v>16710694.860000011</v>
      </c>
      <c r="G400" t="s">
        <v>36</v>
      </c>
      <c r="H400" t="s">
        <v>87</v>
      </c>
    </row>
    <row r="401" spans="1:8" x14ac:dyDescent="0.3">
      <c r="A401" t="s">
        <v>495</v>
      </c>
      <c r="B401" t="s">
        <v>87</v>
      </c>
      <c r="C401">
        <v>2025</v>
      </c>
      <c r="D401" t="s">
        <v>15</v>
      </c>
      <c r="E401" t="s">
        <v>4</v>
      </c>
      <c r="F401">
        <v>12150.026340110913</v>
      </c>
      <c r="G401" t="s">
        <v>30</v>
      </c>
      <c r="H401" t="s">
        <v>87</v>
      </c>
    </row>
    <row r="402" spans="1:8" x14ac:dyDescent="0.3">
      <c r="A402" t="s">
        <v>496</v>
      </c>
      <c r="B402" t="s">
        <v>87</v>
      </c>
      <c r="C402">
        <v>2025</v>
      </c>
      <c r="D402" t="s">
        <v>15</v>
      </c>
      <c r="E402" t="s">
        <v>4</v>
      </c>
      <c r="F402">
        <v>1623</v>
      </c>
      <c r="G402" t="s">
        <v>54</v>
      </c>
      <c r="H402" t="s">
        <v>87</v>
      </c>
    </row>
    <row r="403" spans="1:8" x14ac:dyDescent="0.3">
      <c r="A403" t="s">
        <v>497</v>
      </c>
      <c r="B403" t="s">
        <v>87</v>
      </c>
      <c r="C403">
        <v>2025</v>
      </c>
      <c r="D403" t="s">
        <v>15</v>
      </c>
      <c r="E403" t="s">
        <v>4</v>
      </c>
      <c r="F403">
        <v>19719492.750000011</v>
      </c>
      <c r="G403" t="s">
        <v>36</v>
      </c>
      <c r="H403" t="s">
        <v>87</v>
      </c>
    </row>
    <row r="404" spans="1:8" x14ac:dyDescent="0.3">
      <c r="A404" t="s">
        <v>498</v>
      </c>
      <c r="B404" t="s">
        <v>87</v>
      </c>
      <c r="C404">
        <v>2025</v>
      </c>
      <c r="D404" t="s">
        <v>15</v>
      </c>
      <c r="E404" t="s">
        <v>38</v>
      </c>
      <c r="F404">
        <v>11715.880999999998</v>
      </c>
      <c r="G404" t="s">
        <v>30</v>
      </c>
      <c r="H404" t="s">
        <v>87</v>
      </c>
    </row>
    <row r="405" spans="1:8" x14ac:dyDescent="0.3">
      <c r="A405" t="s">
        <v>499</v>
      </c>
      <c r="B405" t="s">
        <v>87</v>
      </c>
      <c r="C405">
        <v>2025</v>
      </c>
      <c r="D405" t="s">
        <v>15</v>
      </c>
      <c r="E405" t="s">
        <v>38</v>
      </c>
      <c r="F405">
        <v>190</v>
      </c>
      <c r="G405" t="s">
        <v>54</v>
      </c>
      <c r="H405" t="s">
        <v>87</v>
      </c>
    </row>
    <row r="406" spans="1:8" x14ac:dyDescent="0.3">
      <c r="A406" t="s">
        <v>500</v>
      </c>
      <c r="B406" t="s">
        <v>87</v>
      </c>
      <c r="C406">
        <v>2025</v>
      </c>
      <c r="D406" t="s">
        <v>15</v>
      </c>
      <c r="E406" t="s">
        <v>38</v>
      </c>
      <c r="F406">
        <v>2226017.3899999997</v>
      </c>
      <c r="G406" t="s">
        <v>36</v>
      </c>
      <c r="H406" t="s">
        <v>87</v>
      </c>
    </row>
    <row r="407" spans="1:8" x14ac:dyDescent="0.3">
      <c r="A407" t="s">
        <v>501</v>
      </c>
      <c r="B407" t="s">
        <v>88</v>
      </c>
      <c r="C407">
        <v>2025</v>
      </c>
      <c r="D407" t="s">
        <v>51</v>
      </c>
      <c r="E407" t="s">
        <v>2</v>
      </c>
      <c r="F407">
        <v>16270.605396825402</v>
      </c>
      <c r="G407" t="s">
        <v>30</v>
      </c>
      <c r="H407" t="s">
        <v>88</v>
      </c>
    </row>
    <row r="408" spans="1:8" x14ac:dyDescent="0.3">
      <c r="A408" t="s">
        <v>502</v>
      </c>
      <c r="B408" t="s">
        <v>88</v>
      </c>
      <c r="C408">
        <v>2025</v>
      </c>
      <c r="D408" t="s">
        <v>51</v>
      </c>
      <c r="E408" t="s">
        <v>2</v>
      </c>
      <c r="F408">
        <v>63</v>
      </c>
      <c r="G408" t="s">
        <v>54</v>
      </c>
      <c r="H408" t="s">
        <v>88</v>
      </c>
    </row>
    <row r="409" spans="1:8" x14ac:dyDescent="0.3">
      <c r="A409" t="s">
        <v>503</v>
      </c>
      <c r="B409" t="s">
        <v>88</v>
      </c>
      <c r="C409">
        <v>2025</v>
      </c>
      <c r="D409" t="s">
        <v>51</v>
      </c>
      <c r="E409" t="s">
        <v>2</v>
      </c>
      <c r="F409">
        <v>1025048.1400000004</v>
      </c>
      <c r="G409" t="s">
        <v>36</v>
      </c>
      <c r="H409" t="s">
        <v>88</v>
      </c>
    </row>
    <row r="410" spans="1:8" x14ac:dyDescent="0.3">
      <c r="A410" t="s">
        <v>504</v>
      </c>
      <c r="B410" t="s">
        <v>88</v>
      </c>
      <c r="C410">
        <v>2025</v>
      </c>
      <c r="D410" t="s">
        <v>51</v>
      </c>
      <c r="E410" t="s">
        <v>1</v>
      </c>
      <c r="F410">
        <v>15127.830593750017</v>
      </c>
      <c r="G410" t="s">
        <v>30</v>
      </c>
      <c r="H410" t="s">
        <v>88</v>
      </c>
    </row>
    <row r="411" spans="1:8" x14ac:dyDescent="0.3">
      <c r="A411" t="s">
        <v>505</v>
      </c>
      <c r="B411" t="s">
        <v>88</v>
      </c>
      <c r="C411">
        <v>2025</v>
      </c>
      <c r="D411" t="s">
        <v>51</v>
      </c>
      <c r="E411" t="s">
        <v>1</v>
      </c>
      <c r="F411">
        <v>1280</v>
      </c>
      <c r="G411" t="s">
        <v>54</v>
      </c>
      <c r="H411" t="s">
        <v>88</v>
      </c>
    </row>
    <row r="412" spans="1:8" x14ac:dyDescent="0.3">
      <c r="A412" t="s">
        <v>506</v>
      </c>
      <c r="B412" t="s">
        <v>88</v>
      </c>
      <c r="C412">
        <v>2025</v>
      </c>
      <c r="D412" t="s">
        <v>51</v>
      </c>
      <c r="E412" t="s">
        <v>1</v>
      </c>
      <c r="F412">
        <v>19363623.160000023</v>
      </c>
      <c r="G412" t="s">
        <v>36</v>
      </c>
      <c r="H412" t="s">
        <v>88</v>
      </c>
    </row>
    <row r="413" spans="1:8" x14ac:dyDescent="0.3">
      <c r="A413" t="s">
        <v>507</v>
      </c>
      <c r="B413" t="s">
        <v>88</v>
      </c>
      <c r="C413">
        <v>2025</v>
      </c>
      <c r="D413" t="s">
        <v>51</v>
      </c>
      <c r="E413" t="s">
        <v>4</v>
      </c>
      <c r="F413">
        <v>15181.438049143726</v>
      </c>
      <c r="G413" t="s">
        <v>30</v>
      </c>
      <c r="H413" t="s">
        <v>88</v>
      </c>
    </row>
    <row r="414" spans="1:8" x14ac:dyDescent="0.3">
      <c r="A414" t="s">
        <v>508</v>
      </c>
      <c r="B414" t="s">
        <v>88</v>
      </c>
      <c r="C414">
        <v>2025</v>
      </c>
      <c r="D414" t="s">
        <v>51</v>
      </c>
      <c r="E414" t="s">
        <v>4</v>
      </c>
      <c r="F414">
        <v>1343</v>
      </c>
      <c r="G414" t="s">
        <v>54</v>
      </c>
      <c r="H414" t="s">
        <v>88</v>
      </c>
    </row>
    <row r="415" spans="1:8" x14ac:dyDescent="0.3">
      <c r="A415" t="s">
        <v>509</v>
      </c>
      <c r="B415" t="s">
        <v>88</v>
      </c>
      <c r="C415">
        <v>2025</v>
      </c>
      <c r="D415" t="s">
        <v>51</v>
      </c>
      <c r="E415" t="s">
        <v>4</v>
      </c>
      <c r="F415">
        <v>20388671.300000023</v>
      </c>
      <c r="G415" t="s">
        <v>36</v>
      </c>
      <c r="H415" t="s">
        <v>88</v>
      </c>
    </row>
    <row r="416" spans="1:8" x14ac:dyDescent="0.3">
      <c r="A416" t="s">
        <v>510</v>
      </c>
      <c r="B416" t="s">
        <v>89</v>
      </c>
      <c r="C416">
        <v>2025</v>
      </c>
      <c r="D416" t="s">
        <v>52</v>
      </c>
      <c r="E416" t="s">
        <v>2</v>
      </c>
      <c r="F416">
        <v>8372.8629192789977</v>
      </c>
      <c r="G416" t="s">
        <v>30</v>
      </c>
      <c r="H416" t="s">
        <v>89</v>
      </c>
    </row>
    <row r="417" spans="1:8" x14ac:dyDescent="0.3">
      <c r="A417" t="s">
        <v>511</v>
      </c>
      <c r="B417" t="s">
        <v>89</v>
      </c>
      <c r="C417">
        <v>2025</v>
      </c>
      <c r="D417" t="s">
        <v>52</v>
      </c>
      <c r="E417" t="s">
        <v>2</v>
      </c>
      <c r="F417">
        <v>2552</v>
      </c>
      <c r="G417" t="s">
        <v>54</v>
      </c>
      <c r="H417" t="s">
        <v>89</v>
      </c>
    </row>
    <row r="418" spans="1:8" x14ac:dyDescent="0.3">
      <c r="A418" t="s">
        <v>512</v>
      </c>
      <c r="B418" t="s">
        <v>89</v>
      </c>
      <c r="C418">
        <v>2025</v>
      </c>
      <c r="D418" t="s">
        <v>52</v>
      </c>
      <c r="E418" t="s">
        <v>2</v>
      </c>
      <c r="F418">
        <v>21367546.170000002</v>
      </c>
      <c r="G418" t="s">
        <v>36</v>
      </c>
      <c r="H418" t="s">
        <v>89</v>
      </c>
    </row>
    <row r="419" spans="1:8" x14ac:dyDescent="0.3">
      <c r="A419" t="s">
        <v>513</v>
      </c>
      <c r="B419" t="s">
        <v>89</v>
      </c>
      <c r="C419">
        <v>2025</v>
      </c>
      <c r="D419" t="s">
        <v>52</v>
      </c>
      <c r="E419" t="s">
        <v>4</v>
      </c>
      <c r="F419">
        <v>8372.8629192789977</v>
      </c>
      <c r="G419" t="s">
        <v>30</v>
      </c>
      <c r="H419" t="s">
        <v>89</v>
      </c>
    </row>
    <row r="420" spans="1:8" x14ac:dyDescent="0.3">
      <c r="A420" t="s">
        <v>514</v>
      </c>
      <c r="B420" t="s">
        <v>89</v>
      </c>
      <c r="C420">
        <v>2025</v>
      </c>
      <c r="D420" t="s">
        <v>52</v>
      </c>
      <c r="E420" t="s">
        <v>4</v>
      </c>
      <c r="F420">
        <v>2552</v>
      </c>
      <c r="G420" t="s">
        <v>54</v>
      </c>
      <c r="H420" t="s">
        <v>89</v>
      </c>
    </row>
    <row r="421" spans="1:8" x14ac:dyDescent="0.3">
      <c r="A421" t="s">
        <v>515</v>
      </c>
      <c r="B421" t="s">
        <v>89</v>
      </c>
      <c r="C421">
        <v>2025</v>
      </c>
      <c r="D421" t="s">
        <v>52</v>
      </c>
      <c r="E421" t="s">
        <v>4</v>
      </c>
      <c r="F421">
        <v>21367546.170000002</v>
      </c>
      <c r="G421" t="s">
        <v>36</v>
      </c>
      <c r="H421" t="s">
        <v>89</v>
      </c>
    </row>
    <row r="422" spans="1:8" x14ac:dyDescent="0.3">
      <c r="A422" t="s">
        <v>2178</v>
      </c>
      <c r="B422" t="s">
        <v>90</v>
      </c>
      <c r="C422">
        <v>2025</v>
      </c>
      <c r="D422" t="s">
        <v>24</v>
      </c>
      <c r="E422" t="s">
        <v>2</v>
      </c>
      <c r="F422">
        <v>3707.96</v>
      </c>
      <c r="G422" t="s">
        <v>30</v>
      </c>
      <c r="H422" t="s">
        <v>90</v>
      </c>
    </row>
    <row r="423" spans="1:8" x14ac:dyDescent="0.3">
      <c r="A423" t="s">
        <v>2179</v>
      </c>
      <c r="B423" t="s">
        <v>90</v>
      </c>
      <c r="C423">
        <v>2025</v>
      </c>
      <c r="D423" t="s">
        <v>24</v>
      </c>
      <c r="E423" t="s">
        <v>2</v>
      </c>
      <c r="F423">
        <v>1</v>
      </c>
      <c r="G423" t="s">
        <v>54</v>
      </c>
      <c r="H423" t="s">
        <v>90</v>
      </c>
    </row>
    <row r="424" spans="1:8" x14ac:dyDescent="0.3">
      <c r="A424" t="s">
        <v>2180</v>
      </c>
      <c r="B424" t="s">
        <v>90</v>
      </c>
      <c r="C424">
        <v>2025</v>
      </c>
      <c r="D424" t="s">
        <v>24</v>
      </c>
      <c r="E424" t="s">
        <v>2</v>
      </c>
      <c r="F424">
        <v>3707.96</v>
      </c>
      <c r="G424" t="s">
        <v>36</v>
      </c>
      <c r="H424" t="s">
        <v>90</v>
      </c>
    </row>
    <row r="425" spans="1:8" x14ac:dyDescent="0.3">
      <c r="A425" t="s">
        <v>516</v>
      </c>
      <c r="B425" t="s">
        <v>90</v>
      </c>
      <c r="C425">
        <v>2025</v>
      </c>
      <c r="D425" t="s">
        <v>24</v>
      </c>
      <c r="E425" t="s">
        <v>1</v>
      </c>
      <c r="F425">
        <v>7765.4622085889578</v>
      </c>
      <c r="G425" t="s">
        <v>30</v>
      </c>
      <c r="H425" t="s">
        <v>90</v>
      </c>
    </row>
    <row r="426" spans="1:8" x14ac:dyDescent="0.3">
      <c r="A426" t="s">
        <v>517</v>
      </c>
      <c r="B426" t="s">
        <v>90</v>
      </c>
      <c r="C426">
        <v>2025</v>
      </c>
      <c r="D426" t="s">
        <v>24</v>
      </c>
      <c r="E426" t="s">
        <v>1</v>
      </c>
      <c r="F426">
        <v>163</v>
      </c>
      <c r="G426" t="s">
        <v>54</v>
      </c>
      <c r="H426" t="s">
        <v>90</v>
      </c>
    </row>
    <row r="427" spans="1:8" x14ac:dyDescent="0.3">
      <c r="A427" t="s">
        <v>518</v>
      </c>
      <c r="B427" t="s">
        <v>90</v>
      </c>
      <c r="C427">
        <v>2025</v>
      </c>
      <c r="D427" t="s">
        <v>24</v>
      </c>
      <c r="E427" t="s">
        <v>1</v>
      </c>
      <c r="F427">
        <v>1265770.3400000001</v>
      </c>
      <c r="G427" t="s">
        <v>36</v>
      </c>
      <c r="H427" t="s">
        <v>90</v>
      </c>
    </row>
    <row r="428" spans="1:8" x14ac:dyDescent="0.3">
      <c r="A428" t="s">
        <v>519</v>
      </c>
      <c r="B428" t="s">
        <v>90</v>
      </c>
      <c r="C428">
        <v>2025</v>
      </c>
      <c r="D428" t="s">
        <v>24</v>
      </c>
      <c r="E428" t="s">
        <v>4</v>
      </c>
      <c r="F428">
        <v>10031.899040697675</v>
      </c>
      <c r="G428" t="s">
        <v>30</v>
      </c>
      <c r="H428" t="s">
        <v>90</v>
      </c>
    </row>
    <row r="429" spans="1:8" x14ac:dyDescent="0.3">
      <c r="A429" t="s">
        <v>520</v>
      </c>
      <c r="B429" t="s">
        <v>90</v>
      </c>
      <c r="C429">
        <v>2025</v>
      </c>
      <c r="D429" t="s">
        <v>24</v>
      </c>
      <c r="E429" t="s">
        <v>4</v>
      </c>
      <c r="F429">
        <v>344</v>
      </c>
      <c r="G429" t="s">
        <v>54</v>
      </c>
      <c r="H429" t="s">
        <v>90</v>
      </c>
    </row>
    <row r="430" spans="1:8" x14ac:dyDescent="0.3">
      <c r="A430" t="s">
        <v>521</v>
      </c>
      <c r="B430" t="s">
        <v>90</v>
      </c>
      <c r="C430">
        <v>2025</v>
      </c>
      <c r="D430" t="s">
        <v>24</v>
      </c>
      <c r="E430" t="s">
        <v>4</v>
      </c>
      <c r="F430">
        <v>3450973.2700000005</v>
      </c>
      <c r="G430" t="s">
        <v>36</v>
      </c>
      <c r="H430" t="s">
        <v>90</v>
      </c>
    </row>
    <row r="431" spans="1:8" x14ac:dyDescent="0.3">
      <c r="A431" t="s">
        <v>522</v>
      </c>
      <c r="B431" t="s">
        <v>90</v>
      </c>
      <c r="C431">
        <v>2025</v>
      </c>
      <c r="D431" t="s">
        <v>24</v>
      </c>
      <c r="E431" t="s">
        <v>38</v>
      </c>
      <c r="F431">
        <v>12119.416500000003</v>
      </c>
      <c r="G431" t="s">
        <v>30</v>
      </c>
      <c r="H431" t="s">
        <v>90</v>
      </c>
    </row>
    <row r="432" spans="1:8" x14ac:dyDescent="0.3">
      <c r="A432" t="s">
        <v>523</v>
      </c>
      <c r="B432" t="s">
        <v>90</v>
      </c>
      <c r="C432">
        <v>2025</v>
      </c>
      <c r="D432" t="s">
        <v>24</v>
      </c>
      <c r="E432" t="s">
        <v>38</v>
      </c>
      <c r="F432">
        <v>180</v>
      </c>
      <c r="G432" t="s">
        <v>54</v>
      </c>
      <c r="H432" t="s">
        <v>90</v>
      </c>
    </row>
    <row r="433" spans="1:8" x14ac:dyDescent="0.3">
      <c r="A433" t="s">
        <v>524</v>
      </c>
      <c r="B433" t="s">
        <v>90</v>
      </c>
      <c r="C433">
        <v>2025</v>
      </c>
      <c r="D433" t="s">
        <v>24</v>
      </c>
      <c r="E433" t="s">
        <v>38</v>
      </c>
      <c r="F433">
        <v>2181494.9700000007</v>
      </c>
      <c r="G433" t="s">
        <v>36</v>
      </c>
      <c r="H433" t="s">
        <v>90</v>
      </c>
    </row>
    <row r="434" spans="1:8" x14ac:dyDescent="0.3">
      <c r="A434" t="s">
        <v>2146</v>
      </c>
      <c r="B434" t="s">
        <v>91</v>
      </c>
      <c r="C434">
        <v>2025</v>
      </c>
      <c r="D434" t="s">
        <v>25</v>
      </c>
      <c r="E434" t="s">
        <v>63</v>
      </c>
      <c r="F434">
        <v>3181.42</v>
      </c>
      <c r="G434" t="s">
        <v>30</v>
      </c>
      <c r="H434" t="s">
        <v>91</v>
      </c>
    </row>
    <row r="435" spans="1:8" x14ac:dyDescent="0.3">
      <c r="A435" t="s">
        <v>2147</v>
      </c>
      <c r="B435" t="s">
        <v>91</v>
      </c>
      <c r="C435">
        <v>2025</v>
      </c>
      <c r="D435" t="s">
        <v>25</v>
      </c>
      <c r="E435" t="s">
        <v>63</v>
      </c>
      <c r="F435">
        <v>1</v>
      </c>
      <c r="G435" t="s">
        <v>54</v>
      </c>
      <c r="H435" t="s">
        <v>91</v>
      </c>
    </row>
    <row r="436" spans="1:8" x14ac:dyDescent="0.3">
      <c r="A436" t="s">
        <v>2148</v>
      </c>
      <c r="B436" t="s">
        <v>91</v>
      </c>
      <c r="C436">
        <v>2025</v>
      </c>
      <c r="D436" t="s">
        <v>25</v>
      </c>
      <c r="E436" t="s">
        <v>63</v>
      </c>
      <c r="F436">
        <v>3181.42</v>
      </c>
      <c r="G436" t="s">
        <v>36</v>
      </c>
      <c r="H436" t="s">
        <v>91</v>
      </c>
    </row>
    <row r="437" spans="1:8" x14ac:dyDescent="0.3">
      <c r="A437" t="s">
        <v>2149</v>
      </c>
      <c r="B437" t="s">
        <v>91</v>
      </c>
      <c r="C437">
        <v>2025</v>
      </c>
      <c r="D437" t="s">
        <v>25</v>
      </c>
      <c r="E437" t="s">
        <v>3</v>
      </c>
      <c r="F437">
        <v>19837.169999999998</v>
      </c>
      <c r="G437" t="s">
        <v>30</v>
      </c>
      <c r="H437" t="s">
        <v>91</v>
      </c>
    </row>
    <row r="438" spans="1:8" x14ac:dyDescent="0.3">
      <c r="A438" t="s">
        <v>2150</v>
      </c>
      <c r="B438" t="s">
        <v>91</v>
      </c>
      <c r="C438">
        <v>2025</v>
      </c>
      <c r="D438" t="s">
        <v>25</v>
      </c>
      <c r="E438" t="s">
        <v>3</v>
      </c>
      <c r="F438">
        <v>2</v>
      </c>
      <c r="G438" t="s">
        <v>54</v>
      </c>
      <c r="H438" t="s">
        <v>91</v>
      </c>
    </row>
    <row r="439" spans="1:8" x14ac:dyDescent="0.3">
      <c r="A439" t="s">
        <v>2151</v>
      </c>
      <c r="B439" t="s">
        <v>91</v>
      </c>
      <c r="C439">
        <v>2025</v>
      </c>
      <c r="D439" t="s">
        <v>25</v>
      </c>
      <c r="E439" t="s">
        <v>3</v>
      </c>
      <c r="F439">
        <v>39674.339999999997</v>
      </c>
      <c r="G439" t="s">
        <v>36</v>
      </c>
      <c r="H439" t="s">
        <v>91</v>
      </c>
    </row>
    <row r="440" spans="1:8" x14ac:dyDescent="0.3">
      <c r="A440" t="s">
        <v>2152</v>
      </c>
      <c r="B440" t="s">
        <v>91</v>
      </c>
      <c r="C440">
        <v>2025</v>
      </c>
      <c r="D440" t="s">
        <v>25</v>
      </c>
      <c r="E440" t="s">
        <v>2</v>
      </c>
      <c r="F440">
        <v>9246.5756756756764</v>
      </c>
      <c r="G440" t="s">
        <v>30</v>
      </c>
      <c r="H440" t="s">
        <v>91</v>
      </c>
    </row>
    <row r="441" spans="1:8" x14ac:dyDescent="0.3">
      <c r="A441" t="s">
        <v>2153</v>
      </c>
      <c r="B441" t="s">
        <v>91</v>
      </c>
      <c r="C441">
        <v>2025</v>
      </c>
      <c r="D441" t="s">
        <v>25</v>
      </c>
      <c r="E441" t="s">
        <v>2</v>
      </c>
      <c r="F441">
        <v>37</v>
      </c>
      <c r="G441" t="s">
        <v>54</v>
      </c>
      <c r="H441" t="s">
        <v>91</v>
      </c>
    </row>
    <row r="442" spans="1:8" x14ac:dyDescent="0.3">
      <c r="A442" t="s">
        <v>2154</v>
      </c>
      <c r="B442" t="s">
        <v>91</v>
      </c>
      <c r="C442">
        <v>2025</v>
      </c>
      <c r="D442" t="s">
        <v>25</v>
      </c>
      <c r="E442" t="s">
        <v>2</v>
      </c>
      <c r="F442">
        <v>342123.30000000005</v>
      </c>
      <c r="G442" t="s">
        <v>36</v>
      </c>
      <c r="H442" t="s">
        <v>91</v>
      </c>
    </row>
    <row r="443" spans="1:8" x14ac:dyDescent="0.3">
      <c r="A443" t="s">
        <v>525</v>
      </c>
      <c r="B443" t="s">
        <v>91</v>
      </c>
      <c r="C443">
        <v>2025</v>
      </c>
      <c r="D443" t="s">
        <v>25</v>
      </c>
      <c r="E443" t="s">
        <v>1</v>
      </c>
      <c r="F443">
        <v>11317.220169851387</v>
      </c>
      <c r="G443" t="s">
        <v>30</v>
      </c>
      <c r="H443" t="s">
        <v>91</v>
      </c>
    </row>
    <row r="444" spans="1:8" x14ac:dyDescent="0.3">
      <c r="A444" t="s">
        <v>526</v>
      </c>
      <c r="B444" t="s">
        <v>91</v>
      </c>
      <c r="C444">
        <v>2025</v>
      </c>
      <c r="D444" t="s">
        <v>25</v>
      </c>
      <c r="E444" t="s">
        <v>1</v>
      </c>
      <c r="F444">
        <v>471</v>
      </c>
      <c r="G444" t="s">
        <v>54</v>
      </c>
      <c r="H444" t="s">
        <v>91</v>
      </c>
    </row>
    <row r="445" spans="1:8" x14ac:dyDescent="0.3">
      <c r="A445" t="s">
        <v>527</v>
      </c>
      <c r="B445" t="s">
        <v>91</v>
      </c>
      <c r="C445">
        <v>2025</v>
      </c>
      <c r="D445" t="s">
        <v>25</v>
      </c>
      <c r="E445" t="s">
        <v>1</v>
      </c>
      <c r="F445">
        <v>5330410.700000003</v>
      </c>
      <c r="G445" t="s">
        <v>36</v>
      </c>
      <c r="H445" t="s">
        <v>91</v>
      </c>
    </row>
    <row r="446" spans="1:8" x14ac:dyDescent="0.3">
      <c r="A446" t="s">
        <v>528</v>
      </c>
      <c r="B446" t="s">
        <v>91</v>
      </c>
      <c r="C446">
        <v>2025</v>
      </c>
      <c r="D446" t="s">
        <v>25</v>
      </c>
      <c r="E446" t="s">
        <v>4</v>
      </c>
      <c r="F446">
        <v>10717.828260038239</v>
      </c>
      <c r="G446" t="s">
        <v>30</v>
      </c>
      <c r="H446" t="s">
        <v>91</v>
      </c>
    </row>
    <row r="447" spans="1:8" x14ac:dyDescent="0.3">
      <c r="A447" t="s">
        <v>529</v>
      </c>
      <c r="B447" t="s">
        <v>91</v>
      </c>
      <c r="C447">
        <v>2025</v>
      </c>
      <c r="D447" t="s">
        <v>25</v>
      </c>
      <c r="E447" t="s">
        <v>4</v>
      </c>
      <c r="F447">
        <v>1046</v>
      </c>
      <c r="G447" t="s">
        <v>54</v>
      </c>
      <c r="H447" t="s">
        <v>91</v>
      </c>
    </row>
    <row r="448" spans="1:8" x14ac:dyDescent="0.3">
      <c r="A448" t="s">
        <v>530</v>
      </c>
      <c r="B448" t="s">
        <v>91</v>
      </c>
      <c r="C448">
        <v>2025</v>
      </c>
      <c r="D448" t="s">
        <v>25</v>
      </c>
      <c r="E448" t="s">
        <v>4</v>
      </c>
      <c r="F448">
        <v>11210848.359999998</v>
      </c>
      <c r="G448" t="s">
        <v>36</v>
      </c>
      <c r="H448" t="s">
        <v>91</v>
      </c>
    </row>
    <row r="449" spans="1:8" x14ac:dyDescent="0.3">
      <c r="A449" t="s">
        <v>531</v>
      </c>
      <c r="B449" t="s">
        <v>91</v>
      </c>
      <c r="C449">
        <v>2025</v>
      </c>
      <c r="D449" t="s">
        <v>25</v>
      </c>
      <c r="E449" t="s">
        <v>38</v>
      </c>
      <c r="F449">
        <v>10271.885233644851</v>
      </c>
      <c r="G449" t="s">
        <v>30</v>
      </c>
      <c r="H449" t="s">
        <v>91</v>
      </c>
    </row>
    <row r="450" spans="1:8" x14ac:dyDescent="0.3">
      <c r="A450" t="s">
        <v>532</v>
      </c>
      <c r="B450" t="s">
        <v>91</v>
      </c>
      <c r="C450">
        <v>2025</v>
      </c>
      <c r="D450" t="s">
        <v>25</v>
      </c>
      <c r="E450" t="s">
        <v>38</v>
      </c>
      <c r="F450">
        <v>535</v>
      </c>
      <c r="G450" t="s">
        <v>54</v>
      </c>
      <c r="H450" t="s">
        <v>91</v>
      </c>
    </row>
    <row r="451" spans="1:8" x14ac:dyDescent="0.3">
      <c r="A451" t="s">
        <v>533</v>
      </c>
      <c r="B451" t="s">
        <v>91</v>
      </c>
      <c r="C451">
        <v>2025</v>
      </c>
      <c r="D451" t="s">
        <v>25</v>
      </c>
      <c r="E451" t="s">
        <v>38</v>
      </c>
      <c r="F451">
        <v>5495458.599999995</v>
      </c>
      <c r="G451" t="s">
        <v>36</v>
      </c>
      <c r="H451" t="s">
        <v>91</v>
      </c>
    </row>
    <row r="452" spans="1:8" x14ac:dyDescent="0.3">
      <c r="A452" t="s">
        <v>2155</v>
      </c>
      <c r="B452" t="s">
        <v>92</v>
      </c>
      <c r="C452">
        <v>2025</v>
      </c>
      <c r="D452" t="s">
        <v>46</v>
      </c>
      <c r="E452" t="s">
        <v>3</v>
      </c>
      <c r="F452">
        <v>10610.62</v>
      </c>
      <c r="G452" t="s">
        <v>30</v>
      </c>
      <c r="H452" t="s">
        <v>92</v>
      </c>
    </row>
    <row r="453" spans="1:8" x14ac:dyDescent="0.3">
      <c r="A453" t="s">
        <v>2156</v>
      </c>
      <c r="B453" t="s">
        <v>92</v>
      </c>
      <c r="C453">
        <v>2025</v>
      </c>
      <c r="D453" t="s">
        <v>46</v>
      </c>
      <c r="E453" t="s">
        <v>3</v>
      </c>
      <c r="F453">
        <v>1</v>
      </c>
      <c r="G453" t="s">
        <v>54</v>
      </c>
      <c r="H453" t="s">
        <v>92</v>
      </c>
    </row>
    <row r="454" spans="1:8" x14ac:dyDescent="0.3">
      <c r="A454" t="s">
        <v>2157</v>
      </c>
      <c r="B454" t="s">
        <v>92</v>
      </c>
      <c r="C454">
        <v>2025</v>
      </c>
      <c r="D454" t="s">
        <v>46</v>
      </c>
      <c r="E454" t="s">
        <v>3</v>
      </c>
      <c r="F454">
        <v>10610.62</v>
      </c>
      <c r="G454" t="s">
        <v>36</v>
      </c>
      <c r="H454" t="s">
        <v>92</v>
      </c>
    </row>
    <row r="455" spans="1:8" x14ac:dyDescent="0.3">
      <c r="A455" t="s">
        <v>2158</v>
      </c>
      <c r="B455" t="s">
        <v>92</v>
      </c>
      <c r="C455">
        <v>2025</v>
      </c>
      <c r="D455" t="s">
        <v>46</v>
      </c>
      <c r="E455" t="s">
        <v>2</v>
      </c>
      <c r="F455">
        <v>7070.8</v>
      </c>
      <c r="G455" t="s">
        <v>30</v>
      </c>
      <c r="H455" t="s">
        <v>92</v>
      </c>
    </row>
    <row r="456" spans="1:8" x14ac:dyDescent="0.3">
      <c r="A456" t="s">
        <v>2159</v>
      </c>
      <c r="B456" t="s">
        <v>92</v>
      </c>
      <c r="C456">
        <v>2025</v>
      </c>
      <c r="D456" t="s">
        <v>46</v>
      </c>
      <c r="E456" t="s">
        <v>2</v>
      </c>
      <c r="F456">
        <v>1</v>
      </c>
      <c r="G456" t="s">
        <v>54</v>
      </c>
      <c r="H456" t="s">
        <v>92</v>
      </c>
    </row>
    <row r="457" spans="1:8" x14ac:dyDescent="0.3">
      <c r="A457" t="s">
        <v>2160</v>
      </c>
      <c r="B457" t="s">
        <v>92</v>
      </c>
      <c r="C457">
        <v>2025</v>
      </c>
      <c r="D457" t="s">
        <v>46</v>
      </c>
      <c r="E457" t="s">
        <v>2</v>
      </c>
      <c r="F457">
        <v>7070.8</v>
      </c>
      <c r="G457" t="s">
        <v>36</v>
      </c>
      <c r="H457" t="s">
        <v>92</v>
      </c>
    </row>
    <row r="458" spans="1:8" x14ac:dyDescent="0.3">
      <c r="A458" t="s">
        <v>534</v>
      </c>
      <c r="B458" t="s">
        <v>92</v>
      </c>
      <c r="C458">
        <v>2025</v>
      </c>
      <c r="D458" t="s">
        <v>46</v>
      </c>
      <c r="E458" t="s">
        <v>1</v>
      </c>
      <c r="F458">
        <v>7798.7017088607663</v>
      </c>
      <c r="G458" t="s">
        <v>30</v>
      </c>
      <c r="H458" t="s">
        <v>92</v>
      </c>
    </row>
    <row r="459" spans="1:8" x14ac:dyDescent="0.3">
      <c r="A459" t="s">
        <v>535</v>
      </c>
      <c r="B459" t="s">
        <v>92</v>
      </c>
      <c r="C459">
        <v>2025</v>
      </c>
      <c r="D459" t="s">
        <v>46</v>
      </c>
      <c r="E459" t="s">
        <v>1</v>
      </c>
      <c r="F459">
        <v>158</v>
      </c>
      <c r="G459" t="s">
        <v>54</v>
      </c>
      <c r="H459" t="s">
        <v>92</v>
      </c>
    </row>
    <row r="460" spans="1:8" x14ac:dyDescent="0.3">
      <c r="A460" t="s">
        <v>536</v>
      </c>
      <c r="B460" t="s">
        <v>92</v>
      </c>
      <c r="C460">
        <v>2025</v>
      </c>
      <c r="D460" t="s">
        <v>46</v>
      </c>
      <c r="E460" t="s">
        <v>1</v>
      </c>
      <c r="F460">
        <v>1232194.870000001</v>
      </c>
      <c r="G460" t="s">
        <v>36</v>
      </c>
      <c r="H460" t="s">
        <v>92</v>
      </c>
    </row>
    <row r="461" spans="1:8" x14ac:dyDescent="0.3">
      <c r="A461" t="s">
        <v>537</v>
      </c>
      <c r="B461" t="s">
        <v>92</v>
      </c>
      <c r="C461">
        <v>2025</v>
      </c>
      <c r="D461" t="s">
        <v>46</v>
      </c>
      <c r="E461" t="s">
        <v>4</v>
      </c>
      <c r="F461">
        <v>8458.9751372549072</v>
      </c>
      <c r="G461" t="s">
        <v>30</v>
      </c>
      <c r="H461" t="s">
        <v>92</v>
      </c>
    </row>
    <row r="462" spans="1:8" x14ac:dyDescent="0.3">
      <c r="A462" t="s">
        <v>538</v>
      </c>
      <c r="B462" t="s">
        <v>92</v>
      </c>
      <c r="C462">
        <v>2025</v>
      </c>
      <c r="D462" t="s">
        <v>46</v>
      </c>
      <c r="E462" t="s">
        <v>4</v>
      </c>
      <c r="F462">
        <v>255</v>
      </c>
      <c r="G462" t="s">
        <v>54</v>
      </c>
      <c r="H462" t="s">
        <v>92</v>
      </c>
    </row>
    <row r="463" spans="1:8" x14ac:dyDescent="0.3">
      <c r="A463" t="s">
        <v>539</v>
      </c>
      <c r="B463" t="s">
        <v>92</v>
      </c>
      <c r="C463">
        <v>2025</v>
      </c>
      <c r="D463" t="s">
        <v>46</v>
      </c>
      <c r="E463" t="s">
        <v>4</v>
      </c>
      <c r="F463">
        <v>2157038.6600000015</v>
      </c>
      <c r="G463" t="s">
        <v>36</v>
      </c>
      <c r="H463" t="s">
        <v>92</v>
      </c>
    </row>
    <row r="464" spans="1:8" x14ac:dyDescent="0.3">
      <c r="A464" t="s">
        <v>540</v>
      </c>
      <c r="B464" t="s">
        <v>92</v>
      </c>
      <c r="C464">
        <v>2025</v>
      </c>
      <c r="D464" t="s">
        <v>46</v>
      </c>
      <c r="E464" t="s">
        <v>38</v>
      </c>
      <c r="F464">
        <v>9549.0775789473719</v>
      </c>
      <c r="G464" t="s">
        <v>30</v>
      </c>
      <c r="H464" t="s">
        <v>92</v>
      </c>
    </row>
    <row r="465" spans="1:8" x14ac:dyDescent="0.3">
      <c r="A465" t="s">
        <v>541</v>
      </c>
      <c r="B465" t="s">
        <v>92</v>
      </c>
      <c r="C465">
        <v>2025</v>
      </c>
      <c r="D465" t="s">
        <v>46</v>
      </c>
      <c r="E465" t="s">
        <v>38</v>
      </c>
      <c r="F465">
        <v>95</v>
      </c>
      <c r="G465" t="s">
        <v>54</v>
      </c>
      <c r="H465" t="s">
        <v>92</v>
      </c>
    </row>
    <row r="466" spans="1:8" x14ac:dyDescent="0.3">
      <c r="A466" t="s">
        <v>542</v>
      </c>
      <c r="B466" t="s">
        <v>92</v>
      </c>
      <c r="C466">
        <v>2025</v>
      </c>
      <c r="D466" t="s">
        <v>46</v>
      </c>
      <c r="E466" t="s">
        <v>38</v>
      </c>
      <c r="F466">
        <v>907162.37000000034</v>
      </c>
      <c r="G466" t="s">
        <v>36</v>
      </c>
      <c r="H466" t="s">
        <v>92</v>
      </c>
    </row>
    <row r="467" spans="1:8" x14ac:dyDescent="0.3">
      <c r="A467" t="s">
        <v>2181</v>
      </c>
      <c r="B467" t="s">
        <v>93</v>
      </c>
      <c r="C467">
        <v>2025</v>
      </c>
      <c r="D467" t="s">
        <v>42</v>
      </c>
      <c r="E467" t="s">
        <v>2</v>
      </c>
      <c r="F467">
        <v>18185.86</v>
      </c>
      <c r="G467" t="s">
        <v>30</v>
      </c>
      <c r="H467" t="s">
        <v>93</v>
      </c>
    </row>
    <row r="468" spans="1:8" x14ac:dyDescent="0.3">
      <c r="A468" t="s">
        <v>2182</v>
      </c>
      <c r="B468" t="s">
        <v>93</v>
      </c>
      <c r="C468">
        <v>2025</v>
      </c>
      <c r="D468" t="s">
        <v>42</v>
      </c>
      <c r="E468" t="s">
        <v>2</v>
      </c>
      <c r="F468">
        <v>1</v>
      </c>
      <c r="G468" t="s">
        <v>54</v>
      </c>
      <c r="H468" t="s">
        <v>93</v>
      </c>
    </row>
    <row r="469" spans="1:8" x14ac:dyDescent="0.3">
      <c r="A469" t="s">
        <v>2183</v>
      </c>
      <c r="B469" t="s">
        <v>93</v>
      </c>
      <c r="C469">
        <v>2025</v>
      </c>
      <c r="D469" t="s">
        <v>42</v>
      </c>
      <c r="E469" t="s">
        <v>2</v>
      </c>
      <c r="F469">
        <v>18185.86</v>
      </c>
      <c r="G469" t="s">
        <v>36</v>
      </c>
      <c r="H469" t="s">
        <v>93</v>
      </c>
    </row>
    <row r="470" spans="1:8" x14ac:dyDescent="0.3">
      <c r="A470" t="s">
        <v>543</v>
      </c>
      <c r="B470" t="s">
        <v>93</v>
      </c>
      <c r="C470">
        <v>2025</v>
      </c>
      <c r="D470" t="s">
        <v>42</v>
      </c>
      <c r="E470" t="s">
        <v>1</v>
      </c>
      <c r="F470">
        <v>7574.4354455445591</v>
      </c>
      <c r="G470" t="s">
        <v>30</v>
      </c>
      <c r="H470" t="s">
        <v>93</v>
      </c>
    </row>
    <row r="471" spans="1:8" x14ac:dyDescent="0.3">
      <c r="A471" t="s">
        <v>544</v>
      </c>
      <c r="B471" t="s">
        <v>93</v>
      </c>
      <c r="C471">
        <v>2025</v>
      </c>
      <c r="D471" t="s">
        <v>42</v>
      </c>
      <c r="E471" t="s">
        <v>1</v>
      </c>
      <c r="F471">
        <v>202</v>
      </c>
      <c r="G471" t="s">
        <v>54</v>
      </c>
      <c r="H471" t="s">
        <v>93</v>
      </c>
    </row>
    <row r="472" spans="1:8" x14ac:dyDescent="0.3">
      <c r="A472" t="s">
        <v>545</v>
      </c>
      <c r="B472" t="s">
        <v>93</v>
      </c>
      <c r="C472">
        <v>2025</v>
      </c>
      <c r="D472" t="s">
        <v>42</v>
      </c>
      <c r="E472" t="s">
        <v>1</v>
      </c>
      <c r="F472">
        <v>1530035.9600000009</v>
      </c>
      <c r="G472" t="s">
        <v>36</v>
      </c>
      <c r="H472" t="s">
        <v>93</v>
      </c>
    </row>
    <row r="473" spans="1:8" x14ac:dyDescent="0.3">
      <c r="A473" t="s">
        <v>546</v>
      </c>
      <c r="B473" t="s">
        <v>93</v>
      </c>
      <c r="C473">
        <v>2025</v>
      </c>
      <c r="D473" t="s">
        <v>42</v>
      </c>
      <c r="E473" t="s">
        <v>4</v>
      </c>
      <c r="F473">
        <v>9340.6227160493909</v>
      </c>
      <c r="G473" t="s">
        <v>30</v>
      </c>
      <c r="H473" t="s">
        <v>93</v>
      </c>
    </row>
    <row r="474" spans="1:8" x14ac:dyDescent="0.3">
      <c r="A474" t="s">
        <v>547</v>
      </c>
      <c r="B474" t="s">
        <v>93</v>
      </c>
      <c r="C474">
        <v>2025</v>
      </c>
      <c r="D474" t="s">
        <v>42</v>
      </c>
      <c r="E474" t="s">
        <v>4</v>
      </c>
      <c r="F474">
        <v>405</v>
      </c>
      <c r="G474" t="s">
        <v>54</v>
      </c>
      <c r="H474" t="s">
        <v>93</v>
      </c>
    </row>
    <row r="475" spans="1:8" x14ac:dyDescent="0.3">
      <c r="A475" t="s">
        <v>548</v>
      </c>
      <c r="B475" t="s">
        <v>93</v>
      </c>
      <c r="C475">
        <v>2025</v>
      </c>
      <c r="D475" t="s">
        <v>42</v>
      </c>
      <c r="E475" t="s">
        <v>4</v>
      </c>
      <c r="F475">
        <v>3782952.200000003</v>
      </c>
      <c r="G475" t="s">
        <v>36</v>
      </c>
      <c r="H475" t="s">
        <v>93</v>
      </c>
    </row>
    <row r="476" spans="1:8" x14ac:dyDescent="0.3">
      <c r="A476" t="s">
        <v>549</v>
      </c>
      <c r="B476" t="s">
        <v>93</v>
      </c>
      <c r="C476">
        <v>2025</v>
      </c>
      <c r="D476" t="s">
        <v>42</v>
      </c>
      <c r="E476" t="s">
        <v>38</v>
      </c>
      <c r="F476">
        <v>11063.021683168328</v>
      </c>
      <c r="G476" t="s">
        <v>30</v>
      </c>
      <c r="H476" t="s">
        <v>93</v>
      </c>
    </row>
    <row r="477" spans="1:8" x14ac:dyDescent="0.3">
      <c r="A477" t="s">
        <v>550</v>
      </c>
      <c r="B477" t="s">
        <v>93</v>
      </c>
      <c r="C477">
        <v>2025</v>
      </c>
      <c r="D477" t="s">
        <v>42</v>
      </c>
      <c r="E477" t="s">
        <v>38</v>
      </c>
      <c r="F477">
        <v>202</v>
      </c>
      <c r="G477" t="s">
        <v>54</v>
      </c>
      <c r="H477" t="s">
        <v>93</v>
      </c>
    </row>
    <row r="478" spans="1:8" x14ac:dyDescent="0.3">
      <c r="A478" t="s">
        <v>551</v>
      </c>
      <c r="B478" t="s">
        <v>93</v>
      </c>
      <c r="C478">
        <v>2025</v>
      </c>
      <c r="D478" t="s">
        <v>42</v>
      </c>
      <c r="E478" t="s">
        <v>38</v>
      </c>
      <c r="F478">
        <v>2234730.3800000022</v>
      </c>
      <c r="G478" t="s">
        <v>36</v>
      </c>
      <c r="H478" t="s">
        <v>93</v>
      </c>
    </row>
    <row r="479" spans="1:8" x14ac:dyDescent="0.3">
      <c r="A479" t="s">
        <v>552</v>
      </c>
      <c r="B479" t="s">
        <v>94</v>
      </c>
      <c r="C479">
        <v>2025</v>
      </c>
      <c r="D479" t="s">
        <v>50</v>
      </c>
      <c r="E479" t="s">
        <v>1</v>
      </c>
      <c r="F479">
        <v>7487.6578151260555</v>
      </c>
      <c r="G479" t="s">
        <v>30</v>
      </c>
      <c r="H479" t="s">
        <v>94</v>
      </c>
    </row>
    <row r="480" spans="1:8" x14ac:dyDescent="0.3">
      <c r="A480" t="s">
        <v>553</v>
      </c>
      <c r="B480" t="s">
        <v>94</v>
      </c>
      <c r="C480">
        <v>2025</v>
      </c>
      <c r="D480" t="s">
        <v>50</v>
      </c>
      <c r="E480" t="s">
        <v>1</v>
      </c>
      <c r="F480">
        <v>238</v>
      </c>
      <c r="G480" t="s">
        <v>54</v>
      </c>
      <c r="H480" t="s">
        <v>94</v>
      </c>
    </row>
    <row r="481" spans="1:8" x14ac:dyDescent="0.3">
      <c r="A481" t="s">
        <v>554</v>
      </c>
      <c r="B481" t="s">
        <v>94</v>
      </c>
      <c r="C481">
        <v>2025</v>
      </c>
      <c r="D481" t="s">
        <v>50</v>
      </c>
      <c r="E481" t="s">
        <v>1</v>
      </c>
      <c r="F481">
        <v>1782062.5600000012</v>
      </c>
      <c r="G481" t="s">
        <v>36</v>
      </c>
      <c r="H481" t="s">
        <v>94</v>
      </c>
    </row>
    <row r="482" spans="1:8" x14ac:dyDescent="0.3">
      <c r="A482" t="s">
        <v>555</v>
      </c>
      <c r="B482" t="s">
        <v>94</v>
      </c>
      <c r="C482">
        <v>2025</v>
      </c>
      <c r="D482" t="s">
        <v>50</v>
      </c>
      <c r="E482" t="s">
        <v>4</v>
      </c>
      <c r="F482">
        <v>8171.1125352112704</v>
      </c>
      <c r="G482" t="s">
        <v>30</v>
      </c>
      <c r="H482" t="s">
        <v>94</v>
      </c>
    </row>
    <row r="483" spans="1:8" x14ac:dyDescent="0.3">
      <c r="A483" t="s">
        <v>556</v>
      </c>
      <c r="B483" t="s">
        <v>94</v>
      </c>
      <c r="C483">
        <v>2025</v>
      </c>
      <c r="D483" t="s">
        <v>50</v>
      </c>
      <c r="E483" t="s">
        <v>4</v>
      </c>
      <c r="F483">
        <v>426</v>
      </c>
      <c r="G483" t="s">
        <v>54</v>
      </c>
      <c r="H483" t="s">
        <v>94</v>
      </c>
    </row>
    <row r="484" spans="1:8" x14ac:dyDescent="0.3">
      <c r="A484" t="s">
        <v>557</v>
      </c>
      <c r="B484" t="s">
        <v>94</v>
      </c>
      <c r="C484">
        <v>2025</v>
      </c>
      <c r="D484" t="s">
        <v>50</v>
      </c>
      <c r="E484" t="s">
        <v>4</v>
      </c>
      <c r="F484">
        <v>3480893.9400000013</v>
      </c>
      <c r="G484" t="s">
        <v>36</v>
      </c>
      <c r="H484" t="s">
        <v>94</v>
      </c>
    </row>
    <row r="485" spans="1:8" x14ac:dyDescent="0.3">
      <c r="A485" t="s">
        <v>558</v>
      </c>
      <c r="B485" t="s">
        <v>94</v>
      </c>
      <c r="C485">
        <v>2025</v>
      </c>
      <c r="D485" t="s">
        <v>50</v>
      </c>
      <c r="E485" t="s">
        <v>38</v>
      </c>
      <c r="F485">
        <v>9036.3371276595772</v>
      </c>
      <c r="G485" t="s">
        <v>30</v>
      </c>
      <c r="H485" t="s">
        <v>94</v>
      </c>
    </row>
    <row r="486" spans="1:8" x14ac:dyDescent="0.3">
      <c r="A486" t="s">
        <v>559</v>
      </c>
      <c r="B486" t="s">
        <v>94</v>
      </c>
      <c r="C486">
        <v>2025</v>
      </c>
      <c r="D486" t="s">
        <v>50</v>
      </c>
      <c r="E486" t="s">
        <v>38</v>
      </c>
      <c r="F486">
        <v>188</v>
      </c>
      <c r="G486" t="s">
        <v>54</v>
      </c>
      <c r="H486" t="s">
        <v>94</v>
      </c>
    </row>
    <row r="487" spans="1:8" x14ac:dyDescent="0.3">
      <c r="A487" t="s">
        <v>560</v>
      </c>
      <c r="B487" t="s">
        <v>94</v>
      </c>
      <c r="C487">
        <v>2025</v>
      </c>
      <c r="D487" t="s">
        <v>50</v>
      </c>
      <c r="E487" t="s">
        <v>38</v>
      </c>
      <c r="F487">
        <v>1698831.3800000004</v>
      </c>
      <c r="G487" t="s">
        <v>36</v>
      </c>
      <c r="H487" t="s">
        <v>94</v>
      </c>
    </row>
    <row r="488" spans="1:8" x14ac:dyDescent="0.3">
      <c r="A488" t="s">
        <v>561</v>
      </c>
      <c r="B488" t="s">
        <v>95</v>
      </c>
      <c r="C488">
        <v>2025</v>
      </c>
      <c r="D488" t="s">
        <v>40</v>
      </c>
      <c r="E488" t="s">
        <v>1</v>
      </c>
      <c r="F488">
        <v>7093.6334117647166</v>
      </c>
      <c r="G488" t="s">
        <v>30</v>
      </c>
      <c r="H488" t="s">
        <v>95</v>
      </c>
    </row>
    <row r="489" spans="1:8" x14ac:dyDescent="0.3">
      <c r="A489" t="s">
        <v>562</v>
      </c>
      <c r="B489" t="s">
        <v>95</v>
      </c>
      <c r="C489">
        <v>2025</v>
      </c>
      <c r="D489" t="s">
        <v>40</v>
      </c>
      <c r="E489" t="s">
        <v>1</v>
      </c>
      <c r="F489">
        <v>255</v>
      </c>
      <c r="G489" t="s">
        <v>54</v>
      </c>
      <c r="H489" t="s">
        <v>95</v>
      </c>
    </row>
    <row r="490" spans="1:8" x14ac:dyDescent="0.3">
      <c r="A490" t="s">
        <v>563</v>
      </c>
      <c r="B490" t="s">
        <v>95</v>
      </c>
      <c r="C490">
        <v>2025</v>
      </c>
      <c r="D490" t="s">
        <v>40</v>
      </c>
      <c r="E490" t="s">
        <v>1</v>
      </c>
      <c r="F490">
        <v>1808876.5200000028</v>
      </c>
      <c r="G490" t="s">
        <v>36</v>
      </c>
      <c r="H490" t="s">
        <v>95</v>
      </c>
    </row>
    <row r="491" spans="1:8" x14ac:dyDescent="0.3">
      <c r="A491" t="s">
        <v>564</v>
      </c>
      <c r="B491" t="s">
        <v>95</v>
      </c>
      <c r="C491">
        <v>2025</v>
      </c>
      <c r="D491" t="s">
        <v>40</v>
      </c>
      <c r="E491" t="s">
        <v>4</v>
      </c>
      <c r="F491">
        <v>8283.2276525821671</v>
      </c>
      <c r="G491" t="s">
        <v>30</v>
      </c>
      <c r="H491" t="s">
        <v>95</v>
      </c>
    </row>
    <row r="492" spans="1:8" x14ac:dyDescent="0.3">
      <c r="A492" t="s">
        <v>565</v>
      </c>
      <c r="B492" t="s">
        <v>95</v>
      </c>
      <c r="C492">
        <v>2025</v>
      </c>
      <c r="D492" t="s">
        <v>40</v>
      </c>
      <c r="E492" t="s">
        <v>4</v>
      </c>
      <c r="F492">
        <v>426</v>
      </c>
      <c r="G492" t="s">
        <v>54</v>
      </c>
      <c r="H492" t="s">
        <v>95</v>
      </c>
    </row>
    <row r="493" spans="1:8" x14ac:dyDescent="0.3">
      <c r="A493" t="s">
        <v>566</v>
      </c>
      <c r="B493" t="s">
        <v>95</v>
      </c>
      <c r="C493">
        <v>2025</v>
      </c>
      <c r="D493" t="s">
        <v>40</v>
      </c>
      <c r="E493" t="s">
        <v>4</v>
      </c>
      <c r="F493">
        <v>3528654.9800000032</v>
      </c>
      <c r="G493" t="s">
        <v>36</v>
      </c>
      <c r="H493" t="s">
        <v>95</v>
      </c>
    </row>
    <row r="494" spans="1:8" x14ac:dyDescent="0.3">
      <c r="A494" t="s">
        <v>567</v>
      </c>
      <c r="B494" t="s">
        <v>95</v>
      </c>
      <c r="C494">
        <v>2025</v>
      </c>
      <c r="D494" t="s">
        <v>40</v>
      </c>
      <c r="E494" t="s">
        <v>38</v>
      </c>
      <c r="F494">
        <v>10057.18397660819</v>
      </c>
      <c r="G494" t="s">
        <v>30</v>
      </c>
      <c r="H494" t="s">
        <v>95</v>
      </c>
    </row>
    <row r="495" spans="1:8" x14ac:dyDescent="0.3">
      <c r="A495" t="s">
        <v>568</v>
      </c>
      <c r="B495" t="s">
        <v>95</v>
      </c>
      <c r="C495">
        <v>2025</v>
      </c>
      <c r="D495" t="s">
        <v>40</v>
      </c>
      <c r="E495" t="s">
        <v>38</v>
      </c>
      <c r="F495">
        <v>171</v>
      </c>
      <c r="G495" t="s">
        <v>54</v>
      </c>
      <c r="H495" t="s">
        <v>95</v>
      </c>
    </row>
    <row r="496" spans="1:8" x14ac:dyDescent="0.3">
      <c r="A496" t="s">
        <v>569</v>
      </c>
      <c r="B496" t="s">
        <v>95</v>
      </c>
      <c r="C496">
        <v>2025</v>
      </c>
      <c r="D496" t="s">
        <v>40</v>
      </c>
      <c r="E496" t="s">
        <v>38</v>
      </c>
      <c r="F496">
        <v>1719778.4600000007</v>
      </c>
      <c r="G496" t="s">
        <v>36</v>
      </c>
      <c r="H496" t="s">
        <v>95</v>
      </c>
    </row>
    <row r="497" spans="1:8" x14ac:dyDescent="0.3">
      <c r="A497" t="s">
        <v>2161</v>
      </c>
      <c r="B497" t="s">
        <v>96</v>
      </c>
      <c r="C497">
        <v>2025</v>
      </c>
      <c r="D497" t="s">
        <v>45</v>
      </c>
      <c r="E497" t="s">
        <v>2</v>
      </c>
      <c r="F497">
        <v>18389.400000000001</v>
      </c>
      <c r="G497" t="s">
        <v>30</v>
      </c>
      <c r="H497" t="s">
        <v>96</v>
      </c>
    </row>
    <row r="498" spans="1:8" x14ac:dyDescent="0.3">
      <c r="A498" t="s">
        <v>2162</v>
      </c>
      <c r="B498" t="s">
        <v>96</v>
      </c>
      <c r="C498">
        <v>2025</v>
      </c>
      <c r="D498" t="s">
        <v>45</v>
      </c>
      <c r="E498" t="s">
        <v>2</v>
      </c>
      <c r="F498">
        <v>2</v>
      </c>
      <c r="G498" t="s">
        <v>54</v>
      </c>
      <c r="H498" t="s">
        <v>96</v>
      </c>
    </row>
    <row r="499" spans="1:8" x14ac:dyDescent="0.3">
      <c r="A499" t="s">
        <v>2163</v>
      </c>
      <c r="B499" t="s">
        <v>96</v>
      </c>
      <c r="C499">
        <v>2025</v>
      </c>
      <c r="D499" t="s">
        <v>45</v>
      </c>
      <c r="E499" t="s">
        <v>2</v>
      </c>
      <c r="F499">
        <v>36778.800000000003</v>
      </c>
      <c r="G499" t="s">
        <v>36</v>
      </c>
      <c r="H499" t="s">
        <v>96</v>
      </c>
    </row>
    <row r="500" spans="1:8" x14ac:dyDescent="0.3">
      <c r="A500" t="s">
        <v>570</v>
      </c>
      <c r="B500" t="s">
        <v>96</v>
      </c>
      <c r="C500">
        <v>2025</v>
      </c>
      <c r="D500" t="s">
        <v>45</v>
      </c>
      <c r="E500" t="s">
        <v>1</v>
      </c>
      <c r="F500">
        <v>7622.8358677686074</v>
      </c>
      <c r="G500" t="s">
        <v>30</v>
      </c>
      <c r="H500" t="s">
        <v>96</v>
      </c>
    </row>
    <row r="501" spans="1:8" x14ac:dyDescent="0.3">
      <c r="A501" t="s">
        <v>571</v>
      </c>
      <c r="B501" t="s">
        <v>96</v>
      </c>
      <c r="C501">
        <v>2025</v>
      </c>
      <c r="D501" t="s">
        <v>45</v>
      </c>
      <c r="E501" t="s">
        <v>1</v>
      </c>
      <c r="F501">
        <v>242</v>
      </c>
      <c r="G501" t="s">
        <v>54</v>
      </c>
      <c r="H501" t="s">
        <v>96</v>
      </c>
    </row>
    <row r="502" spans="1:8" x14ac:dyDescent="0.3">
      <c r="A502" t="s">
        <v>572</v>
      </c>
      <c r="B502" t="s">
        <v>96</v>
      </c>
      <c r="C502">
        <v>2025</v>
      </c>
      <c r="D502" t="s">
        <v>45</v>
      </c>
      <c r="E502" t="s">
        <v>1</v>
      </c>
      <c r="F502">
        <v>1844726.2800000031</v>
      </c>
      <c r="G502" t="s">
        <v>36</v>
      </c>
      <c r="H502" t="s">
        <v>96</v>
      </c>
    </row>
    <row r="503" spans="1:8" x14ac:dyDescent="0.3">
      <c r="A503" t="s">
        <v>573</v>
      </c>
      <c r="B503" t="s">
        <v>96</v>
      </c>
      <c r="C503">
        <v>2025</v>
      </c>
      <c r="D503" t="s">
        <v>45</v>
      </c>
      <c r="E503" t="s">
        <v>4</v>
      </c>
      <c r="F503">
        <v>8276.0488337469069</v>
      </c>
      <c r="G503" t="s">
        <v>30</v>
      </c>
      <c r="H503" t="s">
        <v>96</v>
      </c>
    </row>
    <row r="504" spans="1:8" x14ac:dyDescent="0.3">
      <c r="A504" t="s">
        <v>574</v>
      </c>
      <c r="B504" t="s">
        <v>96</v>
      </c>
      <c r="C504">
        <v>2025</v>
      </c>
      <c r="D504" t="s">
        <v>45</v>
      </c>
      <c r="E504" t="s">
        <v>4</v>
      </c>
      <c r="F504">
        <v>403</v>
      </c>
      <c r="G504" t="s">
        <v>54</v>
      </c>
      <c r="H504" t="s">
        <v>96</v>
      </c>
    </row>
    <row r="505" spans="1:8" x14ac:dyDescent="0.3">
      <c r="A505" t="s">
        <v>575</v>
      </c>
      <c r="B505" t="s">
        <v>96</v>
      </c>
      <c r="C505">
        <v>2025</v>
      </c>
      <c r="D505" t="s">
        <v>45</v>
      </c>
      <c r="E505" t="s">
        <v>4</v>
      </c>
      <c r="F505">
        <v>3335247.6800000034</v>
      </c>
      <c r="G505" t="s">
        <v>36</v>
      </c>
      <c r="H505" t="s">
        <v>96</v>
      </c>
    </row>
    <row r="506" spans="1:8" x14ac:dyDescent="0.3">
      <c r="A506" t="s">
        <v>576</v>
      </c>
      <c r="B506" t="s">
        <v>96</v>
      </c>
      <c r="C506">
        <v>2025</v>
      </c>
      <c r="D506" t="s">
        <v>45</v>
      </c>
      <c r="E506" t="s">
        <v>38</v>
      </c>
      <c r="F506">
        <v>9143.0352201257901</v>
      </c>
      <c r="G506" t="s">
        <v>30</v>
      </c>
      <c r="H506" t="s">
        <v>96</v>
      </c>
    </row>
    <row r="507" spans="1:8" x14ac:dyDescent="0.3">
      <c r="A507" t="s">
        <v>577</v>
      </c>
      <c r="B507" t="s">
        <v>96</v>
      </c>
      <c r="C507">
        <v>2025</v>
      </c>
      <c r="D507" t="s">
        <v>45</v>
      </c>
      <c r="E507" t="s">
        <v>38</v>
      </c>
      <c r="F507">
        <v>159</v>
      </c>
      <c r="G507" t="s">
        <v>54</v>
      </c>
      <c r="H507" t="s">
        <v>96</v>
      </c>
    </row>
    <row r="508" spans="1:8" x14ac:dyDescent="0.3">
      <c r="A508" t="s">
        <v>578</v>
      </c>
      <c r="B508" t="s">
        <v>96</v>
      </c>
      <c r="C508">
        <v>2025</v>
      </c>
      <c r="D508" t="s">
        <v>45</v>
      </c>
      <c r="E508" t="s">
        <v>38</v>
      </c>
      <c r="F508">
        <v>1453742.6000000006</v>
      </c>
      <c r="G508" t="s">
        <v>36</v>
      </c>
      <c r="H508" t="s">
        <v>96</v>
      </c>
    </row>
    <row r="509" spans="1:8" x14ac:dyDescent="0.3">
      <c r="A509" t="s">
        <v>579</v>
      </c>
      <c r="B509" t="s">
        <v>97</v>
      </c>
      <c r="C509">
        <v>2025</v>
      </c>
      <c r="D509" t="s">
        <v>39</v>
      </c>
      <c r="E509" t="s">
        <v>1</v>
      </c>
      <c r="F509">
        <v>8547.4768229166766</v>
      </c>
      <c r="G509" t="s">
        <v>30</v>
      </c>
      <c r="H509" t="s">
        <v>97</v>
      </c>
    </row>
    <row r="510" spans="1:8" x14ac:dyDescent="0.3">
      <c r="A510" t="s">
        <v>580</v>
      </c>
      <c r="B510" t="s">
        <v>97</v>
      </c>
      <c r="C510">
        <v>2025</v>
      </c>
      <c r="D510" t="s">
        <v>39</v>
      </c>
      <c r="E510" t="s">
        <v>1</v>
      </c>
      <c r="F510">
        <v>192</v>
      </c>
      <c r="G510" t="s">
        <v>54</v>
      </c>
      <c r="H510" t="s">
        <v>97</v>
      </c>
    </row>
    <row r="511" spans="1:8" x14ac:dyDescent="0.3">
      <c r="A511" t="s">
        <v>581</v>
      </c>
      <c r="B511" t="s">
        <v>97</v>
      </c>
      <c r="C511">
        <v>2025</v>
      </c>
      <c r="D511" t="s">
        <v>39</v>
      </c>
      <c r="E511" t="s">
        <v>1</v>
      </c>
      <c r="F511">
        <v>1641115.5500000019</v>
      </c>
      <c r="G511" t="s">
        <v>36</v>
      </c>
      <c r="H511" t="s">
        <v>97</v>
      </c>
    </row>
    <row r="512" spans="1:8" x14ac:dyDescent="0.3">
      <c r="A512" t="s">
        <v>582</v>
      </c>
      <c r="B512" t="s">
        <v>97</v>
      </c>
      <c r="C512">
        <v>2025</v>
      </c>
      <c r="D512" t="s">
        <v>39</v>
      </c>
      <c r="E512" t="s">
        <v>4</v>
      </c>
      <c r="F512">
        <v>9161.8705782312991</v>
      </c>
      <c r="G512" t="s">
        <v>30</v>
      </c>
      <c r="H512" t="s">
        <v>97</v>
      </c>
    </row>
    <row r="513" spans="1:8" x14ac:dyDescent="0.3">
      <c r="A513" t="s">
        <v>583</v>
      </c>
      <c r="B513" t="s">
        <v>97</v>
      </c>
      <c r="C513">
        <v>2025</v>
      </c>
      <c r="D513" t="s">
        <v>39</v>
      </c>
      <c r="E513" t="s">
        <v>4</v>
      </c>
      <c r="F513">
        <v>294</v>
      </c>
      <c r="G513" t="s">
        <v>54</v>
      </c>
      <c r="H513" t="s">
        <v>97</v>
      </c>
    </row>
    <row r="514" spans="1:8" x14ac:dyDescent="0.3">
      <c r="A514" t="s">
        <v>584</v>
      </c>
      <c r="B514" t="s">
        <v>97</v>
      </c>
      <c r="C514">
        <v>2025</v>
      </c>
      <c r="D514" t="s">
        <v>39</v>
      </c>
      <c r="E514" t="s">
        <v>4</v>
      </c>
      <c r="F514">
        <v>2693589.950000002</v>
      </c>
      <c r="G514" t="s">
        <v>36</v>
      </c>
      <c r="H514" t="s">
        <v>97</v>
      </c>
    </row>
    <row r="515" spans="1:8" x14ac:dyDescent="0.3">
      <c r="A515" t="s">
        <v>585</v>
      </c>
      <c r="B515" t="s">
        <v>97</v>
      </c>
      <c r="C515">
        <v>2025</v>
      </c>
      <c r="D515" t="s">
        <v>39</v>
      </c>
      <c r="E515" t="s">
        <v>38</v>
      </c>
      <c r="F515">
        <v>10318.376470588235</v>
      </c>
      <c r="G515" t="s">
        <v>30</v>
      </c>
      <c r="H515" t="s">
        <v>97</v>
      </c>
    </row>
    <row r="516" spans="1:8" x14ac:dyDescent="0.3">
      <c r="A516" t="s">
        <v>586</v>
      </c>
      <c r="B516" t="s">
        <v>97</v>
      </c>
      <c r="C516">
        <v>2025</v>
      </c>
      <c r="D516" t="s">
        <v>39</v>
      </c>
      <c r="E516" t="s">
        <v>38</v>
      </c>
      <c r="F516">
        <v>102</v>
      </c>
      <c r="G516" t="s">
        <v>54</v>
      </c>
      <c r="H516" t="s">
        <v>97</v>
      </c>
    </row>
    <row r="517" spans="1:8" x14ac:dyDescent="0.3">
      <c r="A517" t="s">
        <v>587</v>
      </c>
      <c r="B517" t="s">
        <v>97</v>
      </c>
      <c r="C517">
        <v>2025</v>
      </c>
      <c r="D517" t="s">
        <v>39</v>
      </c>
      <c r="E517" t="s">
        <v>38</v>
      </c>
      <c r="F517">
        <v>1052474.3999999999</v>
      </c>
      <c r="G517" t="s">
        <v>36</v>
      </c>
      <c r="H517" t="s">
        <v>97</v>
      </c>
    </row>
    <row r="518" spans="1:8" x14ac:dyDescent="0.3">
      <c r="A518" t="s">
        <v>588</v>
      </c>
      <c r="B518" t="s">
        <v>98</v>
      </c>
      <c r="C518">
        <v>2025</v>
      </c>
      <c r="D518" t="s">
        <v>43</v>
      </c>
      <c r="E518" t="s">
        <v>1</v>
      </c>
      <c r="F518">
        <v>7849.6196610169536</v>
      </c>
      <c r="G518" t="s">
        <v>30</v>
      </c>
      <c r="H518" t="s">
        <v>98</v>
      </c>
    </row>
    <row r="519" spans="1:8" x14ac:dyDescent="0.3">
      <c r="A519" t="s">
        <v>589</v>
      </c>
      <c r="B519" t="s">
        <v>98</v>
      </c>
      <c r="C519">
        <v>2025</v>
      </c>
      <c r="D519" t="s">
        <v>43</v>
      </c>
      <c r="E519" t="s">
        <v>1</v>
      </c>
      <c r="F519">
        <v>295</v>
      </c>
      <c r="G519" t="s">
        <v>54</v>
      </c>
      <c r="H519" t="s">
        <v>98</v>
      </c>
    </row>
    <row r="520" spans="1:8" x14ac:dyDescent="0.3">
      <c r="A520" t="s">
        <v>590</v>
      </c>
      <c r="B520" t="s">
        <v>98</v>
      </c>
      <c r="C520">
        <v>2025</v>
      </c>
      <c r="D520" t="s">
        <v>43</v>
      </c>
      <c r="E520" t="s">
        <v>1</v>
      </c>
      <c r="F520">
        <v>2315637.8000000012</v>
      </c>
      <c r="G520" t="s">
        <v>36</v>
      </c>
      <c r="H520" t="s">
        <v>98</v>
      </c>
    </row>
    <row r="521" spans="1:8" x14ac:dyDescent="0.3">
      <c r="A521" t="s">
        <v>591</v>
      </c>
      <c r="B521" t="s">
        <v>98</v>
      </c>
      <c r="C521">
        <v>2025</v>
      </c>
      <c r="D521" t="s">
        <v>43</v>
      </c>
      <c r="E521" t="s">
        <v>4</v>
      </c>
      <c r="F521">
        <v>8557.1528505747156</v>
      </c>
      <c r="G521" t="s">
        <v>30</v>
      </c>
      <c r="H521" t="s">
        <v>98</v>
      </c>
    </row>
    <row r="522" spans="1:8" x14ac:dyDescent="0.3">
      <c r="A522" t="s">
        <v>592</v>
      </c>
      <c r="B522" t="s">
        <v>98</v>
      </c>
      <c r="C522">
        <v>2025</v>
      </c>
      <c r="D522" t="s">
        <v>43</v>
      </c>
      <c r="E522" t="s">
        <v>4</v>
      </c>
      <c r="F522">
        <v>435</v>
      </c>
      <c r="G522" t="s">
        <v>54</v>
      </c>
      <c r="H522" t="s">
        <v>98</v>
      </c>
    </row>
    <row r="523" spans="1:8" x14ac:dyDescent="0.3">
      <c r="A523" t="s">
        <v>593</v>
      </c>
      <c r="B523" t="s">
        <v>98</v>
      </c>
      <c r="C523">
        <v>2025</v>
      </c>
      <c r="D523" t="s">
        <v>43</v>
      </c>
      <c r="E523" t="s">
        <v>4</v>
      </c>
      <c r="F523">
        <v>3722361.4900000012</v>
      </c>
      <c r="G523" t="s">
        <v>36</v>
      </c>
      <c r="H523" t="s">
        <v>98</v>
      </c>
    </row>
    <row r="524" spans="1:8" x14ac:dyDescent="0.3">
      <c r="A524" t="s">
        <v>594</v>
      </c>
      <c r="B524" t="s">
        <v>98</v>
      </c>
      <c r="C524">
        <v>2025</v>
      </c>
      <c r="D524" t="s">
        <v>43</v>
      </c>
      <c r="E524" t="s">
        <v>38</v>
      </c>
      <c r="F524">
        <v>10048.026357142857</v>
      </c>
      <c r="G524" t="s">
        <v>30</v>
      </c>
      <c r="H524" t="s">
        <v>98</v>
      </c>
    </row>
    <row r="525" spans="1:8" x14ac:dyDescent="0.3">
      <c r="A525" t="s">
        <v>595</v>
      </c>
      <c r="B525" t="s">
        <v>98</v>
      </c>
      <c r="C525">
        <v>2025</v>
      </c>
      <c r="D525" t="s">
        <v>43</v>
      </c>
      <c r="E525" t="s">
        <v>38</v>
      </c>
      <c r="F525">
        <v>140</v>
      </c>
      <c r="G525" t="s">
        <v>54</v>
      </c>
      <c r="H525" t="s">
        <v>98</v>
      </c>
    </row>
    <row r="526" spans="1:8" x14ac:dyDescent="0.3">
      <c r="A526" t="s">
        <v>596</v>
      </c>
      <c r="B526" t="s">
        <v>98</v>
      </c>
      <c r="C526">
        <v>2025</v>
      </c>
      <c r="D526" t="s">
        <v>43</v>
      </c>
      <c r="E526" t="s">
        <v>38</v>
      </c>
      <c r="F526">
        <v>1406723.69</v>
      </c>
      <c r="G526" t="s">
        <v>36</v>
      </c>
      <c r="H526" t="s">
        <v>98</v>
      </c>
    </row>
    <row r="527" spans="1:8" x14ac:dyDescent="0.3">
      <c r="A527" t="s">
        <v>2164</v>
      </c>
      <c r="B527" t="s">
        <v>99</v>
      </c>
      <c r="C527">
        <v>2025</v>
      </c>
      <c r="D527" t="s">
        <v>47</v>
      </c>
      <c r="E527" t="s">
        <v>3</v>
      </c>
      <c r="F527">
        <v>0</v>
      </c>
      <c r="G527" t="s">
        <v>30</v>
      </c>
      <c r="H527" t="s">
        <v>99</v>
      </c>
    </row>
    <row r="528" spans="1:8" x14ac:dyDescent="0.3">
      <c r="A528" t="s">
        <v>2165</v>
      </c>
      <c r="B528" t="s">
        <v>99</v>
      </c>
      <c r="C528">
        <v>2025</v>
      </c>
      <c r="D528" t="s">
        <v>47</v>
      </c>
      <c r="E528" t="s">
        <v>3</v>
      </c>
      <c r="F528">
        <v>0</v>
      </c>
      <c r="G528" t="s">
        <v>54</v>
      </c>
      <c r="H528" t="s">
        <v>99</v>
      </c>
    </row>
    <row r="529" spans="1:8" x14ac:dyDescent="0.3">
      <c r="A529" t="s">
        <v>2166</v>
      </c>
      <c r="B529" t="s">
        <v>99</v>
      </c>
      <c r="C529">
        <v>2025</v>
      </c>
      <c r="D529" t="s">
        <v>47</v>
      </c>
      <c r="E529" t="s">
        <v>3</v>
      </c>
      <c r="F529">
        <v>0</v>
      </c>
      <c r="G529" t="s">
        <v>36</v>
      </c>
      <c r="H529" t="s">
        <v>99</v>
      </c>
    </row>
    <row r="530" spans="1:8" x14ac:dyDescent="0.3">
      <c r="A530" t="s">
        <v>2167</v>
      </c>
      <c r="B530" t="s">
        <v>99</v>
      </c>
      <c r="C530">
        <v>2025</v>
      </c>
      <c r="D530" t="s">
        <v>47</v>
      </c>
      <c r="E530" t="s">
        <v>2</v>
      </c>
      <c r="F530">
        <v>9123.8950000000004</v>
      </c>
      <c r="G530" t="s">
        <v>30</v>
      </c>
      <c r="H530" t="s">
        <v>99</v>
      </c>
    </row>
    <row r="531" spans="1:8" x14ac:dyDescent="0.3">
      <c r="A531" t="s">
        <v>2168</v>
      </c>
      <c r="B531" t="s">
        <v>99</v>
      </c>
      <c r="C531">
        <v>2025</v>
      </c>
      <c r="D531" t="s">
        <v>47</v>
      </c>
      <c r="E531" t="s">
        <v>2</v>
      </c>
      <c r="F531">
        <v>2</v>
      </c>
      <c r="G531" t="s">
        <v>54</v>
      </c>
      <c r="H531" t="s">
        <v>99</v>
      </c>
    </row>
    <row r="532" spans="1:8" x14ac:dyDescent="0.3">
      <c r="A532" t="s">
        <v>2169</v>
      </c>
      <c r="B532" t="s">
        <v>99</v>
      </c>
      <c r="C532">
        <v>2025</v>
      </c>
      <c r="D532" t="s">
        <v>47</v>
      </c>
      <c r="E532" t="s">
        <v>2</v>
      </c>
      <c r="F532">
        <v>18247.79</v>
      </c>
      <c r="G532" t="s">
        <v>36</v>
      </c>
      <c r="H532" t="s">
        <v>99</v>
      </c>
    </row>
    <row r="533" spans="1:8" x14ac:dyDescent="0.3">
      <c r="A533" t="s">
        <v>597</v>
      </c>
      <c r="B533" t="s">
        <v>99</v>
      </c>
      <c r="C533">
        <v>2025</v>
      </c>
      <c r="D533" t="s">
        <v>47</v>
      </c>
      <c r="E533" t="s">
        <v>1</v>
      </c>
      <c r="F533">
        <v>8863.2606024096494</v>
      </c>
      <c r="G533" t="s">
        <v>30</v>
      </c>
      <c r="H533" t="s">
        <v>99</v>
      </c>
    </row>
    <row r="534" spans="1:8" x14ac:dyDescent="0.3">
      <c r="A534" t="s">
        <v>598</v>
      </c>
      <c r="B534" t="s">
        <v>99</v>
      </c>
      <c r="C534">
        <v>2025</v>
      </c>
      <c r="D534" t="s">
        <v>47</v>
      </c>
      <c r="E534" t="s">
        <v>1</v>
      </c>
      <c r="F534">
        <v>166</v>
      </c>
      <c r="G534" t="s">
        <v>54</v>
      </c>
      <c r="H534" t="s">
        <v>99</v>
      </c>
    </row>
    <row r="535" spans="1:8" x14ac:dyDescent="0.3">
      <c r="A535" t="s">
        <v>599</v>
      </c>
      <c r="B535" t="s">
        <v>99</v>
      </c>
      <c r="C535">
        <v>2025</v>
      </c>
      <c r="D535" t="s">
        <v>47</v>
      </c>
      <c r="E535" t="s">
        <v>1</v>
      </c>
      <c r="F535">
        <v>1471301.2600000019</v>
      </c>
      <c r="G535" t="s">
        <v>36</v>
      </c>
      <c r="H535" t="s">
        <v>99</v>
      </c>
    </row>
    <row r="536" spans="1:8" x14ac:dyDescent="0.3">
      <c r="A536" t="s">
        <v>600</v>
      </c>
      <c r="B536" t="s">
        <v>99</v>
      </c>
      <c r="C536">
        <v>2025</v>
      </c>
      <c r="D536" t="s">
        <v>47</v>
      </c>
      <c r="E536" t="s">
        <v>4</v>
      </c>
      <c r="F536">
        <v>9703.2652247191108</v>
      </c>
      <c r="G536" t="s">
        <v>30</v>
      </c>
      <c r="H536" t="s">
        <v>99</v>
      </c>
    </row>
    <row r="537" spans="1:8" x14ac:dyDescent="0.3">
      <c r="A537" t="s">
        <v>601</v>
      </c>
      <c r="B537" t="s">
        <v>99</v>
      </c>
      <c r="C537">
        <v>2025</v>
      </c>
      <c r="D537" t="s">
        <v>47</v>
      </c>
      <c r="E537" t="s">
        <v>4</v>
      </c>
      <c r="F537">
        <v>356</v>
      </c>
      <c r="G537" t="s">
        <v>54</v>
      </c>
      <c r="H537" t="s">
        <v>99</v>
      </c>
    </row>
    <row r="538" spans="1:8" x14ac:dyDescent="0.3">
      <c r="A538" t="s">
        <v>602</v>
      </c>
      <c r="B538" t="s">
        <v>99</v>
      </c>
      <c r="C538">
        <v>2025</v>
      </c>
      <c r="D538" t="s">
        <v>47</v>
      </c>
      <c r="E538" t="s">
        <v>4</v>
      </c>
      <c r="F538">
        <v>3454362.4200000037</v>
      </c>
      <c r="G538" t="s">
        <v>36</v>
      </c>
      <c r="H538" t="s">
        <v>99</v>
      </c>
    </row>
    <row r="539" spans="1:8" x14ac:dyDescent="0.3">
      <c r="A539" t="s">
        <v>603</v>
      </c>
      <c r="B539" t="s">
        <v>99</v>
      </c>
      <c r="C539">
        <v>2025</v>
      </c>
      <c r="D539" t="s">
        <v>47</v>
      </c>
      <c r="E539" t="s">
        <v>38</v>
      </c>
      <c r="F539">
        <v>10451.134946808519</v>
      </c>
      <c r="G539" t="s">
        <v>30</v>
      </c>
      <c r="H539" t="s">
        <v>99</v>
      </c>
    </row>
    <row r="540" spans="1:8" x14ac:dyDescent="0.3">
      <c r="A540" t="s">
        <v>604</v>
      </c>
      <c r="B540" t="s">
        <v>99</v>
      </c>
      <c r="C540">
        <v>2025</v>
      </c>
      <c r="D540" t="s">
        <v>47</v>
      </c>
      <c r="E540" t="s">
        <v>38</v>
      </c>
      <c r="F540">
        <v>188</v>
      </c>
      <c r="G540" t="s">
        <v>54</v>
      </c>
      <c r="H540" t="s">
        <v>99</v>
      </c>
    </row>
    <row r="541" spans="1:8" x14ac:dyDescent="0.3">
      <c r="A541" t="s">
        <v>605</v>
      </c>
      <c r="B541" t="s">
        <v>99</v>
      </c>
      <c r="C541">
        <v>2025</v>
      </c>
      <c r="D541" t="s">
        <v>47</v>
      </c>
      <c r="E541" t="s">
        <v>38</v>
      </c>
      <c r="F541">
        <v>1964813.3700000017</v>
      </c>
      <c r="G541" t="s">
        <v>36</v>
      </c>
      <c r="H541" t="s">
        <v>99</v>
      </c>
    </row>
    <row r="542" spans="1:8" x14ac:dyDescent="0.3">
      <c r="A542" t="s">
        <v>606</v>
      </c>
      <c r="B542" t="s">
        <v>100</v>
      </c>
      <c r="C542">
        <v>2025</v>
      </c>
      <c r="D542" t="s">
        <v>41</v>
      </c>
      <c r="E542" t="s">
        <v>1</v>
      </c>
      <c r="F542">
        <v>9477.7570790378122</v>
      </c>
      <c r="G542" t="s">
        <v>30</v>
      </c>
      <c r="H542" t="s">
        <v>100</v>
      </c>
    </row>
    <row r="543" spans="1:8" x14ac:dyDescent="0.3">
      <c r="A543" t="s">
        <v>607</v>
      </c>
      <c r="B543" t="s">
        <v>100</v>
      </c>
      <c r="C543">
        <v>2025</v>
      </c>
      <c r="D543" t="s">
        <v>41</v>
      </c>
      <c r="E543" t="s">
        <v>1</v>
      </c>
      <c r="F543">
        <v>291</v>
      </c>
      <c r="G543" t="s">
        <v>54</v>
      </c>
      <c r="H543" t="s">
        <v>100</v>
      </c>
    </row>
    <row r="544" spans="1:8" x14ac:dyDescent="0.3">
      <c r="A544" t="s">
        <v>608</v>
      </c>
      <c r="B544" t="s">
        <v>100</v>
      </c>
      <c r="C544">
        <v>2025</v>
      </c>
      <c r="D544" t="s">
        <v>41</v>
      </c>
      <c r="E544" t="s">
        <v>1</v>
      </c>
      <c r="F544">
        <v>2758027.3100000033</v>
      </c>
      <c r="G544" t="s">
        <v>36</v>
      </c>
      <c r="H544" t="s">
        <v>100</v>
      </c>
    </row>
    <row r="545" spans="1:8" x14ac:dyDescent="0.3">
      <c r="A545" t="s">
        <v>609</v>
      </c>
      <c r="B545" t="s">
        <v>100</v>
      </c>
      <c r="C545">
        <v>2025</v>
      </c>
      <c r="D545" t="s">
        <v>41</v>
      </c>
      <c r="E545" t="s">
        <v>4</v>
      </c>
      <c r="F545">
        <v>9538.8354663774517</v>
      </c>
      <c r="G545" t="s">
        <v>30</v>
      </c>
      <c r="H545" t="s">
        <v>100</v>
      </c>
    </row>
    <row r="546" spans="1:8" x14ac:dyDescent="0.3">
      <c r="A546" t="s">
        <v>610</v>
      </c>
      <c r="B546" t="s">
        <v>100</v>
      </c>
      <c r="C546">
        <v>2025</v>
      </c>
      <c r="D546" t="s">
        <v>41</v>
      </c>
      <c r="E546" t="s">
        <v>4</v>
      </c>
      <c r="F546">
        <v>461</v>
      </c>
      <c r="G546" t="s">
        <v>54</v>
      </c>
      <c r="H546" t="s">
        <v>100</v>
      </c>
    </row>
    <row r="547" spans="1:8" x14ac:dyDescent="0.3">
      <c r="A547" t="s">
        <v>611</v>
      </c>
      <c r="B547" t="s">
        <v>100</v>
      </c>
      <c r="C547">
        <v>2025</v>
      </c>
      <c r="D547" t="s">
        <v>41</v>
      </c>
      <c r="E547" t="s">
        <v>4</v>
      </c>
      <c r="F547">
        <v>4397403.150000005</v>
      </c>
      <c r="G547" t="s">
        <v>36</v>
      </c>
      <c r="H547" t="s">
        <v>100</v>
      </c>
    </row>
    <row r="548" spans="1:8" x14ac:dyDescent="0.3">
      <c r="A548" t="s">
        <v>612</v>
      </c>
      <c r="B548" t="s">
        <v>100</v>
      </c>
      <c r="C548">
        <v>2025</v>
      </c>
      <c r="D548" t="s">
        <v>41</v>
      </c>
      <c r="E548" t="s">
        <v>38</v>
      </c>
      <c r="F548">
        <v>9643.3872941176578</v>
      </c>
      <c r="G548" t="s">
        <v>30</v>
      </c>
      <c r="H548" t="s">
        <v>100</v>
      </c>
    </row>
    <row r="549" spans="1:8" x14ac:dyDescent="0.3">
      <c r="A549" t="s">
        <v>613</v>
      </c>
      <c r="B549" t="s">
        <v>100</v>
      </c>
      <c r="C549">
        <v>2025</v>
      </c>
      <c r="D549" t="s">
        <v>41</v>
      </c>
      <c r="E549" t="s">
        <v>38</v>
      </c>
      <c r="F549">
        <v>170</v>
      </c>
      <c r="G549" t="s">
        <v>54</v>
      </c>
      <c r="H549" t="s">
        <v>100</v>
      </c>
    </row>
    <row r="550" spans="1:8" x14ac:dyDescent="0.3">
      <c r="A550" t="s">
        <v>614</v>
      </c>
      <c r="B550" t="s">
        <v>100</v>
      </c>
      <c r="C550">
        <v>2025</v>
      </c>
      <c r="D550" t="s">
        <v>41</v>
      </c>
      <c r="E550" t="s">
        <v>38</v>
      </c>
      <c r="F550">
        <v>1639375.8400000017</v>
      </c>
      <c r="G550" t="s">
        <v>36</v>
      </c>
      <c r="H550" t="s">
        <v>100</v>
      </c>
    </row>
    <row r="551" spans="1:8" x14ac:dyDescent="0.3">
      <c r="A551" t="s">
        <v>2184</v>
      </c>
      <c r="B551" t="s">
        <v>101</v>
      </c>
      <c r="C551">
        <v>2025</v>
      </c>
      <c r="D551" t="s">
        <v>37</v>
      </c>
      <c r="E551" t="s">
        <v>2</v>
      </c>
      <c r="F551">
        <v>3530.97</v>
      </c>
      <c r="G551" t="s">
        <v>30</v>
      </c>
      <c r="H551" t="s">
        <v>101</v>
      </c>
    </row>
    <row r="552" spans="1:8" x14ac:dyDescent="0.3">
      <c r="A552" t="s">
        <v>2185</v>
      </c>
      <c r="B552" t="s">
        <v>101</v>
      </c>
      <c r="C552">
        <v>2025</v>
      </c>
      <c r="D552" t="s">
        <v>37</v>
      </c>
      <c r="E552" t="s">
        <v>2</v>
      </c>
      <c r="F552">
        <v>1</v>
      </c>
      <c r="G552" t="s">
        <v>54</v>
      </c>
      <c r="H552" t="s">
        <v>101</v>
      </c>
    </row>
    <row r="553" spans="1:8" x14ac:dyDescent="0.3">
      <c r="A553" t="s">
        <v>2186</v>
      </c>
      <c r="B553" t="s">
        <v>101</v>
      </c>
      <c r="C553">
        <v>2025</v>
      </c>
      <c r="D553" t="s">
        <v>37</v>
      </c>
      <c r="E553" t="s">
        <v>2</v>
      </c>
      <c r="F553">
        <v>3530.97</v>
      </c>
      <c r="G553" t="s">
        <v>36</v>
      </c>
      <c r="H553" t="s">
        <v>101</v>
      </c>
    </row>
    <row r="554" spans="1:8" x14ac:dyDescent="0.3">
      <c r="A554" t="s">
        <v>615</v>
      </c>
      <c r="B554" t="s">
        <v>101</v>
      </c>
      <c r="C554">
        <v>2025</v>
      </c>
      <c r="D554" t="s">
        <v>37</v>
      </c>
      <c r="E554" t="s">
        <v>1</v>
      </c>
      <c r="F554">
        <v>7672.4002857142896</v>
      </c>
      <c r="G554" t="s">
        <v>30</v>
      </c>
      <c r="H554" t="s">
        <v>101</v>
      </c>
    </row>
    <row r="555" spans="1:8" x14ac:dyDescent="0.3">
      <c r="A555" t="s">
        <v>616</v>
      </c>
      <c r="B555" t="s">
        <v>101</v>
      </c>
      <c r="C555">
        <v>2025</v>
      </c>
      <c r="D555" t="s">
        <v>37</v>
      </c>
      <c r="E555" t="s">
        <v>1</v>
      </c>
      <c r="F555">
        <v>105</v>
      </c>
      <c r="G555" t="s">
        <v>54</v>
      </c>
      <c r="H555" t="s">
        <v>101</v>
      </c>
    </row>
    <row r="556" spans="1:8" x14ac:dyDescent="0.3">
      <c r="A556" t="s">
        <v>617</v>
      </c>
      <c r="B556" t="s">
        <v>101</v>
      </c>
      <c r="C556">
        <v>2025</v>
      </c>
      <c r="D556" t="s">
        <v>37</v>
      </c>
      <c r="E556" t="s">
        <v>1</v>
      </c>
      <c r="F556">
        <v>805602.03000000038</v>
      </c>
      <c r="G556" t="s">
        <v>36</v>
      </c>
      <c r="H556" t="s">
        <v>101</v>
      </c>
    </row>
    <row r="557" spans="1:8" x14ac:dyDescent="0.3">
      <c r="A557" t="s">
        <v>618</v>
      </c>
      <c r="B557" t="s">
        <v>101</v>
      </c>
      <c r="C557">
        <v>2025</v>
      </c>
      <c r="D557" t="s">
        <v>37</v>
      </c>
      <c r="E557" t="s">
        <v>4</v>
      </c>
      <c r="F557">
        <v>8224.5575000000008</v>
      </c>
      <c r="G557" t="s">
        <v>30</v>
      </c>
      <c r="H557" t="s">
        <v>101</v>
      </c>
    </row>
    <row r="558" spans="1:8" x14ac:dyDescent="0.3">
      <c r="A558" t="s">
        <v>619</v>
      </c>
      <c r="B558" t="s">
        <v>101</v>
      </c>
      <c r="C558">
        <v>2025</v>
      </c>
      <c r="D558" t="s">
        <v>37</v>
      </c>
      <c r="E558" t="s">
        <v>4</v>
      </c>
      <c r="F558">
        <v>336</v>
      </c>
      <c r="G558" t="s">
        <v>54</v>
      </c>
      <c r="H558" t="s">
        <v>101</v>
      </c>
    </row>
    <row r="559" spans="1:8" x14ac:dyDescent="0.3">
      <c r="A559" t="s">
        <v>620</v>
      </c>
      <c r="B559" t="s">
        <v>101</v>
      </c>
      <c r="C559">
        <v>2025</v>
      </c>
      <c r="D559" t="s">
        <v>37</v>
      </c>
      <c r="E559" t="s">
        <v>4</v>
      </c>
      <c r="F559">
        <v>2763451.3200000003</v>
      </c>
      <c r="G559" t="s">
        <v>36</v>
      </c>
      <c r="H559" t="s">
        <v>101</v>
      </c>
    </row>
    <row r="560" spans="1:8" x14ac:dyDescent="0.3">
      <c r="A560" t="s">
        <v>621</v>
      </c>
      <c r="B560" t="s">
        <v>101</v>
      </c>
      <c r="C560">
        <v>2025</v>
      </c>
      <c r="D560" t="s">
        <v>37</v>
      </c>
      <c r="E560" t="s">
        <v>38</v>
      </c>
      <c r="F560">
        <v>8497.0361739130421</v>
      </c>
      <c r="G560" t="s">
        <v>30</v>
      </c>
      <c r="H560" t="s">
        <v>101</v>
      </c>
    </row>
    <row r="561" spans="1:8" x14ac:dyDescent="0.3">
      <c r="A561" t="s">
        <v>622</v>
      </c>
      <c r="B561" t="s">
        <v>101</v>
      </c>
      <c r="C561">
        <v>2025</v>
      </c>
      <c r="D561" t="s">
        <v>37</v>
      </c>
      <c r="E561" t="s">
        <v>38</v>
      </c>
      <c r="F561">
        <v>230</v>
      </c>
      <c r="G561" t="s">
        <v>54</v>
      </c>
      <c r="H561" t="s">
        <v>101</v>
      </c>
    </row>
    <row r="562" spans="1:8" x14ac:dyDescent="0.3">
      <c r="A562" t="s">
        <v>623</v>
      </c>
      <c r="B562" t="s">
        <v>101</v>
      </c>
      <c r="C562">
        <v>2025</v>
      </c>
      <c r="D562" t="s">
        <v>37</v>
      </c>
      <c r="E562" t="s">
        <v>38</v>
      </c>
      <c r="F562">
        <v>1954318.3199999998</v>
      </c>
      <c r="G562" t="s">
        <v>36</v>
      </c>
      <c r="H562" t="s">
        <v>101</v>
      </c>
    </row>
    <row r="563" spans="1:8" x14ac:dyDescent="0.3">
      <c r="A563" t="s">
        <v>2170</v>
      </c>
      <c r="B563" t="s">
        <v>60</v>
      </c>
      <c r="C563">
        <v>2025</v>
      </c>
      <c r="D563" t="s">
        <v>60</v>
      </c>
      <c r="E563" t="s">
        <v>3</v>
      </c>
      <c r="F563">
        <v>10610.62</v>
      </c>
      <c r="G563" t="s">
        <v>36</v>
      </c>
      <c r="H563" t="s">
        <v>60</v>
      </c>
    </row>
    <row r="564" spans="1:8" x14ac:dyDescent="0.3">
      <c r="A564" t="s">
        <v>2171</v>
      </c>
      <c r="B564" t="s">
        <v>60</v>
      </c>
      <c r="C564">
        <v>2025</v>
      </c>
      <c r="D564" t="s">
        <v>60</v>
      </c>
      <c r="E564" t="s">
        <v>3</v>
      </c>
      <c r="F564">
        <v>1</v>
      </c>
      <c r="G564" t="s">
        <v>54</v>
      </c>
      <c r="H564" t="s">
        <v>60</v>
      </c>
    </row>
    <row r="565" spans="1:8" x14ac:dyDescent="0.3">
      <c r="A565" t="s">
        <v>2172</v>
      </c>
      <c r="B565" t="s">
        <v>60</v>
      </c>
      <c r="C565">
        <v>2025</v>
      </c>
      <c r="D565" t="s">
        <v>60</v>
      </c>
      <c r="E565" t="s">
        <v>3</v>
      </c>
      <c r="F565">
        <v>10610.62</v>
      </c>
      <c r="G565" t="s">
        <v>36</v>
      </c>
      <c r="H565" t="s">
        <v>60</v>
      </c>
    </row>
    <row r="566" spans="1:8" x14ac:dyDescent="0.3">
      <c r="A566" t="s">
        <v>2173</v>
      </c>
      <c r="B566" t="s">
        <v>60</v>
      </c>
      <c r="C566">
        <v>2025</v>
      </c>
      <c r="D566" t="s">
        <v>60</v>
      </c>
      <c r="E566" t="s">
        <v>2</v>
      </c>
      <c r="F566">
        <v>10940.272500000001</v>
      </c>
      <c r="G566" t="s">
        <v>36</v>
      </c>
      <c r="H566" t="s">
        <v>60</v>
      </c>
    </row>
    <row r="567" spans="1:8" x14ac:dyDescent="0.3">
      <c r="A567" t="s">
        <v>2174</v>
      </c>
      <c r="B567" t="s">
        <v>60</v>
      </c>
      <c r="C567">
        <v>2025</v>
      </c>
      <c r="D567" t="s">
        <v>60</v>
      </c>
      <c r="E567" t="s">
        <v>2</v>
      </c>
      <c r="F567">
        <v>8</v>
      </c>
      <c r="G567" t="s">
        <v>54</v>
      </c>
      <c r="H567" t="s">
        <v>60</v>
      </c>
    </row>
    <row r="568" spans="1:8" x14ac:dyDescent="0.3">
      <c r="A568" t="s">
        <v>2175</v>
      </c>
      <c r="B568" t="s">
        <v>60</v>
      </c>
      <c r="C568">
        <v>2025</v>
      </c>
      <c r="D568" t="s">
        <v>60</v>
      </c>
      <c r="E568" t="s">
        <v>2</v>
      </c>
      <c r="F568">
        <v>87522.180000000008</v>
      </c>
      <c r="G568" t="s">
        <v>36</v>
      </c>
      <c r="H568" t="s">
        <v>60</v>
      </c>
    </row>
    <row r="569" spans="1:8" x14ac:dyDescent="0.3">
      <c r="A569" t="s">
        <v>624</v>
      </c>
      <c r="B569" t="s">
        <v>60</v>
      </c>
      <c r="C569">
        <v>2025</v>
      </c>
      <c r="D569" t="s">
        <v>60</v>
      </c>
      <c r="E569" t="s">
        <v>1</v>
      </c>
      <c r="F569">
        <v>7999.7184568704024</v>
      </c>
      <c r="G569" t="s">
        <v>36</v>
      </c>
      <c r="H569" t="s">
        <v>60</v>
      </c>
    </row>
    <row r="570" spans="1:8" x14ac:dyDescent="0.3">
      <c r="A570" t="s">
        <v>625</v>
      </c>
      <c r="B570" t="s">
        <v>60</v>
      </c>
      <c r="C570">
        <v>2025</v>
      </c>
      <c r="D570" t="s">
        <v>60</v>
      </c>
      <c r="E570" t="s">
        <v>1</v>
      </c>
      <c r="F570">
        <v>2307</v>
      </c>
      <c r="G570" t="s">
        <v>54</v>
      </c>
      <c r="H570" t="s">
        <v>60</v>
      </c>
    </row>
    <row r="571" spans="1:8" x14ac:dyDescent="0.3">
      <c r="A571" t="s">
        <v>626</v>
      </c>
      <c r="B571" t="s">
        <v>60</v>
      </c>
      <c r="C571">
        <v>2025</v>
      </c>
      <c r="D571" t="s">
        <v>60</v>
      </c>
      <c r="E571" t="s">
        <v>1</v>
      </c>
      <c r="F571">
        <v>18455350.480000019</v>
      </c>
      <c r="G571" t="s">
        <v>36</v>
      </c>
      <c r="H571" t="s">
        <v>60</v>
      </c>
    </row>
    <row r="572" spans="1:8" x14ac:dyDescent="0.3">
      <c r="A572" t="s">
        <v>627</v>
      </c>
      <c r="B572" t="s">
        <v>60</v>
      </c>
      <c r="C572">
        <v>2025</v>
      </c>
      <c r="D572" t="s">
        <v>60</v>
      </c>
      <c r="E572" t="s">
        <v>4</v>
      </c>
      <c r="F572">
        <v>8878.756112050236</v>
      </c>
      <c r="G572" t="s">
        <v>36</v>
      </c>
      <c r="H572" t="s">
        <v>60</v>
      </c>
    </row>
    <row r="573" spans="1:8" x14ac:dyDescent="0.3">
      <c r="A573" t="s">
        <v>628</v>
      </c>
      <c r="B573" t="s">
        <v>60</v>
      </c>
      <c r="C573">
        <v>2025</v>
      </c>
      <c r="D573" t="s">
        <v>60</v>
      </c>
      <c r="E573" t="s">
        <v>4</v>
      </c>
      <c r="F573">
        <v>4141</v>
      </c>
      <c r="G573" t="s">
        <v>54</v>
      </c>
      <c r="H573" t="s">
        <v>60</v>
      </c>
    </row>
    <row r="574" spans="1:8" x14ac:dyDescent="0.3">
      <c r="A574" t="s">
        <v>629</v>
      </c>
      <c r="B574" t="s">
        <v>60</v>
      </c>
      <c r="C574">
        <v>2025</v>
      </c>
      <c r="D574" t="s">
        <v>60</v>
      </c>
      <c r="E574" t="s">
        <v>4</v>
      </c>
      <c r="F574">
        <v>36766929.060000025</v>
      </c>
      <c r="G574" t="s">
        <v>36</v>
      </c>
      <c r="H574" t="s">
        <v>60</v>
      </c>
    </row>
    <row r="575" spans="1:8" x14ac:dyDescent="0.3">
      <c r="A575" t="s">
        <v>630</v>
      </c>
      <c r="B575" t="s">
        <v>60</v>
      </c>
      <c r="C575">
        <v>2025</v>
      </c>
      <c r="D575" t="s">
        <v>60</v>
      </c>
      <c r="E575" t="s">
        <v>38</v>
      </c>
      <c r="F575">
        <v>9979.9702904109636</v>
      </c>
      <c r="G575" t="s">
        <v>36</v>
      </c>
      <c r="H575" t="s">
        <v>60</v>
      </c>
    </row>
    <row r="576" spans="1:8" x14ac:dyDescent="0.3">
      <c r="A576" t="s">
        <v>631</v>
      </c>
      <c r="B576" t="s">
        <v>60</v>
      </c>
      <c r="C576">
        <v>2025</v>
      </c>
      <c r="D576" t="s">
        <v>60</v>
      </c>
      <c r="E576" t="s">
        <v>38</v>
      </c>
      <c r="F576">
        <v>1825</v>
      </c>
      <c r="G576" t="s">
        <v>54</v>
      </c>
      <c r="H576" t="s">
        <v>60</v>
      </c>
    </row>
    <row r="577" spans="1:8" x14ac:dyDescent="0.3">
      <c r="A577" t="s">
        <v>632</v>
      </c>
      <c r="B577" t="s">
        <v>60</v>
      </c>
      <c r="C577">
        <v>2025</v>
      </c>
      <c r="D577" t="s">
        <v>60</v>
      </c>
      <c r="E577" t="s">
        <v>38</v>
      </c>
      <c r="F577">
        <v>18213445.780000009</v>
      </c>
      <c r="G577" t="s">
        <v>36</v>
      </c>
      <c r="H577" t="s">
        <v>60</v>
      </c>
    </row>
    <row r="578" spans="1:8" x14ac:dyDescent="0.3">
      <c r="A578" t="s">
        <v>644</v>
      </c>
      <c r="B578" t="s">
        <v>64</v>
      </c>
      <c r="C578">
        <v>2026</v>
      </c>
      <c r="D578" t="s">
        <v>64</v>
      </c>
      <c r="E578" t="s">
        <v>53</v>
      </c>
      <c r="F578">
        <v>11820.222112676054</v>
      </c>
      <c r="G578" t="s">
        <v>36</v>
      </c>
      <c r="H578" t="s">
        <v>64</v>
      </c>
    </row>
    <row r="579" spans="1:8" x14ac:dyDescent="0.3">
      <c r="A579" t="s">
        <v>645</v>
      </c>
      <c r="B579" t="s">
        <v>64</v>
      </c>
      <c r="C579">
        <v>2026</v>
      </c>
      <c r="D579" t="s">
        <v>64</v>
      </c>
      <c r="E579" t="s">
        <v>53</v>
      </c>
      <c r="F579">
        <v>142</v>
      </c>
      <c r="G579" t="s">
        <v>54</v>
      </c>
      <c r="H579" t="s">
        <v>64</v>
      </c>
    </row>
    <row r="580" spans="1:8" x14ac:dyDescent="0.3">
      <c r="A580" t="s">
        <v>646</v>
      </c>
      <c r="B580" t="s">
        <v>64</v>
      </c>
      <c r="C580">
        <v>2026</v>
      </c>
      <c r="D580" t="s">
        <v>64</v>
      </c>
      <c r="E580" t="s">
        <v>53</v>
      </c>
      <c r="F580">
        <v>1678471.5399999996</v>
      </c>
      <c r="G580" t="s">
        <v>36</v>
      </c>
      <c r="H580" t="s">
        <v>64</v>
      </c>
    </row>
    <row r="581" spans="1:8" x14ac:dyDescent="0.3">
      <c r="A581" t="s">
        <v>647</v>
      </c>
      <c r="B581" t="s">
        <v>64</v>
      </c>
      <c r="C581">
        <v>2026</v>
      </c>
      <c r="D581" t="s">
        <v>64</v>
      </c>
      <c r="E581" t="s">
        <v>63</v>
      </c>
      <c r="F581">
        <v>15823.749491525419</v>
      </c>
      <c r="G581" t="s">
        <v>36</v>
      </c>
      <c r="H581" t="s">
        <v>64</v>
      </c>
    </row>
    <row r="582" spans="1:8" x14ac:dyDescent="0.3">
      <c r="A582" t="s">
        <v>648</v>
      </c>
      <c r="B582" t="s">
        <v>64</v>
      </c>
      <c r="C582">
        <v>2026</v>
      </c>
      <c r="D582" t="s">
        <v>64</v>
      </c>
      <c r="E582" t="s">
        <v>63</v>
      </c>
      <c r="F582">
        <v>59</v>
      </c>
      <c r="G582" t="s">
        <v>54</v>
      </c>
      <c r="H582" t="s">
        <v>64</v>
      </c>
    </row>
    <row r="583" spans="1:8" x14ac:dyDescent="0.3">
      <c r="A583" t="s">
        <v>649</v>
      </c>
      <c r="B583" t="s">
        <v>64</v>
      </c>
      <c r="C583">
        <v>2026</v>
      </c>
      <c r="D583" t="s">
        <v>64</v>
      </c>
      <c r="E583" t="s">
        <v>63</v>
      </c>
      <c r="F583">
        <v>933601.21999999974</v>
      </c>
      <c r="G583" t="s">
        <v>36</v>
      </c>
      <c r="H583" t="s">
        <v>64</v>
      </c>
    </row>
    <row r="584" spans="1:8" x14ac:dyDescent="0.3">
      <c r="A584" t="s">
        <v>650</v>
      </c>
      <c r="B584" t="s">
        <v>64</v>
      </c>
      <c r="C584">
        <v>2026</v>
      </c>
      <c r="D584" t="s">
        <v>64</v>
      </c>
      <c r="E584" t="s">
        <v>3</v>
      </c>
      <c r="F584">
        <v>14059.66017699115</v>
      </c>
      <c r="G584" t="s">
        <v>36</v>
      </c>
      <c r="H584" t="s">
        <v>64</v>
      </c>
    </row>
    <row r="585" spans="1:8" x14ac:dyDescent="0.3">
      <c r="A585" t="s">
        <v>651</v>
      </c>
      <c r="B585" t="s">
        <v>64</v>
      </c>
      <c r="C585">
        <v>2026</v>
      </c>
      <c r="D585" t="s">
        <v>64</v>
      </c>
      <c r="E585" t="s">
        <v>3</v>
      </c>
      <c r="F585">
        <v>339</v>
      </c>
      <c r="G585" t="s">
        <v>54</v>
      </c>
      <c r="H585" t="s">
        <v>64</v>
      </c>
    </row>
    <row r="586" spans="1:8" x14ac:dyDescent="0.3">
      <c r="A586" t="s">
        <v>652</v>
      </c>
      <c r="B586" t="s">
        <v>64</v>
      </c>
      <c r="C586">
        <v>2026</v>
      </c>
      <c r="D586" t="s">
        <v>64</v>
      </c>
      <c r="E586" t="s">
        <v>3</v>
      </c>
      <c r="F586">
        <v>4766224.8</v>
      </c>
      <c r="G586" t="s">
        <v>36</v>
      </c>
      <c r="H586" t="s">
        <v>64</v>
      </c>
    </row>
    <row r="587" spans="1:8" x14ac:dyDescent="0.3">
      <c r="A587" t="s">
        <v>653</v>
      </c>
      <c r="B587" t="s">
        <v>64</v>
      </c>
      <c r="C587">
        <v>2026</v>
      </c>
      <c r="D587" t="s">
        <v>64</v>
      </c>
      <c r="E587" t="s">
        <v>2</v>
      </c>
      <c r="F587">
        <v>7897.2495273787354</v>
      </c>
      <c r="G587" t="s">
        <v>36</v>
      </c>
      <c r="H587" t="s">
        <v>64</v>
      </c>
    </row>
    <row r="588" spans="1:8" x14ac:dyDescent="0.3">
      <c r="A588" t="s">
        <v>654</v>
      </c>
      <c r="B588" t="s">
        <v>64</v>
      </c>
      <c r="C588">
        <v>2026</v>
      </c>
      <c r="D588" t="s">
        <v>64</v>
      </c>
      <c r="E588" t="s">
        <v>2</v>
      </c>
      <c r="F588">
        <v>4803</v>
      </c>
      <c r="G588" t="s">
        <v>54</v>
      </c>
      <c r="H588" t="s">
        <v>64</v>
      </c>
    </row>
    <row r="589" spans="1:8" x14ac:dyDescent="0.3">
      <c r="A589" t="s">
        <v>655</v>
      </c>
      <c r="B589" t="s">
        <v>64</v>
      </c>
      <c r="C589">
        <v>2026</v>
      </c>
      <c r="D589" t="s">
        <v>64</v>
      </c>
      <c r="E589" t="s">
        <v>2</v>
      </c>
      <c r="F589">
        <v>37930489.480000064</v>
      </c>
      <c r="G589" t="s">
        <v>36</v>
      </c>
      <c r="H589" t="s">
        <v>64</v>
      </c>
    </row>
    <row r="590" spans="1:8" x14ac:dyDescent="0.3">
      <c r="A590" t="s">
        <v>656</v>
      </c>
      <c r="B590" t="s">
        <v>64</v>
      </c>
      <c r="C590">
        <v>2026</v>
      </c>
      <c r="D590" t="s">
        <v>64</v>
      </c>
      <c r="E590" t="s">
        <v>1</v>
      </c>
      <c r="F590">
        <v>12280.954191683762</v>
      </c>
      <c r="G590" t="s">
        <v>36</v>
      </c>
      <c r="H590" t="s">
        <v>64</v>
      </c>
    </row>
    <row r="591" spans="1:8" x14ac:dyDescent="0.3">
      <c r="A591" t="s">
        <v>657</v>
      </c>
      <c r="B591" t="s">
        <v>64</v>
      </c>
      <c r="C591">
        <v>2026</v>
      </c>
      <c r="D591" t="s">
        <v>64</v>
      </c>
      <c r="E591" t="s">
        <v>1</v>
      </c>
      <c r="F591">
        <v>26815</v>
      </c>
      <c r="G591" t="s">
        <v>54</v>
      </c>
      <c r="H591" t="s">
        <v>64</v>
      </c>
    </row>
    <row r="592" spans="1:8" x14ac:dyDescent="0.3">
      <c r="A592" t="s">
        <v>658</v>
      </c>
      <c r="B592" t="s">
        <v>64</v>
      </c>
      <c r="C592">
        <v>2026</v>
      </c>
      <c r="D592" t="s">
        <v>64</v>
      </c>
      <c r="E592" t="s">
        <v>1</v>
      </c>
      <c r="F592">
        <v>329313786.6500001</v>
      </c>
      <c r="G592" t="s">
        <v>36</v>
      </c>
      <c r="H592" t="s">
        <v>64</v>
      </c>
    </row>
    <row r="593" spans="1:8" x14ac:dyDescent="0.3">
      <c r="A593" t="s">
        <v>659</v>
      </c>
      <c r="B593" t="s">
        <v>64</v>
      </c>
      <c r="C593">
        <v>2026</v>
      </c>
      <c r="D593" t="s">
        <v>64</v>
      </c>
      <c r="E593" t="s">
        <v>4</v>
      </c>
      <c r="F593">
        <v>11560.525397317551</v>
      </c>
      <c r="G593" t="s">
        <v>36</v>
      </c>
      <c r="H593" t="s">
        <v>64</v>
      </c>
    </row>
    <row r="594" spans="1:8" x14ac:dyDescent="0.3">
      <c r="A594" t="s">
        <v>660</v>
      </c>
      <c r="B594" t="s">
        <v>64</v>
      </c>
      <c r="C594">
        <v>2026</v>
      </c>
      <c r="D594" t="s">
        <v>64</v>
      </c>
      <c r="E594" t="s">
        <v>4</v>
      </c>
      <c r="F594">
        <v>42573</v>
      </c>
      <c r="G594" t="s">
        <v>54</v>
      </c>
      <c r="H594" t="s">
        <v>64</v>
      </c>
    </row>
    <row r="595" spans="1:8" x14ac:dyDescent="0.3">
      <c r="A595" t="s">
        <v>661</v>
      </c>
      <c r="B595" t="s">
        <v>64</v>
      </c>
      <c r="C595">
        <v>2026</v>
      </c>
      <c r="D595" t="s">
        <v>64</v>
      </c>
      <c r="E595" t="s">
        <v>4</v>
      </c>
      <c r="F595">
        <v>492166247.74000013</v>
      </c>
      <c r="G595" t="s">
        <v>36</v>
      </c>
      <c r="H595" t="s">
        <v>64</v>
      </c>
    </row>
    <row r="596" spans="1:8" x14ac:dyDescent="0.3">
      <c r="A596" t="s">
        <v>662</v>
      </c>
      <c r="B596" t="s">
        <v>64</v>
      </c>
      <c r="C596">
        <v>2026</v>
      </c>
      <c r="D596" t="s">
        <v>64</v>
      </c>
      <c r="E596" t="s">
        <v>38</v>
      </c>
      <c r="F596">
        <v>11285.998468554968</v>
      </c>
      <c r="G596" t="s">
        <v>36</v>
      </c>
      <c r="H596" t="s">
        <v>64</v>
      </c>
    </row>
    <row r="597" spans="1:8" x14ac:dyDescent="0.3">
      <c r="A597" t="s">
        <v>663</v>
      </c>
      <c r="B597" t="s">
        <v>64</v>
      </c>
      <c r="C597">
        <v>2026</v>
      </c>
      <c r="D597" t="s">
        <v>64</v>
      </c>
      <c r="E597" t="s">
        <v>38</v>
      </c>
      <c r="F597">
        <v>10415</v>
      </c>
      <c r="G597" t="s">
        <v>54</v>
      </c>
      <c r="H597" t="s">
        <v>64</v>
      </c>
    </row>
    <row r="598" spans="1:8" x14ac:dyDescent="0.3">
      <c r="A598" t="s">
        <v>664</v>
      </c>
      <c r="B598" t="s">
        <v>64</v>
      </c>
      <c r="C598">
        <v>2026</v>
      </c>
      <c r="D598" t="s">
        <v>64</v>
      </c>
      <c r="E598" t="s">
        <v>38</v>
      </c>
      <c r="F598">
        <v>117543674.04999998</v>
      </c>
      <c r="G598" t="s">
        <v>36</v>
      </c>
      <c r="H598" t="s">
        <v>64</v>
      </c>
    </row>
    <row r="599" spans="1:8" x14ac:dyDescent="0.3">
      <c r="A599" t="s">
        <v>901</v>
      </c>
      <c r="B599" t="s">
        <v>102</v>
      </c>
      <c r="C599">
        <v>2026</v>
      </c>
      <c r="D599" t="s">
        <v>102</v>
      </c>
      <c r="E599" t="s">
        <v>2</v>
      </c>
      <c r="F599">
        <v>5346.519166666666</v>
      </c>
      <c r="G599" t="s">
        <v>36</v>
      </c>
      <c r="H599" t="s">
        <v>102</v>
      </c>
    </row>
    <row r="600" spans="1:8" x14ac:dyDescent="0.3">
      <c r="A600" t="s">
        <v>902</v>
      </c>
      <c r="B600" t="s">
        <v>102</v>
      </c>
      <c r="C600">
        <v>2026</v>
      </c>
      <c r="D600" t="s">
        <v>102</v>
      </c>
      <c r="E600" t="s">
        <v>2</v>
      </c>
      <c r="F600">
        <v>180</v>
      </c>
      <c r="G600" t="s">
        <v>54</v>
      </c>
      <c r="H600" t="s">
        <v>102</v>
      </c>
    </row>
    <row r="601" spans="1:8" x14ac:dyDescent="0.3">
      <c r="A601" t="s">
        <v>903</v>
      </c>
      <c r="B601" t="s">
        <v>102</v>
      </c>
      <c r="C601">
        <v>2026</v>
      </c>
      <c r="D601" t="s">
        <v>102</v>
      </c>
      <c r="E601" t="s">
        <v>2</v>
      </c>
      <c r="F601">
        <v>962373.44999999984</v>
      </c>
      <c r="G601" t="s">
        <v>36</v>
      </c>
      <c r="H601" t="s">
        <v>102</v>
      </c>
    </row>
    <row r="602" spans="1:8" x14ac:dyDescent="0.3">
      <c r="A602" t="s">
        <v>904</v>
      </c>
      <c r="B602" t="s">
        <v>102</v>
      </c>
      <c r="C602">
        <v>2026</v>
      </c>
      <c r="D602" t="s">
        <v>102</v>
      </c>
      <c r="E602" t="s">
        <v>1</v>
      </c>
      <c r="F602">
        <v>10606.182997382197</v>
      </c>
      <c r="G602" t="s">
        <v>36</v>
      </c>
      <c r="H602" t="s">
        <v>102</v>
      </c>
    </row>
    <row r="603" spans="1:8" x14ac:dyDescent="0.3">
      <c r="A603" t="s">
        <v>905</v>
      </c>
      <c r="B603" t="s">
        <v>102</v>
      </c>
      <c r="C603">
        <v>2026</v>
      </c>
      <c r="D603" t="s">
        <v>102</v>
      </c>
      <c r="E603" t="s">
        <v>1</v>
      </c>
      <c r="F603">
        <v>1528</v>
      </c>
      <c r="G603" t="s">
        <v>54</v>
      </c>
      <c r="H603" t="s">
        <v>102</v>
      </c>
    </row>
    <row r="604" spans="1:8" x14ac:dyDescent="0.3">
      <c r="A604" t="s">
        <v>906</v>
      </c>
      <c r="B604" t="s">
        <v>102</v>
      </c>
      <c r="C604">
        <v>2026</v>
      </c>
      <c r="D604" t="s">
        <v>102</v>
      </c>
      <c r="E604" t="s">
        <v>1</v>
      </c>
      <c r="F604">
        <v>16206247.619999997</v>
      </c>
      <c r="G604" t="s">
        <v>36</v>
      </c>
      <c r="H604" t="s">
        <v>102</v>
      </c>
    </row>
    <row r="605" spans="1:8" x14ac:dyDescent="0.3">
      <c r="A605" t="s">
        <v>907</v>
      </c>
      <c r="B605" t="s">
        <v>102</v>
      </c>
      <c r="C605">
        <v>2026</v>
      </c>
      <c r="D605" t="s">
        <v>102</v>
      </c>
      <c r="E605" t="s">
        <v>4</v>
      </c>
      <c r="F605">
        <v>10051.885872365337</v>
      </c>
      <c r="G605" t="s">
        <v>36</v>
      </c>
      <c r="H605" t="s">
        <v>102</v>
      </c>
    </row>
    <row r="606" spans="1:8" x14ac:dyDescent="0.3">
      <c r="A606" t="s">
        <v>908</v>
      </c>
      <c r="B606" t="s">
        <v>102</v>
      </c>
      <c r="C606">
        <v>2026</v>
      </c>
      <c r="D606" t="s">
        <v>102</v>
      </c>
      <c r="E606" t="s">
        <v>4</v>
      </c>
      <c r="F606">
        <v>1708</v>
      </c>
      <c r="G606" t="s">
        <v>54</v>
      </c>
      <c r="H606" t="s">
        <v>102</v>
      </c>
    </row>
    <row r="607" spans="1:8" x14ac:dyDescent="0.3">
      <c r="A607" t="s">
        <v>909</v>
      </c>
      <c r="B607" t="s">
        <v>102</v>
      </c>
      <c r="C607">
        <v>2026</v>
      </c>
      <c r="D607" t="s">
        <v>102</v>
      </c>
      <c r="E607" t="s">
        <v>4</v>
      </c>
      <c r="F607">
        <v>17168621.069999997</v>
      </c>
      <c r="G607" t="s">
        <v>36</v>
      </c>
      <c r="H607" t="s">
        <v>102</v>
      </c>
    </row>
    <row r="608" spans="1:8" x14ac:dyDescent="0.3">
      <c r="A608" t="s">
        <v>913</v>
      </c>
      <c r="B608" t="s">
        <v>0</v>
      </c>
      <c r="C608">
        <v>2026</v>
      </c>
      <c r="D608" t="s">
        <v>0</v>
      </c>
      <c r="E608" t="s">
        <v>53</v>
      </c>
      <c r="F608">
        <v>11820.222112676054</v>
      </c>
      <c r="G608" t="s">
        <v>36</v>
      </c>
      <c r="H608" t="s">
        <v>0</v>
      </c>
    </row>
    <row r="609" spans="1:8" x14ac:dyDescent="0.3">
      <c r="A609" t="s">
        <v>914</v>
      </c>
      <c r="B609" t="s">
        <v>0</v>
      </c>
      <c r="C609">
        <v>2026</v>
      </c>
      <c r="D609" t="s">
        <v>0</v>
      </c>
      <c r="E609" t="s">
        <v>53</v>
      </c>
      <c r="F609">
        <v>142</v>
      </c>
      <c r="G609" t="s">
        <v>54</v>
      </c>
      <c r="H609" t="s">
        <v>0</v>
      </c>
    </row>
    <row r="610" spans="1:8" x14ac:dyDescent="0.3">
      <c r="A610" t="s">
        <v>915</v>
      </c>
      <c r="B610" t="s">
        <v>0</v>
      </c>
      <c r="C610">
        <v>2026</v>
      </c>
      <c r="D610" t="s">
        <v>0</v>
      </c>
      <c r="E610" t="s">
        <v>53</v>
      </c>
      <c r="F610">
        <v>1678471.5399999996</v>
      </c>
      <c r="G610" t="s">
        <v>36</v>
      </c>
      <c r="H610" t="s">
        <v>0</v>
      </c>
    </row>
    <row r="611" spans="1:8" x14ac:dyDescent="0.3">
      <c r="A611" t="s">
        <v>2176</v>
      </c>
      <c r="B611" t="s">
        <v>0</v>
      </c>
      <c r="C611">
        <v>2026</v>
      </c>
      <c r="D611" t="s">
        <v>0</v>
      </c>
      <c r="E611" t="s">
        <v>63</v>
      </c>
      <c r="F611">
        <v>15823.749491525423</v>
      </c>
      <c r="G611" t="s">
        <v>36</v>
      </c>
      <c r="H611" t="s">
        <v>0</v>
      </c>
    </row>
    <row r="612" spans="1:8" x14ac:dyDescent="0.3">
      <c r="A612" t="s">
        <v>2177</v>
      </c>
      <c r="B612" t="s">
        <v>0</v>
      </c>
      <c r="C612">
        <v>2026</v>
      </c>
      <c r="D612" t="s">
        <v>0</v>
      </c>
      <c r="E612" t="s">
        <v>63</v>
      </c>
      <c r="F612">
        <v>59</v>
      </c>
      <c r="G612" t="s">
        <v>54</v>
      </c>
      <c r="H612" t="s">
        <v>0</v>
      </c>
    </row>
    <row r="613" spans="1:8" x14ac:dyDescent="0.3">
      <c r="A613" t="s">
        <v>916</v>
      </c>
      <c r="B613" t="s">
        <v>0</v>
      </c>
      <c r="C613">
        <v>2026</v>
      </c>
      <c r="D613" t="s">
        <v>0</v>
      </c>
      <c r="E613" t="s">
        <v>63</v>
      </c>
      <c r="F613">
        <v>933601.22</v>
      </c>
      <c r="G613" t="s">
        <v>36</v>
      </c>
      <c r="H613" t="s">
        <v>0</v>
      </c>
    </row>
    <row r="614" spans="1:8" x14ac:dyDescent="0.3">
      <c r="A614" t="s">
        <v>917</v>
      </c>
      <c r="B614" t="s">
        <v>0</v>
      </c>
      <c r="C614">
        <v>2026</v>
      </c>
      <c r="D614" t="s">
        <v>0</v>
      </c>
      <c r="E614" t="s">
        <v>3</v>
      </c>
      <c r="F614">
        <v>14059.66017699115</v>
      </c>
      <c r="G614" t="s">
        <v>36</v>
      </c>
      <c r="H614" t="s">
        <v>0</v>
      </c>
    </row>
    <row r="615" spans="1:8" x14ac:dyDescent="0.3">
      <c r="A615" t="s">
        <v>918</v>
      </c>
      <c r="B615" t="s">
        <v>0</v>
      </c>
      <c r="C615">
        <v>2026</v>
      </c>
      <c r="D615" t="s">
        <v>0</v>
      </c>
      <c r="E615" t="s">
        <v>3</v>
      </c>
      <c r="F615">
        <v>339</v>
      </c>
      <c r="G615" t="s">
        <v>54</v>
      </c>
      <c r="H615" t="s">
        <v>0</v>
      </c>
    </row>
    <row r="616" spans="1:8" x14ac:dyDescent="0.3">
      <c r="A616" t="s">
        <v>919</v>
      </c>
      <c r="B616" t="s">
        <v>0</v>
      </c>
      <c r="C616">
        <v>2026</v>
      </c>
      <c r="D616" t="s">
        <v>0</v>
      </c>
      <c r="E616" t="s">
        <v>3</v>
      </c>
      <c r="F616">
        <v>4766224.8</v>
      </c>
      <c r="G616" t="s">
        <v>36</v>
      </c>
      <c r="H616" t="s">
        <v>0</v>
      </c>
    </row>
    <row r="617" spans="1:8" x14ac:dyDescent="0.3">
      <c r="A617" t="s">
        <v>920</v>
      </c>
      <c r="B617" t="s">
        <v>0</v>
      </c>
      <c r="C617">
        <v>2026</v>
      </c>
      <c r="D617" t="s">
        <v>0</v>
      </c>
      <c r="E617" t="s">
        <v>2</v>
      </c>
      <c r="F617">
        <v>7997.8650900412385</v>
      </c>
      <c r="G617" t="s">
        <v>36</v>
      </c>
      <c r="H617" t="s">
        <v>0</v>
      </c>
    </row>
    <row r="618" spans="1:8" x14ac:dyDescent="0.3">
      <c r="A618" t="s">
        <v>921</v>
      </c>
      <c r="B618" t="s">
        <v>0</v>
      </c>
      <c r="C618">
        <v>2026</v>
      </c>
      <c r="D618" t="s">
        <v>0</v>
      </c>
      <c r="E618" t="s">
        <v>2</v>
      </c>
      <c r="F618">
        <v>4609</v>
      </c>
      <c r="G618" t="s">
        <v>54</v>
      </c>
      <c r="H618" t="s">
        <v>0</v>
      </c>
    </row>
    <row r="619" spans="1:8" x14ac:dyDescent="0.3">
      <c r="A619" t="s">
        <v>922</v>
      </c>
      <c r="B619" t="s">
        <v>0</v>
      </c>
      <c r="C619">
        <v>2026</v>
      </c>
      <c r="D619" t="s">
        <v>0</v>
      </c>
      <c r="E619" t="s">
        <v>2</v>
      </c>
      <c r="F619">
        <v>36862160.20000007</v>
      </c>
      <c r="G619" t="s">
        <v>36</v>
      </c>
      <c r="H619" t="s">
        <v>0</v>
      </c>
    </row>
    <row r="620" spans="1:8" x14ac:dyDescent="0.3">
      <c r="A620" t="s">
        <v>923</v>
      </c>
      <c r="B620" t="s">
        <v>0</v>
      </c>
      <c r="C620">
        <v>2026</v>
      </c>
      <c r="D620" t="s">
        <v>0</v>
      </c>
      <c r="E620" t="s">
        <v>1</v>
      </c>
      <c r="F620">
        <v>12792.200726387035</v>
      </c>
      <c r="G620" t="s">
        <v>36</v>
      </c>
      <c r="H620" t="s">
        <v>0</v>
      </c>
    </row>
    <row r="621" spans="1:8" x14ac:dyDescent="0.3">
      <c r="A621" t="s">
        <v>924</v>
      </c>
      <c r="B621" t="s">
        <v>0</v>
      </c>
      <c r="C621">
        <v>2026</v>
      </c>
      <c r="D621" t="s">
        <v>0</v>
      </c>
      <c r="E621" t="s">
        <v>1</v>
      </c>
      <c r="F621">
        <v>23197</v>
      </c>
      <c r="G621" t="s">
        <v>54</v>
      </c>
      <c r="H621" t="s">
        <v>0</v>
      </c>
    </row>
    <row r="622" spans="1:8" x14ac:dyDescent="0.3">
      <c r="A622" t="s">
        <v>925</v>
      </c>
      <c r="B622" t="s">
        <v>0</v>
      </c>
      <c r="C622">
        <v>2026</v>
      </c>
      <c r="D622" t="s">
        <v>0</v>
      </c>
      <c r="E622" t="s">
        <v>1</v>
      </c>
      <c r="F622">
        <v>296740680.25000006</v>
      </c>
      <c r="G622" t="s">
        <v>36</v>
      </c>
      <c r="H622" t="s">
        <v>0</v>
      </c>
    </row>
    <row r="623" spans="1:8" x14ac:dyDescent="0.3">
      <c r="A623" t="s">
        <v>926</v>
      </c>
      <c r="B623" t="s">
        <v>0</v>
      </c>
      <c r="C623">
        <v>2026</v>
      </c>
      <c r="D623" t="s">
        <v>0</v>
      </c>
      <c r="E623" t="s">
        <v>4</v>
      </c>
      <c r="F623">
        <v>11916.403219692877</v>
      </c>
      <c r="G623" t="s">
        <v>36</v>
      </c>
      <c r="H623" t="s">
        <v>0</v>
      </c>
    </row>
    <row r="624" spans="1:8" x14ac:dyDescent="0.3">
      <c r="A624" t="s">
        <v>927</v>
      </c>
      <c r="B624" t="s">
        <v>0</v>
      </c>
      <c r="C624">
        <v>2026</v>
      </c>
      <c r="D624" t="s">
        <v>0</v>
      </c>
      <c r="E624" t="s">
        <v>4</v>
      </c>
      <c r="F624">
        <v>36988</v>
      </c>
      <c r="G624" t="s">
        <v>54</v>
      </c>
      <c r="H624" t="s">
        <v>0</v>
      </c>
    </row>
    <row r="625" spans="1:8" x14ac:dyDescent="0.3">
      <c r="A625" t="s">
        <v>928</v>
      </c>
      <c r="B625" t="s">
        <v>0</v>
      </c>
      <c r="C625">
        <v>2026</v>
      </c>
      <c r="D625" t="s">
        <v>0</v>
      </c>
      <c r="E625" t="s">
        <v>4</v>
      </c>
      <c r="F625">
        <v>440763922.29000014</v>
      </c>
      <c r="G625" t="s">
        <v>36</v>
      </c>
      <c r="H625" t="s">
        <v>0</v>
      </c>
    </row>
    <row r="626" spans="1:8" x14ac:dyDescent="0.3">
      <c r="A626" t="s">
        <v>929</v>
      </c>
      <c r="B626" t="s">
        <v>0</v>
      </c>
      <c r="C626">
        <v>2026</v>
      </c>
      <c r="D626" t="s">
        <v>0</v>
      </c>
      <c r="E626" t="s">
        <v>38</v>
      </c>
      <c r="F626">
        <v>11546.260620226798</v>
      </c>
      <c r="G626" t="s">
        <v>36</v>
      </c>
      <c r="H626" t="s">
        <v>0</v>
      </c>
    </row>
    <row r="627" spans="1:8" x14ac:dyDescent="0.3">
      <c r="A627" t="s">
        <v>930</v>
      </c>
      <c r="B627" t="s">
        <v>0</v>
      </c>
      <c r="C627">
        <v>2026</v>
      </c>
      <c r="D627" t="s">
        <v>0</v>
      </c>
      <c r="E627" t="s">
        <v>38</v>
      </c>
      <c r="F627">
        <v>8642</v>
      </c>
      <c r="G627" t="s">
        <v>54</v>
      </c>
      <c r="H627" t="s">
        <v>0</v>
      </c>
    </row>
    <row r="628" spans="1:8" x14ac:dyDescent="0.3">
      <c r="A628" t="s">
        <v>931</v>
      </c>
      <c r="B628" t="s">
        <v>0</v>
      </c>
      <c r="C628">
        <v>2026</v>
      </c>
      <c r="D628" t="s">
        <v>0</v>
      </c>
      <c r="E628" t="s">
        <v>38</v>
      </c>
      <c r="F628">
        <v>99782784.279999986</v>
      </c>
      <c r="G628" t="s">
        <v>36</v>
      </c>
      <c r="H628" t="s">
        <v>0</v>
      </c>
    </row>
    <row r="629" spans="1:8" x14ac:dyDescent="0.3">
      <c r="A629" t="s">
        <v>932</v>
      </c>
      <c r="B629" t="s">
        <v>67</v>
      </c>
      <c r="C629">
        <v>2026</v>
      </c>
      <c r="D629" t="s">
        <v>12</v>
      </c>
      <c r="E629" t="s">
        <v>53</v>
      </c>
      <c r="F629">
        <v>11902.231724137928</v>
      </c>
      <c r="G629" t="s">
        <v>30</v>
      </c>
      <c r="H629" t="s">
        <v>67</v>
      </c>
    </row>
    <row r="630" spans="1:8" x14ac:dyDescent="0.3">
      <c r="A630" t="s">
        <v>933</v>
      </c>
      <c r="B630" t="s">
        <v>67</v>
      </c>
      <c r="C630">
        <v>2026</v>
      </c>
      <c r="D630" t="s">
        <v>12</v>
      </c>
      <c r="E630" t="s">
        <v>53</v>
      </c>
      <c r="F630">
        <v>58</v>
      </c>
      <c r="G630" t="s">
        <v>54</v>
      </c>
      <c r="H630" t="s">
        <v>67</v>
      </c>
    </row>
    <row r="631" spans="1:8" x14ac:dyDescent="0.3">
      <c r="A631" t="s">
        <v>934</v>
      </c>
      <c r="B631" t="s">
        <v>67</v>
      </c>
      <c r="C631">
        <v>2026</v>
      </c>
      <c r="D631" t="s">
        <v>12</v>
      </c>
      <c r="E631" t="s">
        <v>53</v>
      </c>
      <c r="F631">
        <v>690329.43999999983</v>
      </c>
      <c r="G631" t="s">
        <v>36</v>
      </c>
      <c r="H631" t="s">
        <v>67</v>
      </c>
    </row>
    <row r="632" spans="1:8" x14ac:dyDescent="0.3">
      <c r="A632" t="s">
        <v>935</v>
      </c>
      <c r="B632" t="s">
        <v>67</v>
      </c>
      <c r="C632">
        <v>2026</v>
      </c>
      <c r="D632" t="s">
        <v>12</v>
      </c>
      <c r="E632" t="s">
        <v>63</v>
      </c>
      <c r="F632">
        <v>14268.807499999999</v>
      </c>
      <c r="G632" t="s">
        <v>30</v>
      </c>
      <c r="H632" t="s">
        <v>67</v>
      </c>
    </row>
    <row r="633" spans="1:8" x14ac:dyDescent="0.3">
      <c r="A633" t="s">
        <v>936</v>
      </c>
      <c r="B633" t="s">
        <v>67</v>
      </c>
      <c r="C633">
        <v>2026</v>
      </c>
      <c r="D633" t="s">
        <v>12</v>
      </c>
      <c r="E633" t="s">
        <v>63</v>
      </c>
      <c r="F633">
        <v>4</v>
      </c>
      <c r="G633" t="s">
        <v>54</v>
      </c>
      <c r="H633" t="s">
        <v>67</v>
      </c>
    </row>
    <row r="634" spans="1:8" x14ac:dyDescent="0.3">
      <c r="A634" t="s">
        <v>937</v>
      </c>
      <c r="B634" t="s">
        <v>67</v>
      </c>
      <c r="C634">
        <v>2026</v>
      </c>
      <c r="D634" t="s">
        <v>12</v>
      </c>
      <c r="E634" t="s">
        <v>63</v>
      </c>
      <c r="F634">
        <v>57075.229999999996</v>
      </c>
      <c r="G634" t="s">
        <v>36</v>
      </c>
      <c r="H634" t="s">
        <v>67</v>
      </c>
    </row>
    <row r="635" spans="1:8" x14ac:dyDescent="0.3">
      <c r="A635" t="s">
        <v>938</v>
      </c>
      <c r="B635" t="s">
        <v>67</v>
      </c>
      <c r="C635">
        <v>2026</v>
      </c>
      <c r="D635" t="s">
        <v>12</v>
      </c>
      <c r="E635" t="s">
        <v>3</v>
      </c>
      <c r="F635">
        <v>13477.94066666666</v>
      </c>
      <c r="G635" t="s">
        <v>30</v>
      </c>
      <c r="H635" t="s">
        <v>67</v>
      </c>
    </row>
    <row r="636" spans="1:8" x14ac:dyDescent="0.3">
      <c r="A636" t="s">
        <v>939</v>
      </c>
      <c r="B636" t="s">
        <v>67</v>
      </c>
      <c r="C636">
        <v>2026</v>
      </c>
      <c r="D636" t="s">
        <v>12</v>
      </c>
      <c r="E636" t="s">
        <v>3</v>
      </c>
      <c r="F636">
        <v>45</v>
      </c>
      <c r="G636" t="s">
        <v>54</v>
      </c>
      <c r="H636" t="s">
        <v>67</v>
      </c>
    </row>
    <row r="637" spans="1:8" x14ac:dyDescent="0.3">
      <c r="A637" t="s">
        <v>940</v>
      </c>
      <c r="B637" t="s">
        <v>67</v>
      </c>
      <c r="C637">
        <v>2026</v>
      </c>
      <c r="D637" t="s">
        <v>12</v>
      </c>
      <c r="E637" t="s">
        <v>3</v>
      </c>
      <c r="F637">
        <v>606507.32999999973</v>
      </c>
      <c r="G637" t="s">
        <v>36</v>
      </c>
      <c r="H637" t="s">
        <v>67</v>
      </c>
    </row>
    <row r="638" spans="1:8" x14ac:dyDescent="0.3">
      <c r="A638" t="s">
        <v>941</v>
      </c>
      <c r="B638" t="s">
        <v>67</v>
      </c>
      <c r="C638">
        <v>2026</v>
      </c>
      <c r="D638" t="s">
        <v>12</v>
      </c>
      <c r="E638" t="s">
        <v>2</v>
      </c>
      <c r="F638">
        <v>8737.9821538461547</v>
      </c>
      <c r="G638" t="s">
        <v>30</v>
      </c>
      <c r="H638" t="s">
        <v>67</v>
      </c>
    </row>
    <row r="639" spans="1:8" x14ac:dyDescent="0.3">
      <c r="A639" t="s">
        <v>942</v>
      </c>
      <c r="B639" t="s">
        <v>67</v>
      </c>
      <c r="C639">
        <v>2026</v>
      </c>
      <c r="D639" t="s">
        <v>12</v>
      </c>
      <c r="E639" t="s">
        <v>2</v>
      </c>
      <c r="F639">
        <v>65</v>
      </c>
      <c r="G639" t="s">
        <v>54</v>
      </c>
      <c r="H639" t="s">
        <v>67</v>
      </c>
    </row>
    <row r="640" spans="1:8" x14ac:dyDescent="0.3">
      <c r="A640" t="s">
        <v>943</v>
      </c>
      <c r="B640" t="s">
        <v>67</v>
      </c>
      <c r="C640">
        <v>2026</v>
      </c>
      <c r="D640" t="s">
        <v>12</v>
      </c>
      <c r="E640" t="s">
        <v>2</v>
      </c>
      <c r="F640">
        <v>567968.84000000008</v>
      </c>
      <c r="G640" t="s">
        <v>36</v>
      </c>
      <c r="H640" t="s">
        <v>67</v>
      </c>
    </row>
    <row r="641" spans="1:8" x14ac:dyDescent="0.3">
      <c r="A641" t="s">
        <v>944</v>
      </c>
      <c r="B641" t="s">
        <v>67</v>
      </c>
      <c r="C641">
        <v>2026</v>
      </c>
      <c r="D641" t="s">
        <v>12</v>
      </c>
      <c r="E641" t="s">
        <v>1</v>
      </c>
      <c r="F641">
        <v>11660.758764258562</v>
      </c>
      <c r="G641" t="s">
        <v>30</v>
      </c>
      <c r="H641" t="s">
        <v>67</v>
      </c>
    </row>
    <row r="642" spans="1:8" x14ac:dyDescent="0.3">
      <c r="A642" t="s">
        <v>945</v>
      </c>
      <c r="B642" t="s">
        <v>67</v>
      </c>
      <c r="C642">
        <v>2026</v>
      </c>
      <c r="D642" t="s">
        <v>12</v>
      </c>
      <c r="E642" t="s">
        <v>1</v>
      </c>
      <c r="F642">
        <v>526</v>
      </c>
      <c r="G642" t="s">
        <v>54</v>
      </c>
      <c r="H642" t="s">
        <v>67</v>
      </c>
    </row>
    <row r="643" spans="1:8" x14ac:dyDescent="0.3">
      <c r="A643" t="s">
        <v>946</v>
      </c>
      <c r="B643" t="s">
        <v>67</v>
      </c>
      <c r="C643">
        <v>2026</v>
      </c>
      <c r="D643" t="s">
        <v>12</v>
      </c>
      <c r="E643" t="s">
        <v>1</v>
      </c>
      <c r="F643">
        <v>6133559.1100000031</v>
      </c>
      <c r="G643" t="s">
        <v>36</v>
      </c>
      <c r="H643" t="s">
        <v>67</v>
      </c>
    </row>
    <row r="644" spans="1:8" x14ac:dyDescent="0.3">
      <c r="A644" t="s">
        <v>947</v>
      </c>
      <c r="B644" t="s">
        <v>67</v>
      </c>
      <c r="C644">
        <v>2026</v>
      </c>
      <c r="D644" t="s">
        <v>12</v>
      </c>
      <c r="E644" t="s">
        <v>4</v>
      </c>
      <c r="F644">
        <v>11231.113184466021</v>
      </c>
      <c r="G644" t="s">
        <v>30</v>
      </c>
      <c r="H644" t="s">
        <v>67</v>
      </c>
    </row>
    <row r="645" spans="1:8" x14ac:dyDescent="0.3">
      <c r="A645" t="s">
        <v>948</v>
      </c>
      <c r="B645" t="s">
        <v>67</v>
      </c>
      <c r="C645">
        <v>2026</v>
      </c>
      <c r="D645" t="s">
        <v>12</v>
      </c>
      <c r="E645" t="s">
        <v>4</v>
      </c>
      <c r="F645">
        <v>1030</v>
      </c>
      <c r="G645" t="s">
        <v>54</v>
      </c>
      <c r="H645" t="s">
        <v>67</v>
      </c>
    </row>
    <row r="646" spans="1:8" x14ac:dyDescent="0.3">
      <c r="A646" t="s">
        <v>949</v>
      </c>
      <c r="B646" t="s">
        <v>67</v>
      </c>
      <c r="C646">
        <v>2026</v>
      </c>
      <c r="D646" t="s">
        <v>12</v>
      </c>
      <c r="E646" t="s">
        <v>4</v>
      </c>
      <c r="F646">
        <v>11568046.580000002</v>
      </c>
      <c r="G646" t="s">
        <v>36</v>
      </c>
      <c r="H646" t="s">
        <v>67</v>
      </c>
    </row>
    <row r="647" spans="1:8" x14ac:dyDescent="0.3">
      <c r="A647" t="s">
        <v>950</v>
      </c>
      <c r="B647" t="s">
        <v>67</v>
      </c>
      <c r="C647">
        <v>2026</v>
      </c>
      <c r="D647" t="s">
        <v>12</v>
      </c>
      <c r="E647" t="s">
        <v>38</v>
      </c>
      <c r="F647">
        <v>10580.140451807227</v>
      </c>
      <c r="G647" t="s">
        <v>30</v>
      </c>
      <c r="H647" t="s">
        <v>67</v>
      </c>
    </row>
    <row r="648" spans="1:8" x14ac:dyDescent="0.3">
      <c r="A648" t="s">
        <v>951</v>
      </c>
      <c r="B648" t="s">
        <v>67</v>
      </c>
      <c r="C648">
        <v>2026</v>
      </c>
      <c r="D648" t="s">
        <v>12</v>
      </c>
      <c r="E648" t="s">
        <v>38</v>
      </c>
      <c r="F648">
        <v>332</v>
      </c>
      <c r="G648" t="s">
        <v>54</v>
      </c>
      <c r="H648" t="s">
        <v>67</v>
      </c>
    </row>
    <row r="649" spans="1:8" x14ac:dyDescent="0.3">
      <c r="A649" t="s">
        <v>952</v>
      </c>
      <c r="B649" t="s">
        <v>67</v>
      </c>
      <c r="C649">
        <v>2026</v>
      </c>
      <c r="D649" t="s">
        <v>12</v>
      </c>
      <c r="E649" t="s">
        <v>38</v>
      </c>
      <c r="F649">
        <v>3512606.6299999994</v>
      </c>
      <c r="G649" t="s">
        <v>36</v>
      </c>
      <c r="H649" t="s">
        <v>67</v>
      </c>
    </row>
    <row r="650" spans="1:8" x14ac:dyDescent="0.3">
      <c r="A650" t="s">
        <v>956</v>
      </c>
      <c r="B650" t="s">
        <v>68</v>
      </c>
      <c r="C650">
        <v>2026</v>
      </c>
      <c r="D650" t="s">
        <v>10</v>
      </c>
      <c r="E650" t="s">
        <v>63</v>
      </c>
      <c r="F650">
        <v>17029.977500000001</v>
      </c>
      <c r="G650" t="s">
        <v>30</v>
      </c>
      <c r="H650" t="s">
        <v>68</v>
      </c>
    </row>
    <row r="651" spans="1:8" x14ac:dyDescent="0.3">
      <c r="A651" t="s">
        <v>957</v>
      </c>
      <c r="B651" t="s">
        <v>68</v>
      </c>
      <c r="C651">
        <v>2026</v>
      </c>
      <c r="D651" t="s">
        <v>10</v>
      </c>
      <c r="E651" t="s">
        <v>63</v>
      </c>
      <c r="F651">
        <v>8</v>
      </c>
      <c r="G651" t="s">
        <v>54</v>
      </c>
      <c r="H651" t="s">
        <v>68</v>
      </c>
    </row>
    <row r="652" spans="1:8" x14ac:dyDescent="0.3">
      <c r="A652" t="s">
        <v>958</v>
      </c>
      <c r="B652" t="s">
        <v>68</v>
      </c>
      <c r="C652">
        <v>2026</v>
      </c>
      <c r="D652" t="s">
        <v>10</v>
      </c>
      <c r="E652" t="s">
        <v>63</v>
      </c>
      <c r="F652">
        <v>136239.82</v>
      </c>
      <c r="G652" t="s">
        <v>36</v>
      </c>
      <c r="H652" t="s">
        <v>68</v>
      </c>
    </row>
    <row r="653" spans="1:8" x14ac:dyDescent="0.3">
      <c r="A653" t="s">
        <v>959</v>
      </c>
      <c r="B653" t="s">
        <v>68</v>
      </c>
      <c r="C653">
        <v>2026</v>
      </c>
      <c r="D653" t="s">
        <v>10</v>
      </c>
      <c r="E653" t="s">
        <v>3</v>
      </c>
      <c r="F653">
        <v>14355.202187500001</v>
      </c>
      <c r="G653" t="s">
        <v>30</v>
      </c>
      <c r="H653" t="s">
        <v>68</v>
      </c>
    </row>
    <row r="654" spans="1:8" x14ac:dyDescent="0.3">
      <c r="A654" t="s">
        <v>960</v>
      </c>
      <c r="B654" t="s">
        <v>68</v>
      </c>
      <c r="C654">
        <v>2026</v>
      </c>
      <c r="D654" t="s">
        <v>10</v>
      </c>
      <c r="E654" t="s">
        <v>3</v>
      </c>
      <c r="F654">
        <v>32</v>
      </c>
      <c r="G654" t="s">
        <v>54</v>
      </c>
      <c r="H654" t="s">
        <v>68</v>
      </c>
    </row>
    <row r="655" spans="1:8" x14ac:dyDescent="0.3">
      <c r="A655" t="s">
        <v>961</v>
      </c>
      <c r="B655" t="s">
        <v>68</v>
      </c>
      <c r="C655">
        <v>2026</v>
      </c>
      <c r="D655" t="s">
        <v>10</v>
      </c>
      <c r="E655" t="s">
        <v>3</v>
      </c>
      <c r="F655">
        <v>459366.47000000003</v>
      </c>
      <c r="G655" t="s">
        <v>36</v>
      </c>
      <c r="H655" t="s">
        <v>68</v>
      </c>
    </row>
    <row r="656" spans="1:8" x14ac:dyDescent="0.3">
      <c r="A656" t="s">
        <v>962</v>
      </c>
      <c r="B656" t="s">
        <v>68</v>
      </c>
      <c r="C656">
        <v>2026</v>
      </c>
      <c r="D656" t="s">
        <v>10</v>
      </c>
      <c r="E656" t="s">
        <v>2</v>
      </c>
      <c r="F656">
        <v>8822.885147058827</v>
      </c>
      <c r="G656" t="s">
        <v>30</v>
      </c>
      <c r="H656" t="s">
        <v>68</v>
      </c>
    </row>
    <row r="657" spans="1:8" x14ac:dyDescent="0.3">
      <c r="A657" t="s">
        <v>963</v>
      </c>
      <c r="B657" t="s">
        <v>68</v>
      </c>
      <c r="C657">
        <v>2026</v>
      </c>
      <c r="D657" t="s">
        <v>10</v>
      </c>
      <c r="E657" t="s">
        <v>2</v>
      </c>
      <c r="F657">
        <v>136</v>
      </c>
      <c r="G657" t="s">
        <v>54</v>
      </c>
      <c r="H657" t="s">
        <v>68</v>
      </c>
    </row>
    <row r="658" spans="1:8" x14ac:dyDescent="0.3">
      <c r="A658" t="s">
        <v>964</v>
      </c>
      <c r="B658" t="s">
        <v>68</v>
      </c>
      <c r="C658">
        <v>2026</v>
      </c>
      <c r="D658" t="s">
        <v>10</v>
      </c>
      <c r="E658" t="s">
        <v>2</v>
      </c>
      <c r="F658">
        <v>1199912.3800000004</v>
      </c>
      <c r="G658" t="s">
        <v>36</v>
      </c>
      <c r="H658" t="s">
        <v>68</v>
      </c>
    </row>
    <row r="659" spans="1:8" x14ac:dyDescent="0.3">
      <c r="A659" t="s">
        <v>965</v>
      </c>
      <c r="B659" t="s">
        <v>68</v>
      </c>
      <c r="C659">
        <v>2026</v>
      </c>
      <c r="D659" t="s">
        <v>10</v>
      </c>
      <c r="E659" t="s">
        <v>1</v>
      </c>
      <c r="F659">
        <v>12210.588659286594</v>
      </c>
      <c r="G659" t="s">
        <v>30</v>
      </c>
      <c r="H659" t="s">
        <v>68</v>
      </c>
    </row>
    <row r="660" spans="1:8" x14ac:dyDescent="0.3">
      <c r="A660" t="s">
        <v>966</v>
      </c>
      <c r="B660" t="s">
        <v>68</v>
      </c>
      <c r="C660">
        <v>2026</v>
      </c>
      <c r="D660" t="s">
        <v>10</v>
      </c>
      <c r="E660" t="s">
        <v>1</v>
      </c>
      <c r="F660">
        <v>813</v>
      </c>
      <c r="G660" t="s">
        <v>54</v>
      </c>
      <c r="H660" t="s">
        <v>68</v>
      </c>
    </row>
    <row r="661" spans="1:8" x14ac:dyDescent="0.3">
      <c r="A661" t="s">
        <v>967</v>
      </c>
      <c r="B661" t="s">
        <v>68</v>
      </c>
      <c r="C661">
        <v>2026</v>
      </c>
      <c r="D661" t="s">
        <v>10</v>
      </c>
      <c r="E661" t="s">
        <v>1</v>
      </c>
      <c r="F661">
        <v>9927208.5800000001</v>
      </c>
      <c r="G661" t="s">
        <v>36</v>
      </c>
      <c r="H661" t="s">
        <v>68</v>
      </c>
    </row>
    <row r="662" spans="1:8" x14ac:dyDescent="0.3">
      <c r="A662" t="s">
        <v>968</v>
      </c>
      <c r="B662" t="s">
        <v>68</v>
      </c>
      <c r="C662">
        <v>2026</v>
      </c>
      <c r="D662" t="s">
        <v>10</v>
      </c>
      <c r="E662" t="s">
        <v>4</v>
      </c>
      <c r="F662">
        <v>11656.537794471153</v>
      </c>
      <c r="G662" t="s">
        <v>30</v>
      </c>
      <c r="H662" t="s">
        <v>68</v>
      </c>
    </row>
    <row r="663" spans="1:8" x14ac:dyDescent="0.3">
      <c r="A663" t="s">
        <v>969</v>
      </c>
      <c r="B663" t="s">
        <v>68</v>
      </c>
      <c r="C663">
        <v>2026</v>
      </c>
      <c r="D663" t="s">
        <v>10</v>
      </c>
      <c r="E663" t="s">
        <v>4</v>
      </c>
      <c r="F663">
        <v>1664</v>
      </c>
      <c r="G663" t="s">
        <v>54</v>
      </c>
      <c r="H663" t="s">
        <v>68</v>
      </c>
    </row>
    <row r="664" spans="1:8" x14ac:dyDescent="0.3">
      <c r="A664" t="s">
        <v>970</v>
      </c>
      <c r="B664" t="s">
        <v>68</v>
      </c>
      <c r="C664">
        <v>2026</v>
      </c>
      <c r="D664" t="s">
        <v>10</v>
      </c>
      <c r="E664" t="s">
        <v>4</v>
      </c>
      <c r="F664">
        <v>19396478.889999997</v>
      </c>
      <c r="G664" t="s">
        <v>36</v>
      </c>
      <c r="H664" t="s">
        <v>68</v>
      </c>
    </row>
    <row r="665" spans="1:8" x14ac:dyDescent="0.3">
      <c r="A665" t="s">
        <v>971</v>
      </c>
      <c r="B665" t="s">
        <v>68</v>
      </c>
      <c r="C665">
        <v>2026</v>
      </c>
      <c r="D665" t="s">
        <v>10</v>
      </c>
      <c r="E665" t="s">
        <v>38</v>
      </c>
      <c r="F665">
        <v>11368.520948148143</v>
      </c>
      <c r="G665" t="s">
        <v>30</v>
      </c>
      <c r="H665" t="s">
        <v>68</v>
      </c>
    </row>
    <row r="666" spans="1:8" x14ac:dyDescent="0.3">
      <c r="A666" t="s">
        <v>972</v>
      </c>
      <c r="B666" t="s">
        <v>68</v>
      </c>
      <c r="C666">
        <v>2026</v>
      </c>
      <c r="D666" t="s">
        <v>10</v>
      </c>
      <c r="E666" t="s">
        <v>38</v>
      </c>
      <c r="F666">
        <v>675</v>
      </c>
      <c r="G666" t="s">
        <v>54</v>
      </c>
      <c r="H666" t="s">
        <v>68</v>
      </c>
    </row>
    <row r="667" spans="1:8" x14ac:dyDescent="0.3">
      <c r="A667" t="s">
        <v>973</v>
      </c>
      <c r="B667" t="s">
        <v>68</v>
      </c>
      <c r="C667">
        <v>2026</v>
      </c>
      <c r="D667" t="s">
        <v>10</v>
      </c>
      <c r="E667" t="s">
        <v>38</v>
      </c>
      <c r="F667">
        <v>7673751.6399999969</v>
      </c>
      <c r="G667" t="s">
        <v>36</v>
      </c>
      <c r="H667" t="s">
        <v>68</v>
      </c>
    </row>
    <row r="668" spans="1:8" x14ac:dyDescent="0.3">
      <c r="A668" t="s">
        <v>984</v>
      </c>
      <c r="B668" t="s">
        <v>69</v>
      </c>
      <c r="C668">
        <v>2026</v>
      </c>
      <c r="D668" t="s">
        <v>44</v>
      </c>
      <c r="E668" t="s">
        <v>2</v>
      </c>
      <c r="F668">
        <v>5999.6310169491526</v>
      </c>
      <c r="G668" t="s">
        <v>30</v>
      </c>
      <c r="H668" t="s">
        <v>69</v>
      </c>
    </row>
    <row r="669" spans="1:8" x14ac:dyDescent="0.3">
      <c r="A669" t="s">
        <v>985</v>
      </c>
      <c r="B669" t="s">
        <v>69</v>
      </c>
      <c r="C669">
        <v>2026</v>
      </c>
      <c r="D669" t="s">
        <v>44</v>
      </c>
      <c r="E669" t="s">
        <v>2</v>
      </c>
      <c r="F669">
        <v>59</v>
      </c>
      <c r="G669" t="s">
        <v>54</v>
      </c>
      <c r="H669" t="s">
        <v>69</v>
      </c>
    </row>
    <row r="670" spans="1:8" x14ac:dyDescent="0.3">
      <c r="A670" t="s">
        <v>986</v>
      </c>
      <c r="B670" t="s">
        <v>69</v>
      </c>
      <c r="C670">
        <v>2026</v>
      </c>
      <c r="D670" t="s">
        <v>44</v>
      </c>
      <c r="E670" t="s">
        <v>2</v>
      </c>
      <c r="F670">
        <v>353978.23</v>
      </c>
      <c r="G670" t="s">
        <v>36</v>
      </c>
      <c r="H670" t="s">
        <v>69</v>
      </c>
    </row>
    <row r="671" spans="1:8" x14ac:dyDescent="0.3">
      <c r="A671" t="s">
        <v>987</v>
      </c>
      <c r="B671" t="s">
        <v>69</v>
      </c>
      <c r="C671">
        <v>2026</v>
      </c>
      <c r="D671" t="s">
        <v>44</v>
      </c>
      <c r="E671" t="s">
        <v>1</v>
      </c>
      <c r="F671">
        <v>12961.702502443814</v>
      </c>
      <c r="G671" t="s">
        <v>30</v>
      </c>
      <c r="H671" t="s">
        <v>69</v>
      </c>
    </row>
    <row r="672" spans="1:8" x14ac:dyDescent="0.3">
      <c r="A672" t="s">
        <v>988</v>
      </c>
      <c r="B672" t="s">
        <v>69</v>
      </c>
      <c r="C672">
        <v>2026</v>
      </c>
      <c r="D672" t="s">
        <v>44</v>
      </c>
      <c r="E672" t="s">
        <v>1</v>
      </c>
      <c r="F672">
        <v>2046</v>
      </c>
      <c r="G672" t="s">
        <v>54</v>
      </c>
      <c r="H672" t="s">
        <v>69</v>
      </c>
    </row>
    <row r="673" spans="1:8" x14ac:dyDescent="0.3">
      <c r="A673" t="s">
        <v>989</v>
      </c>
      <c r="B673" t="s">
        <v>69</v>
      </c>
      <c r="C673">
        <v>2026</v>
      </c>
      <c r="D673" t="s">
        <v>44</v>
      </c>
      <c r="E673" t="s">
        <v>1</v>
      </c>
      <c r="F673">
        <v>26519643.320000019</v>
      </c>
      <c r="G673" t="s">
        <v>36</v>
      </c>
      <c r="H673" t="s">
        <v>69</v>
      </c>
    </row>
    <row r="674" spans="1:8" x14ac:dyDescent="0.3">
      <c r="A674" t="s">
        <v>990</v>
      </c>
      <c r="B674" t="s">
        <v>69</v>
      </c>
      <c r="C674">
        <v>2026</v>
      </c>
      <c r="D674" t="s">
        <v>44</v>
      </c>
      <c r="E674" t="s">
        <v>4</v>
      </c>
      <c r="F674">
        <v>12826.825399820314</v>
      </c>
      <c r="G674" t="s">
        <v>30</v>
      </c>
      <c r="H674" t="s">
        <v>69</v>
      </c>
    </row>
    <row r="675" spans="1:8" x14ac:dyDescent="0.3">
      <c r="A675" t="s">
        <v>991</v>
      </c>
      <c r="B675" t="s">
        <v>69</v>
      </c>
      <c r="C675">
        <v>2026</v>
      </c>
      <c r="D675" t="s">
        <v>44</v>
      </c>
      <c r="E675" t="s">
        <v>4</v>
      </c>
      <c r="F675">
        <v>2226</v>
      </c>
      <c r="G675" t="s">
        <v>54</v>
      </c>
      <c r="H675" t="s">
        <v>69</v>
      </c>
    </row>
    <row r="676" spans="1:8" x14ac:dyDescent="0.3">
      <c r="A676" t="s">
        <v>992</v>
      </c>
      <c r="B676" t="s">
        <v>69</v>
      </c>
      <c r="C676">
        <v>2026</v>
      </c>
      <c r="D676" t="s">
        <v>44</v>
      </c>
      <c r="E676" t="s">
        <v>4</v>
      </c>
      <c r="F676">
        <v>28552513.340000018</v>
      </c>
      <c r="G676" t="s">
        <v>36</v>
      </c>
      <c r="H676" t="s">
        <v>69</v>
      </c>
    </row>
    <row r="677" spans="1:8" x14ac:dyDescent="0.3">
      <c r="A677" t="s">
        <v>993</v>
      </c>
      <c r="B677" t="s">
        <v>69</v>
      </c>
      <c r="C677">
        <v>2026</v>
      </c>
      <c r="D677" t="s">
        <v>44</v>
      </c>
      <c r="E677" t="s">
        <v>38</v>
      </c>
      <c r="F677">
        <v>13875.138760330577</v>
      </c>
      <c r="G677" t="s">
        <v>30</v>
      </c>
      <c r="H677" t="s">
        <v>69</v>
      </c>
    </row>
    <row r="678" spans="1:8" x14ac:dyDescent="0.3">
      <c r="A678" t="s">
        <v>994</v>
      </c>
      <c r="B678" t="s">
        <v>69</v>
      </c>
      <c r="C678">
        <v>2026</v>
      </c>
      <c r="D678" t="s">
        <v>44</v>
      </c>
      <c r="E678" t="s">
        <v>38</v>
      </c>
      <c r="F678">
        <v>121</v>
      </c>
      <c r="G678" t="s">
        <v>54</v>
      </c>
      <c r="H678" t="s">
        <v>69</v>
      </c>
    </row>
    <row r="679" spans="1:8" x14ac:dyDescent="0.3">
      <c r="A679" t="s">
        <v>995</v>
      </c>
      <c r="B679" t="s">
        <v>69</v>
      </c>
      <c r="C679">
        <v>2026</v>
      </c>
      <c r="D679" t="s">
        <v>44</v>
      </c>
      <c r="E679" t="s">
        <v>38</v>
      </c>
      <c r="F679">
        <v>1678891.7899999998</v>
      </c>
      <c r="G679" t="s">
        <v>36</v>
      </c>
      <c r="H679" t="s">
        <v>69</v>
      </c>
    </row>
    <row r="680" spans="1:8" x14ac:dyDescent="0.3">
      <c r="A680" t="s">
        <v>996</v>
      </c>
      <c r="B680" t="s">
        <v>70</v>
      </c>
      <c r="C680">
        <v>2026</v>
      </c>
      <c r="D680" t="s">
        <v>6</v>
      </c>
      <c r="E680" t="s">
        <v>53</v>
      </c>
      <c r="F680">
        <v>11571.3356</v>
      </c>
      <c r="G680" t="s">
        <v>30</v>
      </c>
      <c r="H680" t="s">
        <v>70</v>
      </c>
    </row>
    <row r="681" spans="1:8" x14ac:dyDescent="0.3">
      <c r="A681" t="s">
        <v>997</v>
      </c>
      <c r="B681" t="s">
        <v>70</v>
      </c>
      <c r="C681">
        <v>2026</v>
      </c>
      <c r="D681" t="s">
        <v>6</v>
      </c>
      <c r="E681" t="s">
        <v>53</v>
      </c>
      <c r="F681">
        <v>25</v>
      </c>
      <c r="G681" t="s">
        <v>54</v>
      </c>
      <c r="H681" t="s">
        <v>70</v>
      </c>
    </row>
    <row r="682" spans="1:8" x14ac:dyDescent="0.3">
      <c r="A682" t="s">
        <v>998</v>
      </c>
      <c r="B682" t="s">
        <v>70</v>
      </c>
      <c r="C682">
        <v>2026</v>
      </c>
      <c r="D682" t="s">
        <v>6</v>
      </c>
      <c r="E682" t="s">
        <v>53</v>
      </c>
      <c r="F682">
        <v>289283.39</v>
      </c>
      <c r="G682" t="s">
        <v>36</v>
      </c>
      <c r="H682" t="s">
        <v>70</v>
      </c>
    </row>
    <row r="683" spans="1:8" x14ac:dyDescent="0.3">
      <c r="A683" t="s">
        <v>999</v>
      </c>
      <c r="B683" t="s">
        <v>70</v>
      </c>
      <c r="C683">
        <v>2026</v>
      </c>
      <c r="D683" t="s">
        <v>6</v>
      </c>
      <c r="E683" t="s">
        <v>63</v>
      </c>
      <c r="F683">
        <v>14289.088333333333</v>
      </c>
      <c r="G683" t="s">
        <v>30</v>
      </c>
      <c r="H683" t="s">
        <v>70</v>
      </c>
    </row>
    <row r="684" spans="1:8" x14ac:dyDescent="0.3">
      <c r="A684" t="s">
        <v>1000</v>
      </c>
      <c r="B684" t="s">
        <v>70</v>
      </c>
      <c r="C684">
        <v>2026</v>
      </c>
      <c r="D684" t="s">
        <v>6</v>
      </c>
      <c r="E684" t="s">
        <v>63</v>
      </c>
      <c r="F684">
        <v>6</v>
      </c>
      <c r="G684" t="s">
        <v>54</v>
      </c>
      <c r="H684" t="s">
        <v>70</v>
      </c>
    </row>
    <row r="685" spans="1:8" x14ac:dyDescent="0.3">
      <c r="A685" t="s">
        <v>1001</v>
      </c>
      <c r="B685" t="s">
        <v>70</v>
      </c>
      <c r="C685">
        <v>2026</v>
      </c>
      <c r="D685" t="s">
        <v>6</v>
      </c>
      <c r="E685" t="s">
        <v>63</v>
      </c>
      <c r="F685">
        <v>85734.53</v>
      </c>
      <c r="G685" t="s">
        <v>36</v>
      </c>
      <c r="H685" t="s">
        <v>70</v>
      </c>
    </row>
    <row r="686" spans="1:8" x14ac:dyDescent="0.3">
      <c r="A686" t="s">
        <v>1002</v>
      </c>
      <c r="B686" t="s">
        <v>70</v>
      </c>
      <c r="C686">
        <v>2026</v>
      </c>
      <c r="D686" t="s">
        <v>6</v>
      </c>
      <c r="E686" t="s">
        <v>3</v>
      </c>
      <c r="F686">
        <v>13937.321250000001</v>
      </c>
      <c r="G686" t="s">
        <v>30</v>
      </c>
      <c r="H686" t="s">
        <v>70</v>
      </c>
    </row>
    <row r="687" spans="1:8" x14ac:dyDescent="0.3">
      <c r="A687" t="s">
        <v>1003</v>
      </c>
      <c r="B687" t="s">
        <v>70</v>
      </c>
      <c r="C687">
        <v>2026</v>
      </c>
      <c r="D687" t="s">
        <v>6</v>
      </c>
      <c r="E687" t="s">
        <v>3</v>
      </c>
      <c r="F687">
        <v>24</v>
      </c>
      <c r="G687" t="s">
        <v>54</v>
      </c>
      <c r="H687" t="s">
        <v>70</v>
      </c>
    </row>
    <row r="688" spans="1:8" x14ac:dyDescent="0.3">
      <c r="A688" t="s">
        <v>1004</v>
      </c>
      <c r="B688" t="s">
        <v>70</v>
      </c>
      <c r="C688">
        <v>2026</v>
      </c>
      <c r="D688" t="s">
        <v>6</v>
      </c>
      <c r="E688" t="s">
        <v>3</v>
      </c>
      <c r="F688">
        <v>334495.71000000002</v>
      </c>
      <c r="G688" t="s">
        <v>36</v>
      </c>
      <c r="H688" t="s">
        <v>70</v>
      </c>
    </row>
    <row r="689" spans="1:8" x14ac:dyDescent="0.3">
      <c r="A689" t="s">
        <v>1005</v>
      </c>
      <c r="B689" t="s">
        <v>70</v>
      </c>
      <c r="C689">
        <v>2026</v>
      </c>
      <c r="D689" t="s">
        <v>6</v>
      </c>
      <c r="E689" t="s">
        <v>2</v>
      </c>
      <c r="F689">
        <v>7591.6089473684196</v>
      </c>
      <c r="G689" t="s">
        <v>30</v>
      </c>
      <c r="H689" t="s">
        <v>70</v>
      </c>
    </row>
    <row r="690" spans="1:8" x14ac:dyDescent="0.3">
      <c r="A690" t="s">
        <v>1006</v>
      </c>
      <c r="B690" t="s">
        <v>70</v>
      </c>
      <c r="C690">
        <v>2026</v>
      </c>
      <c r="D690" t="s">
        <v>6</v>
      </c>
      <c r="E690" t="s">
        <v>2</v>
      </c>
      <c r="F690">
        <v>76</v>
      </c>
      <c r="G690" t="s">
        <v>54</v>
      </c>
      <c r="H690" t="s">
        <v>70</v>
      </c>
    </row>
    <row r="691" spans="1:8" x14ac:dyDescent="0.3">
      <c r="A691" t="s">
        <v>1007</v>
      </c>
      <c r="B691" t="s">
        <v>70</v>
      </c>
      <c r="C691">
        <v>2026</v>
      </c>
      <c r="D691" t="s">
        <v>6</v>
      </c>
      <c r="E691" t="s">
        <v>2</v>
      </c>
      <c r="F691">
        <v>576962.28</v>
      </c>
      <c r="G691" t="s">
        <v>36</v>
      </c>
      <c r="H691" t="s">
        <v>70</v>
      </c>
    </row>
    <row r="692" spans="1:8" x14ac:dyDescent="0.3">
      <c r="A692" t="s">
        <v>1008</v>
      </c>
      <c r="B692" t="s">
        <v>70</v>
      </c>
      <c r="C692">
        <v>2026</v>
      </c>
      <c r="D692" t="s">
        <v>6</v>
      </c>
      <c r="E692" t="s">
        <v>1</v>
      </c>
      <c r="F692">
        <v>16600.643160340838</v>
      </c>
      <c r="G692" t="s">
        <v>30</v>
      </c>
      <c r="H692" t="s">
        <v>70</v>
      </c>
    </row>
    <row r="693" spans="1:8" x14ac:dyDescent="0.3">
      <c r="A693" t="s">
        <v>1009</v>
      </c>
      <c r="B693" t="s">
        <v>70</v>
      </c>
      <c r="C693">
        <v>2026</v>
      </c>
      <c r="D693" t="s">
        <v>6</v>
      </c>
      <c r="E693" t="s">
        <v>1</v>
      </c>
      <c r="F693">
        <v>1291</v>
      </c>
      <c r="G693" t="s">
        <v>54</v>
      </c>
      <c r="H693" t="s">
        <v>70</v>
      </c>
    </row>
    <row r="694" spans="1:8" x14ac:dyDescent="0.3">
      <c r="A694" t="s">
        <v>1010</v>
      </c>
      <c r="B694" t="s">
        <v>70</v>
      </c>
      <c r="C694">
        <v>2026</v>
      </c>
      <c r="D694" t="s">
        <v>6</v>
      </c>
      <c r="E694" t="s">
        <v>1</v>
      </c>
      <c r="F694">
        <v>21431430.320000034</v>
      </c>
      <c r="G694" t="s">
        <v>36</v>
      </c>
      <c r="H694" t="s">
        <v>70</v>
      </c>
    </row>
    <row r="695" spans="1:8" x14ac:dyDescent="0.3">
      <c r="A695" t="s">
        <v>1011</v>
      </c>
      <c r="B695" t="s">
        <v>70</v>
      </c>
      <c r="C695">
        <v>2026</v>
      </c>
      <c r="D695" t="s">
        <v>6</v>
      </c>
      <c r="E695" t="s">
        <v>4</v>
      </c>
      <c r="F695">
        <v>15721.593714285736</v>
      </c>
      <c r="G695" t="s">
        <v>30</v>
      </c>
      <c r="H695" t="s">
        <v>70</v>
      </c>
    </row>
    <row r="696" spans="1:8" x14ac:dyDescent="0.3">
      <c r="A696" t="s">
        <v>1012</v>
      </c>
      <c r="B696" t="s">
        <v>70</v>
      </c>
      <c r="C696">
        <v>2026</v>
      </c>
      <c r="D696" t="s">
        <v>6</v>
      </c>
      <c r="E696" t="s">
        <v>4</v>
      </c>
      <c r="F696">
        <v>1540</v>
      </c>
      <c r="G696" t="s">
        <v>54</v>
      </c>
      <c r="H696" t="s">
        <v>70</v>
      </c>
    </row>
    <row r="697" spans="1:8" x14ac:dyDescent="0.3">
      <c r="A697" t="s">
        <v>1013</v>
      </c>
      <c r="B697" t="s">
        <v>70</v>
      </c>
      <c r="C697">
        <v>2026</v>
      </c>
      <c r="D697" t="s">
        <v>6</v>
      </c>
      <c r="E697" t="s">
        <v>4</v>
      </c>
      <c r="F697">
        <v>24211254.320000034</v>
      </c>
      <c r="G697" t="s">
        <v>36</v>
      </c>
      <c r="H697" t="s">
        <v>70</v>
      </c>
    </row>
    <row r="698" spans="1:8" x14ac:dyDescent="0.3">
      <c r="A698" t="s">
        <v>1014</v>
      </c>
      <c r="B698" t="s">
        <v>70</v>
      </c>
      <c r="C698">
        <v>2026</v>
      </c>
      <c r="D698" t="s">
        <v>6</v>
      </c>
      <c r="E698" t="s">
        <v>38</v>
      </c>
      <c r="F698">
        <v>12655.492288135596</v>
      </c>
      <c r="G698" t="s">
        <v>30</v>
      </c>
      <c r="H698" t="s">
        <v>70</v>
      </c>
    </row>
    <row r="699" spans="1:8" x14ac:dyDescent="0.3">
      <c r="A699" t="s">
        <v>1015</v>
      </c>
      <c r="B699" t="s">
        <v>70</v>
      </c>
      <c r="C699">
        <v>2026</v>
      </c>
      <c r="D699" t="s">
        <v>6</v>
      </c>
      <c r="E699" t="s">
        <v>38</v>
      </c>
      <c r="F699">
        <v>118</v>
      </c>
      <c r="G699" t="s">
        <v>54</v>
      </c>
      <c r="H699" t="s">
        <v>70</v>
      </c>
    </row>
    <row r="700" spans="1:8" x14ac:dyDescent="0.3">
      <c r="A700" t="s">
        <v>1016</v>
      </c>
      <c r="B700" t="s">
        <v>70</v>
      </c>
      <c r="C700">
        <v>2026</v>
      </c>
      <c r="D700" t="s">
        <v>6</v>
      </c>
      <c r="E700" t="s">
        <v>38</v>
      </c>
      <c r="F700">
        <v>1493348.09</v>
      </c>
      <c r="G700" t="s">
        <v>36</v>
      </c>
      <c r="H700" t="s">
        <v>70</v>
      </c>
    </row>
    <row r="701" spans="1:8" x14ac:dyDescent="0.3">
      <c r="A701" t="s">
        <v>1021</v>
      </c>
      <c r="B701" t="s">
        <v>71</v>
      </c>
      <c r="C701">
        <v>2026</v>
      </c>
      <c r="D701" t="s">
        <v>11</v>
      </c>
      <c r="E701" t="s">
        <v>63</v>
      </c>
      <c r="F701">
        <v>15539.16</v>
      </c>
      <c r="G701" t="s">
        <v>30</v>
      </c>
      <c r="H701" t="s">
        <v>71</v>
      </c>
    </row>
    <row r="702" spans="1:8" x14ac:dyDescent="0.3">
      <c r="A702" t="s">
        <v>1022</v>
      </c>
      <c r="B702" t="s">
        <v>71</v>
      </c>
      <c r="C702">
        <v>2026</v>
      </c>
      <c r="D702" t="s">
        <v>11</v>
      </c>
      <c r="E702" t="s">
        <v>63</v>
      </c>
      <c r="F702">
        <v>4</v>
      </c>
      <c r="G702" t="s">
        <v>54</v>
      </c>
      <c r="H702" t="s">
        <v>71</v>
      </c>
    </row>
    <row r="703" spans="1:8" x14ac:dyDescent="0.3">
      <c r="A703" t="s">
        <v>1023</v>
      </c>
      <c r="B703" t="s">
        <v>71</v>
      </c>
      <c r="C703">
        <v>2026</v>
      </c>
      <c r="D703" t="s">
        <v>11</v>
      </c>
      <c r="E703" t="s">
        <v>63</v>
      </c>
      <c r="F703">
        <v>62156.639999999999</v>
      </c>
      <c r="G703" t="s">
        <v>36</v>
      </c>
      <c r="H703" t="s">
        <v>71</v>
      </c>
    </row>
    <row r="704" spans="1:8" x14ac:dyDescent="0.3">
      <c r="A704" t="s">
        <v>1024</v>
      </c>
      <c r="B704" t="s">
        <v>71</v>
      </c>
      <c r="C704">
        <v>2026</v>
      </c>
      <c r="D704" t="s">
        <v>11</v>
      </c>
      <c r="E704" t="s">
        <v>3</v>
      </c>
      <c r="F704">
        <v>19554.409047619043</v>
      </c>
      <c r="G704" t="s">
        <v>30</v>
      </c>
      <c r="H704" t="s">
        <v>71</v>
      </c>
    </row>
    <row r="705" spans="1:8" x14ac:dyDescent="0.3">
      <c r="A705" t="s">
        <v>1025</v>
      </c>
      <c r="B705" t="s">
        <v>71</v>
      </c>
      <c r="C705">
        <v>2026</v>
      </c>
      <c r="D705" t="s">
        <v>11</v>
      </c>
      <c r="E705" t="s">
        <v>3</v>
      </c>
      <c r="F705">
        <v>21</v>
      </c>
      <c r="G705" t="s">
        <v>54</v>
      </c>
      <c r="H705" t="s">
        <v>71</v>
      </c>
    </row>
    <row r="706" spans="1:8" x14ac:dyDescent="0.3">
      <c r="A706" t="s">
        <v>1026</v>
      </c>
      <c r="B706" t="s">
        <v>71</v>
      </c>
      <c r="C706">
        <v>2026</v>
      </c>
      <c r="D706" t="s">
        <v>11</v>
      </c>
      <c r="E706" t="s">
        <v>3</v>
      </c>
      <c r="F706">
        <v>410642.58999999991</v>
      </c>
      <c r="G706" t="s">
        <v>36</v>
      </c>
      <c r="H706" t="s">
        <v>71</v>
      </c>
    </row>
    <row r="707" spans="1:8" x14ac:dyDescent="0.3">
      <c r="A707" t="s">
        <v>1027</v>
      </c>
      <c r="B707" t="s">
        <v>71</v>
      </c>
      <c r="C707">
        <v>2026</v>
      </c>
      <c r="D707" t="s">
        <v>11</v>
      </c>
      <c r="E707" t="s">
        <v>2</v>
      </c>
      <c r="F707">
        <v>9708.4552803738352</v>
      </c>
      <c r="G707" t="s">
        <v>30</v>
      </c>
      <c r="H707" t="s">
        <v>71</v>
      </c>
    </row>
    <row r="708" spans="1:8" x14ac:dyDescent="0.3">
      <c r="A708" t="s">
        <v>1028</v>
      </c>
      <c r="B708" t="s">
        <v>71</v>
      </c>
      <c r="C708">
        <v>2026</v>
      </c>
      <c r="D708" t="s">
        <v>11</v>
      </c>
      <c r="E708" t="s">
        <v>2</v>
      </c>
      <c r="F708">
        <v>214</v>
      </c>
      <c r="G708" t="s">
        <v>54</v>
      </c>
      <c r="H708" t="s">
        <v>71</v>
      </c>
    </row>
    <row r="709" spans="1:8" x14ac:dyDescent="0.3">
      <c r="A709" t="s">
        <v>1029</v>
      </c>
      <c r="B709" t="s">
        <v>71</v>
      </c>
      <c r="C709">
        <v>2026</v>
      </c>
      <c r="D709" t="s">
        <v>11</v>
      </c>
      <c r="E709" t="s">
        <v>2</v>
      </c>
      <c r="F709">
        <v>2077609.4300000004</v>
      </c>
      <c r="G709" t="s">
        <v>36</v>
      </c>
      <c r="H709" t="s">
        <v>71</v>
      </c>
    </row>
    <row r="710" spans="1:8" x14ac:dyDescent="0.3">
      <c r="A710" t="s">
        <v>1030</v>
      </c>
      <c r="B710" t="s">
        <v>71</v>
      </c>
      <c r="C710">
        <v>2026</v>
      </c>
      <c r="D710" t="s">
        <v>11</v>
      </c>
      <c r="E710" t="s">
        <v>1</v>
      </c>
      <c r="F710">
        <v>12632.986882758612</v>
      </c>
      <c r="G710" t="s">
        <v>30</v>
      </c>
      <c r="H710" t="s">
        <v>71</v>
      </c>
    </row>
    <row r="711" spans="1:8" x14ac:dyDescent="0.3">
      <c r="A711" t="s">
        <v>1031</v>
      </c>
      <c r="B711" t="s">
        <v>71</v>
      </c>
      <c r="C711">
        <v>2026</v>
      </c>
      <c r="D711" t="s">
        <v>11</v>
      </c>
      <c r="E711" t="s">
        <v>1</v>
      </c>
      <c r="F711">
        <v>725</v>
      </c>
      <c r="G711" t="s">
        <v>54</v>
      </c>
      <c r="H711" t="s">
        <v>71</v>
      </c>
    </row>
    <row r="712" spans="1:8" x14ac:dyDescent="0.3">
      <c r="A712" t="s">
        <v>1032</v>
      </c>
      <c r="B712" t="s">
        <v>71</v>
      </c>
      <c r="C712">
        <v>2026</v>
      </c>
      <c r="D712" t="s">
        <v>11</v>
      </c>
      <c r="E712" t="s">
        <v>1</v>
      </c>
      <c r="F712">
        <v>9158915.4899999909</v>
      </c>
      <c r="G712" t="s">
        <v>36</v>
      </c>
      <c r="H712" t="s">
        <v>71</v>
      </c>
    </row>
    <row r="713" spans="1:8" x14ac:dyDescent="0.3">
      <c r="A713" t="s">
        <v>1033</v>
      </c>
      <c r="B713" t="s">
        <v>71</v>
      </c>
      <c r="C713">
        <v>2026</v>
      </c>
      <c r="D713" t="s">
        <v>11</v>
      </c>
      <c r="E713" t="s">
        <v>4</v>
      </c>
      <c r="F713">
        <v>12009.183078930197</v>
      </c>
      <c r="G713" t="s">
        <v>30</v>
      </c>
      <c r="H713" t="s">
        <v>71</v>
      </c>
    </row>
    <row r="714" spans="1:8" x14ac:dyDescent="0.3">
      <c r="A714" t="s">
        <v>1034</v>
      </c>
      <c r="B714" t="s">
        <v>71</v>
      </c>
      <c r="C714">
        <v>2026</v>
      </c>
      <c r="D714" t="s">
        <v>11</v>
      </c>
      <c r="E714" t="s">
        <v>4</v>
      </c>
      <c r="F714">
        <v>1533</v>
      </c>
      <c r="G714" t="s">
        <v>54</v>
      </c>
      <c r="H714" t="s">
        <v>71</v>
      </c>
    </row>
    <row r="715" spans="1:8" x14ac:dyDescent="0.3">
      <c r="A715" t="s">
        <v>1035</v>
      </c>
      <c r="B715" t="s">
        <v>71</v>
      </c>
      <c r="C715">
        <v>2026</v>
      </c>
      <c r="D715" t="s">
        <v>11</v>
      </c>
      <c r="E715" t="s">
        <v>4</v>
      </c>
      <c r="F715">
        <v>18410077.659999993</v>
      </c>
      <c r="G715" t="s">
        <v>36</v>
      </c>
      <c r="H715" t="s">
        <v>71</v>
      </c>
    </row>
    <row r="716" spans="1:8" x14ac:dyDescent="0.3">
      <c r="A716" t="s">
        <v>1036</v>
      </c>
      <c r="B716" t="s">
        <v>71</v>
      </c>
      <c r="C716">
        <v>2026</v>
      </c>
      <c r="D716" t="s">
        <v>11</v>
      </c>
      <c r="E716" t="s">
        <v>38</v>
      </c>
      <c r="F716">
        <v>11776.368207381376</v>
      </c>
      <c r="G716" t="s">
        <v>30</v>
      </c>
      <c r="H716" t="s">
        <v>71</v>
      </c>
    </row>
    <row r="717" spans="1:8" x14ac:dyDescent="0.3">
      <c r="A717" t="s">
        <v>1037</v>
      </c>
      <c r="B717" t="s">
        <v>71</v>
      </c>
      <c r="C717">
        <v>2026</v>
      </c>
      <c r="D717" t="s">
        <v>11</v>
      </c>
      <c r="E717" t="s">
        <v>38</v>
      </c>
      <c r="F717">
        <v>569</v>
      </c>
      <c r="G717" t="s">
        <v>54</v>
      </c>
      <c r="H717" t="s">
        <v>71</v>
      </c>
    </row>
    <row r="718" spans="1:8" x14ac:dyDescent="0.3">
      <c r="A718" t="s">
        <v>1038</v>
      </c>
      <c r="B718" t="s">
        <v>71</v>
      </c>
      <c r="C718">
        <v>2026</v>
      </c>
      <c r="D718" t="s">
        <v>11</v>
      </c>
      <c r="E718" t="s">
        <v>38</v>
      </c>
      <c r="F718">
        <v>6700753.5100000026</v>
      </c>
      <c r="G718" t="s">
        <v>36</v>
      </c>
      <c r="H718" t="s">
        <v>71</v>
      </c>
    </row>
    <row r="719" spans="1:8" x14ac:dyDescent="0.3">
      <c r="A719" t="s">
        <v>1048</v>
      </c>
      <c r="B719" t="s">
        <v>72</v>
      </c>
      <c r="C719">
        <v>2026</v>
      </c>
      <c r="D719" t="s">
        <v>20</v>
      </c>
      <c r="E719" t="s">
        <v>2</v>
      </c>
      <c r="F719">
        <v>3036.1683333333331</v>
      </c>
      <c r="G719" t="s">
        <v>30</v>
      </c>
      <c r="H719" t="s">
        <v>72</v>
      </c>
    </row>
    <row r="720" spans="1:8" x14ac:dyDescent="0.3">
      <c r="A720" t="s">
        <v>1049</v>
      </c>
      <c r="B720" t="s">
        <v>72</v>
      </c>
      <c r="C720">
        <v>2026</v>
      </c>
      <c r="D720" t="s">
        <v>20</v>
      </c>
      <c r="E720" t="s">
        <v>2</v>
      </c>
      <c r="F720">
        <v>18</v>
      </c>
      <c r="G720" t="s">
        <v>54</v>
      </c>
      <c r="H720" t="s">
        <v>72</v>
      </c>
    </row>
    <row r="721" spans="1:8" x14ac:dyDescent="0.3">
      <c r="A721" t="s">
        <v>1050</v>
      </c>
      <c r="B721" t="s">
        <v>72</v>
      </c>
      <c r="C721">
        <v>2026</v>
      </c>
      <c r="D721" t="s">
        <v>20</v>
      </c>
      <c r="E721" t="s">
        <v>2</v>
      </c>
      <c r="F721">
        <v>54651.03</v>
      </c>
      <c r="G721" t="s">
        <v>36</v>
      </c>
      <c r="H721" t="s">
        <v>72</v>
      </c>
    </row>
    <row r="722" spans="1:8" x14ac:dyDescent="0.3">
      <c r="A722" t="s">
        <v>1051</v>
      </c>
      <c r="B722" t="s">
        <v>72</v>
      </c>
      <c r="C722">
        <v>2026</v>
      </c>
      <c r="D722" t="s">
        <v>20</v>
      </c>
      <c r="E722" t="s">
        <v>1</v>
      </c>
      <c r="F722">
        <v>10826.86892030848</v>
      </c>
      <c r="G722" t="s">
        <v>30</v>
      </c>
      <c r="H722" t="s">
        <v>72</v>
      </c>
    </row>
    <row r="723" spans="1:8" x14ac:dyDescent="0.3">
      <c r="A723" t="s">
        <v>1052</v>
      </c>
      <c r="B723" t="s">
        <v>72</v>
      </c>
      <c r="C723">
        <v>2026</v>
      </c>
      <c r="D723" t="s">
        <v>20</v>
      </c>
      <c r="E723" t="s">
        <v>1</v>
      </c>
      <c r="F723">
        <v>778</v>
      </c>
      <c r="G723" t="s">
        <v>54</v>
      </c>
      <c r="H723" t="s">
        <v>72</v>
      </c>
    </row>
    <row r="724" spans="1:8" x14ac:dyDescent="0.3">
      <c r="A724" t="s">
        <v>1053</v>
      </c>
      <c r="B724" t="s">
        <v>72</v>
      </c>
      <c r="C724">
        <v>2026</v>
      </c>
      <c r="D724" t="s">
        <v>20</v>
      </c>
      <c r="E724" t="s">
        <v>1</v>
      </c>
      <c r="F724">
        <v>8423304.0199999996</v>
      </c>
      <c r="G724" t="s">
        <v>36</v>
      </c>
      <c r="H724" t="s">
        <v>72</v>
      </c>
    </row>
    <row r="725" spans="1:8" x14ac:dyDescent="0.3">
      <c r="A725" t="s">
        <v>1054</v>
      </c>
      <c r="B725" t="s">
        <v>72</v>
      </c>
      <c r="C725">
        <v>2026</v>
      </c>
      <c r="D725" t="s">
        <v>20</v>
      </c>
      <c r="E725" t="s">
        <v>4</v>
      </c>
      <c r="F725">
        <v>10510.699873417723</v>
      </c>
      <c r="G725" t="s">
        <v>30</v>
      </c>
      <c r="H725" t="s">
        <v>72</v>
      </c>
    </row>
    <row r="726" spans="1:8" x14ac:dyDescent="0.3">
      <c r="A726" t="s">
        <v>1055</v>
      </c>
      <c r="B726" t="s">
        <v>72</v>
      </c>
      <c r="C726">
        <v>2026</v>
      </c>
      <c r="D726" t="s">
        <v>20</v>
      </c>
      <c r="E726" t="s">
        <v>4</v>
      </c>
      <c r="F726">
        <v>1106</v>
      </c>
      <c r="G726" t="s">
        <v>54</v>
      </c>
      <c r="H726" t="s">
        <v>72</v>
      </c>
    </row>
    <row r="727" spans="1:8" x14ac:dyDescent="0.3">
      <c r="A727" t="s">
        <v>1056</v>
      </c>
      <c r="B727" t="s">
        <v>72</v>
      </c>
      <c r="C727">
        <v>2026</v>
      </c>
      <c r="D727" t="s">
        <v>20</v>
      </c>
      <c r="E727" t="s">
        <v>4</v>
      </c>
      <c r="F727">
        <v>11624834.060000002</v>
      </c>
      <c r="G727" t="s">
        <v>36</v>
      </c>
      <c r="H727" t="s">
        <v>72</v>
      </c>
    </row>
    <row r="728" spans="1:8" x14ac:dyDescent="0.3">
      <c r="A728" t="s">
        <v>1057</v>
      </c>
      <c r="B728" t="s">
        <v>72</v>
      </c>
      <c r="C728">
        <v>2026</v>
      </c>
      <c r="D728" t="s">
        <v>20</v>
      </c>
      <c r="E728" t="s">
        <v>38</v>
      </c>
      <c r="F728">
        <v>10151.222612903241</v>
      </c>
      <c r="G728" t="s">
        <v>30</v>
      </c>
      <c r="H728" t="s">
        <v>72</v>
      </c>
    </row>
    <row r="729" spans="1:8" x14ac:dyDescent="0.3">
      <c r="A729" t="s">
        <v>1058</v>
      </c>
      <c r="B729" t="s">
        <v>72</v>
      </c>
      <c r="C729">
        <v>2026</v>
      </c>
      <c r="D729" t="s">
        <v>20</v>
      </c>
      <c r="E729" t="s">
        <v>38</v>
      </c>
      <c r="F729">
        <v>310</v>
      </c>
      <c r="G729" t="s">
        <v>54</v>
      </c>
      <c r="H729" t="s">
        <v>72</v>
      </c>
    </row>
    <row r="730" spans="1:8" x14ac:dyDescent="0.3">
      <c r="A730" t="s">
        <v>1059</v>
      </c>
      <c r="B730" t="s">
        <v>72</v>
      </c>
      <c r="C730">
        <v>2026</v>
      </c>
      <c r="D730" t="s">
        <v>20</v>
      </c>
      <c r="E730" t="s">
        <v>38</v>
      </c>
      <c r="F730">
        <v>3146879.0100000044</v>
      </c>
      <c r="G730" t="s">
        <v>36</v>
      </c>
      <c r="H730" t="s">
        <v>72</v>
      </c>
    </row>
    <row r="731" spans="1:8" x14ac:dyDescent="0.3">
      <c r="A731" t="s">
        <v>1063</v>
      </c>
      <c r="B731" t="s">
        <v>73</v>
      </c>
      <c r="C731">
        <v>2026</v>
      </c>
      <c r="D731" t="s">
        <v>9</v>
      </c>
      <c r="E731" t="s">
        <v>63</v>
      </c>
      <c r="F731">
        <v>19628.33142857143</v>
      </c>
      <c r="G731" t="s">
        <v>30</v>
      </c>
      <c r="H731" t="s">
        <v>73</v>
      </c>
    </row>
    <row r="732" spans="1:8" x14ac:dyDescent="0.3">
      <c r="A732" t="s">
        <v>1064</v>
      </c>
      <c r="B732" t="s">
        <v>73</v>
      </c>
      <c r="C732">
        <v>2026</v>
      </c>
      <c r="D732" t="s">
        <v>9</v>
      </c>
      <c r="E732" t="s">
        <v>63</v>
      </c>
      <c r="F732">
        <v>7</v>
      </c>
      <c r="G732" t="s">
        <v>54</v>
      </c>
      <c r="H732" t="s">
        <v>73</v>
      </c>
    </row>
    <row r="733" spans="1:8" x14ac:dyDescent="0.3">
      <c r="A733" t="s">
        <v>1065</v>
      </c>
      <c r="B733" t="s">
        <v>73</v>
      </c>
      <c r="C733">
        <v>2026</v>
      </c>
      <c r="D733" t="s">
        <v>9</v>
      </c>
      <c r="E733" t="s">
        <v>63</v>
      </c>
      <c r="F733">
        <v>137398.32</v>
      </c>
      <c r="G733" t="s">
        <v>36</v>
      </c>
      <c r="H733" t="s">
        <v>73</v>
      </c>
    </row>
    <row r="734" spans="1:8" x14ac:dyDescent="0.3">
      <c r="A734" t="s">
        <v>1066</v>
      </c>
      <c r="B734" t="s">
        <v>73</v>
      </c>
      <c r="C734">
        <v>2026</v>
      </c>
      <c r="D734" t="s">
        <v>9</v>
      </c>
      <c r="E734" t="s">
        <v>3</v>
      </c>
      <c r="F734">
        <v>12685.915294117649</v>
      </c>
      <c r="G734" t="s">
        <v>30</v>
      </c>
      <c r="H734" t="s">
        <v>73</v>
      </c>
    </row>
    <row r="735" spans="1:8" x14ac:dyDescent="0.3">
      <c r="A735" t="s">
        <v>1067</v>
      </c>
      <c r="B735" t="s">
        <v>73</v>
      </c>
      <c r="C735">
        <v>2026</v>
      </c>
      <c r="D735" t="s">
        <v>9</v>
      </c>
      <c r="E735" t="s">
        <v>3</v>
      </c>
      <c r="F735">
        <v>51</v>
      </c>
      <c r="G735" t="s">
        <v>54</v>
      </c>
      <c r="H735" t="s">
        <v>73</v>
      </c>
    </row>
    <row r="736" spans="1:8" x14ac:dyDescent="0.3">
      <c r="A736" t="s">
        <v>1068</v>
      </c>
      <c r="B736" t="s">
        <v>73</v>
      </c>
      <c r="C736">
        <v>2026</v>
      </c>
      <c r="D736" t="s">
        <v>9</v>
      </c>
      <c r="E736" t="s">
        <v>3</v>
      </c>
      <c r="F736">
        <v>646981.67999999993</v>
      </c>
      <c r="G736" t="s">
        <v>36</v>
      </c>
      <c r="H736" t="s">
        <v>73</v>
      </c>
    </row>
    <row r="737" spans="1:8" x14ac:dyDescent="0.3">
      <c r="A737" t="s">
        <v>1069</v>
      </c>
      <c r="B737" t="s">
        <v>73</v>
      </c>
      <c r="C737">
        <v>2026</v>
      </c>
      <c r="D737" t="s">
        <v>9</v>
      </c>
      <c r="E737" t="s">
        <v>2</v>
      </c>
      <c r="F737">
        <v>8307.0552403846195</v>
      </c>
      <c r="G737" t="s">
        <v>30</v>
      </c>
      <c r="H737" t="s">
        <v>73</v>
      </c>
    </row>
    <row r="738" spans="1:8" x14ac:dyDescent="0.3">
      <c r="A738" t="s">
        <v>1070</v>
      </c>
      <c r="B738" t="s">
        <v>73</v>
      </c>
      <c r="C738">
        <v>2026</v>
      </c>
      <c r="D738" t="s">
        <v>9</v>
      </c>
      <c r="E738" t="s">
        <v>2</v>
      </c>
      <c r="F738">
        <v>208</v>
      </c>
      <c r="G738" t="s">
        <v>54</v>
      </c>
      <c r="H738" t="s">
        <v>73</v>
      </c>
    </row>
    <row r="739" spans="1:8" x14ac:dyDescent="0.3">
      <c r="A739" t="s">
        <v>1071</v>
      </c>
      <c r="B739" t="s">
        <v>73</v>
      </c>
      <c r="C739">
        <v>2026</v>
      </c>
      <c r="D739" t="s">
        <v>9</v>
      </c>
      <c r="E739" t="s">
        <v>2</v>
      </c>
      <c r="F739">
        <v>1727867.4900000002</v>
      </c>
      <c r="G739" t="s">
        <v>36</v>
      </c>
      <c r="H739" t="s">
        <v>73</v>
      </c>
    </row>
    <row r="740" spans="1:8" x14ac:dyDescent="0.3">
      <c r="A740" t="s">
        <v>1072</v>
      </c>
      <c r="B740" t="s">
        <v>73</v>
      </c>
      <c r="C740">
        <v>2026</v>
      </c>
      <c r="D740" t="s">
        <v>9</v>
      </c>
      <c r="E740" t="s">
        <v>1</v>
      </c>
      <c r="F740">
        <v>12453.38621468927</v>
      </c>
      <c r="G740" t="s">
        <v>30</v>
      </c>
      <c r="H740" t="s">
        <v>73</v>
      </c>
    </row>
    <row r="741" spans="1:8" x14ac:dyDescent="0.3">
      <c r="A741" t="s">
        <v>1073</v>
      </c>
      <c r="B741" t="s">
        <v>73</v>
      </c>
      <c r="C741">
        <v>2026</v>
      </c>
      <c r="D741" t="s">
        <v>9</v>
      </c>
      <c r="E741" t="s">
        <v>1</v>
      </c>
      <c r="F741">
        <v>1062</v>
      </c>
      <c r="G741" t="s">
        <v>54</v>
      </c>
      <c r="H741" t="s">
        <v>73</v>
      </c>
    </row>
    <row r="742" spans="1:8" x14ac:dyDescent="0.3">
      <c r="A742" t="s">
        <v>1074</v>
      </c>
      <c r="B742" t="s">
        <v>73</v>
      </c>
      <c r="C742">
        <v>2026</v>
      </c>
      <c r="D742" t="s">
        <v>9</v>
      </c>
      <c r="E742" t="s">
        <v>1</v>
      </c>
      <c r="F742">
        <v>13225496.160000002</v>
      </c>
      <c r="G742" t="s">
        <v>36</v>
      </c>
      <c r="H742" t="s">
        <v>73</v>
      </c>
    </row>
    <row r="743" spans="1:8" x14ac:dyDescent="0.3">
      <c r="A743" t="s">
        <v>1075</v>
      </c>
      <c r="B743" t="s">
        <v>73</v>
      </c>
      <c r="C743">
        <v>2026</v>
      </c>
      <c r="D743" t="s">
        <v>9</v>
      </c>
      <c r="E743" t="s">
        <v>4</v>
      </c>
      <c r="F743">
        <v>11706.94399785062</v>
      </c>
      <c r="G743" t="s">
        <v>30</v>
      </c>
      <c r="H743" t="s">
        <v>73</v>
      </c>
    </row>
    <row r="744" spans="1:8" x14ac:dyDescent="0.3">
      <c r="A744" t="s">
        <v>1076</v>
      </c>
      <c r="B744" t="s">
        <v>73</v>
      </c>
      <c r="C744">
        <v>2026</v>
      </c>
      <c r="D744" t="s">
        <v>9</v>
      </c>
      <c r="E744" t="s">
        <v>4</v>
      </c>
      <c r="F744">
        <v>1861</v>
      </c>
      <c r="G744" t="s">
        <v>54</v>
      </c>
      <c r="H744" t="s">
        <v>73</v>
      </c>
    </row>
    <row r="745" spans="1:8" x14ac:dyDescent="0.3">
      <c r="A745" t="s">
        <v>1077</v>
      </c>
      <c r="B745" t="s">
        <v>73</v>
      </c>
      <c r="C745">
        <v>2026</v>
      </c>
      <c r="D745" t="s">
        <v>9</v>
      </c>
      <c r="E745" t="s">
        <v>4</v>
      </c>
      <c r="F745">
        <v>21786622.780000005</v>
      </c>
      <c r="G745" t="s">
        <v>36</v>
      </c>
      <c r="H745" t="s">
        <v>73</v>
      </c>
    </row>
    <row r="746" spans="1:8" x14ac:dyDescent="0.3">
      <c r="A746" t="s">
        <v>1078</v>
      </c>
      <c r="B746" t="s">
        <v>73</v>
      </c>
      <c r="C746">
        <v>2026</v>
      </c>
      <c r="D746" t="s">
        <v>9</v>
      </c>
      <c r="E746" t="s">
        <v>38</v>
      </c>
      <c r="F746">
        <v>11348.741332082556</v>
      </c>
      <c r="G746" t="s">
        <v>30</v>
      </c>
      <c r="H746" t="s">
        <v>73</v>
      </c>
    </row>
    <row r="747" spans="1:8" x14ac:dyDescent="0.3">
      <c r="A747" t="s">
        <v>1079</v>
      </c>
      <c r="B747" t="s">
        <v>73</v>
      </c>
      <c r="C747">
        <v>2026</v>
      </c>
      <c r="D747" t="s">
        <v>9</v>
      </c>
      <c r="E747" t="s">
        <v>38</v>
      </c>
      <c r="F747">
        <v>533</v>
      </c>
      <c r="G747" t="s">
        <v>54</v>
      </c>
      <c r="H747" t="s">
        <v>73</v>
      </c>
    </row>
    <row r="748" spans="1:8" x14ac:dyDescent="0.3">
      <c r="A748" t="s">
        <v>1080</v>
      </c>
      <c r="B748" t="s">
        <v>73</v>
      </c>
      <c r="C748">
        <v>2026</v>
      </c>
      <c r="D748" t="s">
        <v>9</v>
      </c>
      <c r="E748" t="s">
        <v>38</v>
      </c>
      <c r="F748">
        <v>6048879.1300000036</v>
      </c>
      <c r="G748" t="s">
        <v>36</v>
      </c>
      <c r="H748" t="s">
        <v>73</v>
      </c>
    </row>
    <row r="749" spans="1:8" x14ac:dyDescent="0.3">
      <c r="A749" t="s">
        <v>1081</v>
      </c>
      <c r="B749" t="s">
        <v>74</v>
      </c>
      <c r="C749">
        <v>2026</v>
      </c>
      <c r="D749" t="s">
        <v>13</v>
      </c>
      <c r="E749" t="s">
        <v>53</v>
      </c>
      <c r="F749">
        <v>11845.062881355929</v>
      </c>
      <c r="G749" t="s">
        <v>30</v>
      </c>
      <c r="H749" t="s">
        <v>74</v>
      </c>
    </row>
    <row r="750" spans="1:8" x14ac:dyDescent="0.3">
      <c r="A750" t="s">
        <v>1082</v>
      </c>
      <c r="B750" t="s">
        <v>74</v>
      </c>
      <c r="C750">
        <v>2026</v>
      </c>
      <c r="D750" t="s">
        <v>13</v>
      </c>
      <c r="E750" t="s">
        <v>53</v>
      </c>
      <c r="F750">
        <v>59</v>
      </c>
      <c r="G750" t="s">
        <v>54</v>
      </c>
      <c r="H750" t="s">
        <v>74</v>
      </c>
    </row>
    <row r="751" spans="1:8" x14ac:dyDescent="0.3">
      <c r="A751" t="s">
        <v>1083</v>
      </c>
      <c r="B751" t="s">
        <v>74</v>
      </c>
      <c r="C751">
        <v>2026</v>
      </c>
      <c r="D751" t="s">
        <v>13</v>
      </c>
      <c r="E751" t="s">
        <v>53</v>
      </c>
      <c r="F751">
        <v>698858.70999999973</v>
      </c>
      <c r="G751" t="s">
        <v>36</v>
      </c>
      <c r="H751" t="s">
        <v>74</v>
      </c>
    </row>
    <row r="752" spans="1:8" x14ac:dyDescent="0.3">
      <c r="A752" t="s">
        <v>1084</v>
      </c>
      <c r="B752" t="s">
        <v>74</v>
      </c>
      <c r="C752">
        <v>2026</v>
      </c>
      <c r="D752" t="s">
        <v>13</v>
      </c>
      <c r="E752" t="s">
        <v>63</v>
      </c>
      <c r="F752">
        <v>18353.894</v>
      </c>
      <c r="G752" t="s">
        <v>30</v>
      </c>
      <c r="H752" t="s">
        <v>74</v>
      </c>
    </row>
    <row r="753" spans="1:8" x14ac:dyDescent="0.3">
      <c r="A753" t="s">
        <v>1085</v>
      </c>
      <c r="B753" t="s">
        <v>74</v>
      </c>
      <c r="C753">
        <v>2026</v>
      </c>
      <c r="D753" t="s">
        <v>13</v>
      </c>
      <c r="E753" t="s">
        <v>63</v>
      </c>
      <c r="F753">
        <v>5</v>
      </c>
      <c r="G753" t="s">
        <v>54</v>
      </c>
      <c r="H753" t="s">
        <v>74</v>
      </c>
    </row>
    <row r="754" spans="1:8" x14ac:dyDescent="0.3">
      <c r="A754" t="s">
        <v>1086</v>
      </c>
      <c r="B754" t="s">
        <v>74</v>
      </c>
      <c r="C754">
        <v>2026</v>
      </c>
      <c r="D754" t="s">
        <v>13</v>
      </c>
      <c r="E754" t="s">
        <v>63</v>
      </c>
      <c r="F754">
        <v>91769.47</v>
      </c>
      <c r="G754" t="s">
        <v>36</v>
      </c>
      <c r="H754" t="s">
        <v>74</v>
      </c>
    </row>
    <row r="755" spans="1:8" x14ac:dyDescent="0.3">
      <c r="A755" t="s">
        <v>1087</v>
      </c>
      <c r="B755" t="s">
        <v>74</v>
      </c>
      <c r="C755">
        <v>2026</v>
      </c>
      <c r="D755" t="s">
        <v>13</v>
      </c>
      <c r="E755" t="s">
        <v>3</v>
      </c>
      <c r="F755">
        <v>11833.172592592591</v>
      </c>
      <c r="G755" t="s">
        <v>30</v>
      </c>
      <c r="H755" t="s">
        <v>74</v>
      </c>
    </row>
    <row r="756" spans="1:8" x14ac:dyDescent="0.3">
      <c r="A756" t="s">
        <v>1088</v>
      </c>
      <c r="B756" t="s">
        <v>74</v>
      </c>
      <c r="C756">
        <v>2026</v>
      </c>
      <c r="D756" t="s">
        <v>13</v>
      </c>
      <c r="E756" t="s">
        <v>3</v>
      </c>
      <c r="F756">
        <v>27</v>
      </c>
      <c r="G756" t="s">
        <v>54</v>
      </c>
      <c r="H756" t="s">
        <v>74</v>
      </c>
    </row>
    <row r="757" spans="1:8" x14ac:dyDescent="0.3">
      <c r="A757" t="s">
        <v>1089</v>
      </c>
      <c r="B757" t="s">
        <v>74</v>
      </c>
      <c r="C757">
        <v>2026</v>
      </c>
      <c r="D757" t="s">
        <v>13</v>
      </c>
      <c r="E757" t="s">
        <v>3</v>
      </c>
      <c r="F757">
        <v>319495.65999999997</v>
      </c>
      <c r="G757" t="s">
        <v>36</v>
      </c>
      <c r="H757" t="s">
        <v>74</v>
      </c>
    </row>
    <row r="758" spans="1:8" x14ac:dyDescent="0.3">
      <c r="A758" t="s">
        <v>1090</v>
      </c>
      <c r="B758" t="s">
        <v>74</v>
      </c>
      <c r="C758">
        <v>2026</v>
      </c>
      <c r="D758" t="s">
        <v>13</v>
      </c>
      <c r="E758" t="s">
        <v>2</v>
      </c>
      <c r="F758">
        <v>10105.255630252106</v>
      </c>
      <c r="G758" t="s">
        <v>30</v>
      </c>
      <c r="H758" t="s">
        <v>74</v>
      </c>
    </row>
    <row r="759" spans="1:8" x14ac:dyDescent="0.3">
      <c r="A759" t="s">
        <v>1091</v>
      </c>
      <c r="B759" t="s">
        <v>74</v>
      </c>
      <c r="C759">
        <v>2026</v>
      </c>
      <c r="D759" t="s">
        <v>13</v>
      </c>
      <c r="E759" t="s">
        <v>2</v>
      </c>
      <c r="F759">
        <v>119</v>
      </c>
      <c r="G759" t="s">
        <v>54</v>
      </c>
      <c r="H759" t="s">
        <v>74</v>
      </c>
    </row>
    <row r="760" spans="1:8" x14ac:dyDescent="0.3">
      <c r="A760" t="s">
        <v>1092</v>
      </c>
      <c r="B760" t="s">
        <v>74</v>
      </c>
      <c r="C760">
        <v>2026</v>
      </c>
      <c r="D760" t="s">
        <v>13</v>
      </c>
      <c r="E760" t="s">
        <v>2</v>
      </c>
      <c r="F760">
        <v>1202525.4200000004</v>
      </c>
      <c r="G760" t="s">
        <v>36</v>
      </c>
      <c r="H760" t="s">
        <v>74</v>
      </c>
    </row>
    <row r="761" spans="1:8" x14ac:dyDescent="0.3">
      <c r="A761" t="s">
        <v>1093</v>
      </c>
      <c r="B761" t="s">
        <v>74</v>
      </c>
      <c r="C761">
        <v>2026</v>
      </c>
      <c r="D761" t="s">
        <v>13</v>
      </c>
      <c r="E761" t="s">
        <v>1</v>
      </c>
      <c r="F761">
        <v>11826.273674832968</v>
      </c>
      <c r="G761" t="s">
        <v>30</v>
      </c>
      <c r="H761" t="s">
        <v>74</v>
      </c>
    </row>
    <row r="762" spans="1:8" x14ac:dyDescent="0.3">
      <c r="A762" t="s">
        <v>1094</v>
      </c>
      <c r="B762" t="s">
        <v>74</v>
      </c>
      <c r="C762">
        <v>2026</v>
      </c>
      <c r="D762" t="s">
        <v>13</v>
      </c>
      <c r="E762" t="s">
        <v>1</v>
      </c>
      <c r="F762">
        <v>449</v>
      </c>
      <c r="G762" t="s">
        <v>54</v>
      </c>
      <c r="H762" t="s">
        <v>74</v>
      </c>
    </row>
    <row r="763" spans="1:8" x14ac:dyDescent="0.3">
      <c r="A763" t="s">
        <v>1095</v>
      </c>
      <c r="B763" t="s">
        <v>74</v>
      </c>
      <c r="C763">
        <v>2026</v>
      </c>
      <c r="D763" t="s">
        <v>13</v>
      </c>
      <c r="E763" t="s">
        <v>1</v>
      </c>
      <c r="F763">
        <v>5309996.8800000027</v>
      </c>
      <c r="G763" t="s">
        <v>36</v>
      </c>
      <c r="H763" t="s">
        <v>74</v>
      </c>
    </row>
    <row r="764" spans="1:8" x14ac:dyDescent="0.3">
      <c r="A764" t="s">
        <v>1096</v>
      </c>
      <c r="B764" t="s">
        <v>74</v>
      </c>
      <c r="C764">
        <v>2026</v>
      </c>
      <c r="D764" t="s">
        <v>13</v>
      </c>
      <c r="E764" t="s">
        <v>4</v>
      </c>
      <c r="F764">
        <v>11449.178877637132</v>
      </c>
      <c r="G764" t="s">
        <v>30</v>
      </c>
      <c r="H764" t="s">
        <v>74</v>
      </c>
    </row>
    <row r="765" spans="1:8" x14ac:dyDescent="0.3">
      <c r="A765" t="s">
        <v>1097</v>
      </c>
      <c r="B765" t="s">
        <v>74</v>
      </c>
      <c r="C765">
        <v>2026</v>
      </c>
      <c r="D765" t="s">
        <v>13</v>
      </c>
      <c r="E765" t="s">
        <v>4</v>
      </c>
      <c r="F765">
        <v>1185</v>
      </c>
      <c r="G765" t="s">
        <v>54</v>
      </c>
      <c r="H765" t="s">
        <v>74</v>
      </c>
    </row>
    <row r="766" spans="1:8" x14ac:dyDescent="0.3">
      <c r="A766" t="s">
        <v>1098</v>
      </c>
      <c r="B766" t="s">
        <v>74</v>
      </c>
      <c r="C766">
        <v>2026</v>
      </c>
      <c r="D766" t="s">
        <v>13</v>
      </c>
      <c r="E766" t="s">
        <v>4</v>
      </c>
      <c r="F766">
        <v>13567276.970000003</v>
      </c>
      <c r="G766" t="s">
        <v>36</v>
      </c>
      <c r="H766" t="s">
        <v>74</v>
      </c>
    </row>
    <row r="767" spans="1:8" x14ac:dyDescent="0.3">
      <c r="A767" t="s">
        <v>1099</v>
      </c>
      <c r="B767" t="s">
        <v>74</v>
      </c>
      <c r="C767">
        <v>2026</v>
      </c>
      <c r="D767" t="s">
        <v>13</v>
      </c>
      <c r="E767" t="s">
        <v>38</v>
      </c>
      <c r="F767">
        <v>11301.579524714833</v>
      </c>
      <c r="G767" t="s">
        <v>30</v>
      </c>
      <c r="H767" t="s">
        <v>74</v>
      </c>
    </row>
    <row r="768" spans="1:8" x14ac:dyDescent="0.3">
      <c r="A768" t="s">
        <v>1100</v>
      </c>
      <c r="B768" t="s">
        <v>74</v>
      </c>
      <c r="C768">
        <v>2026</v>
      </c>
      <c r="D768" t="s">
        <v>13</v>
      </c>
      <c r="E768" t="s">
        <v>38</v>
      </c>
      <c r="F768">
        <v>526</v>
      </c>
      <c r="G768" t="s">
        <v>54</v>
      </c>
      <c r="H768" t="s">
        <v>74</v>
      </c>
    </row>
    <row r="769" spans="1:8" x14ac:dyDescent="0.3">
      <c r="A769" t="s">
        <v>1101</v>
      </c>
      <c r="B769" t="s">
        <v>74</v>
      </c>
      <c r="C769">
        <v>2026</v>
      </c>
      <c r="D769" t="s">
        <v>13</v>
      </c>
      <c r="E769" t="s">
        <v>38</v>
      </c>
      <c r="F769">
        <v>5944630.8300000001</v>
      </c>
      <c r="G769" t="s">
        <v>36</v>
      </c>
      <c r="H769" t="s">
        <v>74</v>
      </c>
    </row>
    <row r="770" spans="1:8" x14ac:dyDescent="0.3">
      <c r="A770" t="s">
        <v>1105</v>
      </c>
      <c r="B770" t="s">
        <v>75</v>
      </c>
      <c r="C770">
        <v>2026</v>
      </c>
      <c r="D770" t="s">
        <v>21</v>
      </c>
      <c r="E770" t="s">
        <v>63</v>
      </c>
      <c r="F770">
        <v>9908.8499999999985</v>
      </c>
      <c r="G770" t="s">
        <v>30</v>
      </c>
      <c r="H770" t="s">
        <v>75</v>
      </c>
    </row>
    <row r="771" spans="1:8" x14ac:dyDescent="0.3">
      <c r="A771" t="s">
        <v>1106</v>
      </c>
      <c r="B771" t="s">
        <v>75</v>
      </c>
      <c r="C771">
        <v>2026</v>
      </c>
      <c r="D771" t="s">
        <v>21</v>
      </c>
      <c r="E771" t="s">
        <v>63</v>
      </c>
      <c r="F771">
        <v>2</v>
      </c>
      <c r="G771" t="s">
        <v>54</v>
      </c>
      <c r="H771" t="s">
        <v>75</v>
      </c>
    </row>
    <row r="772" spans="1:8" x14ac:dyDescent="0.3">
      <c r="A772" t="s">
        <v>1107</v>
      </c>
      <c r="B772" t="s">
        <v>75</v>
      </c>
      <c r="C772">
        <v>2026</v>
      </c>
      <c r="D772" t="s">
        <v>21</v>
      </c>
      <c r="E772" t="s">
        <v>63</v>
      </c>
      <c r="F772">
        <v>19817.699999999997</v>
      </c>
      <c r="G772" t="s">
        <v>36</v>
      </c>
      <c r="H772" t="s">
        <v>75</v>
      </c>
    </row>
    <row r="773" spans="1:8" x14ac:dyDescent="0.3">
      <c r="A773" t="s">
        <v>1108</v>
      </c>
      <c r="B773" t="s">
        <v>75</v>
      </c>
      <c r="C773">
        <v>2026</v>
      </c>
      <c r="D773" t="s">
        <v>21</v>
      </c>
      <c r="E773" t="s">
        <v>3</v>
      </c>
      <c r="F773">
        <v>16986.108571428569</v>
      </c>
      <c r="G773" t="s">
        <v>30</v>
      </c>
      <c r="H773" t="s">
        <v>75</v>
      </c>
    </row>
    <row r="774" spans="1:8" x14ac:dyDescent="0.3">
      <c r="A774" t="s">
        <v>1109</v>
      </c>
      <c r="B774" t="s">
        <v>75</v>
      </c>
      <c r="C774">
        <v>2026</v>
      </c>
      <c r="D774" t="s">
        <v>21</v>
      </c>
      <c r="E774" t="s">
        <v>3</v>
      </c>
      <c r="F774">
        <v>7</v>
      </c>
      <c r="G774" t="s">
        <v>54</v>
      </c>
      <c r="H774" t="s">
        <v>75</v>
      </c>
    </row>
    <row r="775" spans="1:8" x14ac:dyDescent="0.3">
      <c r="A775" t="s">
        <v>1110</v>
      </c>
      <c r="B775" t="s">
        <v>75</v>
      </c>
      <c r="C775">
        <v>2026</v>
      </c>
      <c r="D775" t="s">
        <v>21</v>
      </c>
      <c r="E775" t="s">
        <v>3</v>
      </c>
      <c r="F775">
        <v>118902.76</v>
      </c>
      <c r="G775" t="s">
        <v>36</v>
      </c>
      <c r="H775" t="s">
        <v>75</v>
      </c>
    </row>
    <row r="776" spans="1:8" x14ac:dyDescent="0.3">
      <c r="A776" t="s">
        <v>1111</v>
      </c>
      <c r="B776" t="s">
        <v>75</v>
      </c>
      <c r="C776">
        <v>2026</v>
      </c>
      <c r="D776" t="s">
        <v>21</v>
      </c>
      <c r="E776" t="s">
        <v>2</v>
      </c>
      <c r="F776">
        <v>9699.0251562499998</v>
      </c>
      <c r="G776" t="s">
        <v>30</v>
      </c>
      <c r="H776" t="s">
        <v>75</v>
      </c>
    </row>
    <row r="777" spans="1:8" x14ac:dyDescent="0.3">
      <c r="A777" t="s">
        <v>1112</v>
      </c>
      <c r="B777" t="s">
        <v>75</v>
      </c>
      <c r="C777">
        <v>2026</v>
      </c>
      <c r="D777" t="s">
        <v>21</v>
      </c>
      <c r="E777" t="s">
        <v>2</v>
      </c>
      <c r="F777">
        <v>128</v>
      </c>
      <c r="G777" t="s">
        <v>54</v>
      </c>
      <c r="H777" t="s">
        <v>75</v>
      </c>
    </row>
    <row r="778" spans="1:8" x14ac:dyDescent="0.3">
      <c r="A778" t="s">
        <v>1113</v>
      </c>
      <c r="B778" t="s">
        <v>75</v>
      </c>
      <c r="C778">
        <v>2026</v>
      </c>
      <c r="D778" t="s">
        <v>21</v>
      </c>
      <c r="E778" t="s">
        <v>2</v>
      </c>
      <c r="F778">
        <v>1241475.22</v>
      </c>
      <c r="G778" t="s">
        <v>36</v>
      </c>
      <c r="H778" t="s">
        <v>75</v>
      </c>
    </row>
    <row r="779" spans="1:8" x14ac:dyDescent="0.3">
      <c r="A779" t="s">
        <v>1114</v>
      </c>
      <c r="B779" t="s">
        <v>75</v>
      </c>
      <c r="C779">
        <v>2026</v>
      </c>
      <c r="D779" t="s">
        <v>21</v>
      </c>
      <c r="E779" t="s">
        <v>1</v>
      </c>
      <c r="F779">
        <v>13371.12765562913</v>
      </c>
      <c r="G779" t="s">
        <v>30</v>
      </c>
      <c r="H779" t="s">
        <v>75</v>
      </c>
    </row>
    <row r="780" spans="1:8" x14ac:dyDescent="0.3">
      <c r="A780" t="s">
        <v>1115</v>
      </c>
      <c r="B780" t="s">
        <v>75</v>
      </c>
      <c r="C780">
        <v>2026</v>
      </c>
      <c r="D780" t="s">
        <v>21</v>
      </c>
      <c r="E780" t="s">
        <v>1</v>
      </c>
      <c r="F780">
        <v>755</v>
      </c>
      <c r="G780" t="s">
        <v>54</v>
      </c>
      <c r="H780" t="s">
        <v>75</v>
      </c>
    </row>
    <row r="781" spans="1:8" x14ac:dyDescent="0.3">
      <c r="A781" t="s">
        <v>1116</v>
      </c>
      <c r="B781" t="s">
        <v>75</v>
      </c>
      <c r="C781">
        <v>2026</v>
      </c>
      <c r="D781" t="s">
        <v>21</v>
      </c>
      <c r="E781" t="s">
        <v>1</v>
      </c>
      <c r="F781">
        <v>10095201.379999992</v>
      </c>
      <c r="G781" t="s">
        <v>36</v>
      </c>
      <c r="H781" t="s">
        <v>75</v>
      </c>
    </row>
    <row r="782" spans="1:8" x14ac:dyDescent="0.3">
      <c r="A782" t="s">
        <v>1117</v>
      </c>
      <c r="B782" t="s">
        <v>75</v>
      </c>
      <c r="C782">
        <v>2026</v>
      </c>
      <c r="D782" t="s">
        <v>21</v>
      </c>
      <c r="E782" t="s">
        <v>4</v>
      </c>
      <c r="F782">
        <v>13115.248032212878</v>
      </c>
      <c r="G782" t="s">
        <v>30</v>
      </c>
      <c r="H782" t="s">
        <v>75</v>
      </c>
    </row>
    <row r="783" spans="1:8" x14ac:dyDescent="0.3">
      <c r="A783" t="s">
        <v>1118</v>
      </c>
      <c r="B783" t="s">
        <v>75</v>
      </c>
      <c r="C783">
        <v>2026</v>
      </c>
      <c r="D783" t="s">
        <v>21</v>
      </c>
      <c r="E783" t="s">
        <v>4</v>
      </c>
      <c r="F783">
        <v>1428</v>
      </c>
      <c r="G783" t="s">
        <v>54</v>
      </c>
      <c r="H783" t="s">
        <v>75</v>
      </c>
    </row>
    <row r="784" spans="1:8" x14ac:dyDescent="0.3">
      <c r="A784" t="s">
        <v>1119</v>
      </c>
      <c r="B784" t="s">
        <v>75</v>
      </c>
      <c r="C784">
        <v>2026</v>
      </c>
      <c r="D784" t="s">
        <v>21</v>
      </c>
      <c r="E784" t="s">
        <v>4</v>
      </c>
      <c r="F784">
        <v>18728574.18999999</v>
      </c>
      <c r="G784" t="s">
        <v>36</v>
      </c>
      <c r="H784" t="s">
        <v>75</v>
      </c>
    </row>
    <row r="785" spans="1:8" x14ac:dyDescent="0.3">
      <c r="A785" t="s">
        <v>1120</v>
      </c>
      <c r="B785" t="s">
        <v>75</v>
      </c>
      <c r="C785">
        <v>2026</v>
      </c>
      <c r="D785" t="s">
        <v>21</v>
      </c>
      <c r="E785" t="s">
        <v>38</v>
      </c>
      <c r="F785">
        <v>13532.046884328352</v>
      </c>
      <c r="G785" t="s">
        <v>30</v>
      </c>
      <c r="H785" t="s">
        <v>75</v>
      </c>
    </row>
    <row r="786" spans="1:8" x14ac:dyDescent="0.3">
      <c r="A786" t="s">
        <v>1121</v>
      </c>
      <c r="B786" t="s">
        <v>75</v>
      </c>
      <c r="C786">
        <v>2026</v>
      </c>
      <c r="D786" t="s">
        <v>21</v>
      </c>
      <c r="E786" t="s">
        <v>38</v>
      </c>
      <c r="F786">
        <v>536</v>
      </c>
      <c r="G786" t="s">
        <v>54</v>
      </c>
      <c r="H786" t="s">
        <v>75</v>
      </c>
    </row>
    <row r="787" spans="1:8" x14ac:dyDescent="0.3">
      <c r="A787" t="s">
        <v>1122</v>
      </c>
      <c r="B787" t="s">
        <v>75</v>
      </c>
      <c r="C787">
        <v>2026</v>
      </c>
      <c r="D787" t="s">
        <v>21</v>
      </c>
      <c r="E787" t="s">
        <v>38</v>
      </c>
      <c r="F787">
        <v>7253177.1299999971</v>
      </c>
      <c r="G787" t="s">
        <v>36</v>
      </c>
      <c r="H787" t="s">
        <v>75</v>
      </c>
    </row>
    <row r="788" spans="1:8" x14ac:dyDescent="0.3">
      <c r="A788" t="s">
        <v>1126</v>
      </c>
      <c r="B788" t="s">
        <v>76</v>
      </c>
      <c r="C788">
        <v>2026</v>
      </c>
      <c r="D788" t="s">
        <v>19</v>
      </c>
      <c r="E788" t="s">
        <v>63</v>
      </c>
      <c r="F788">
        <v>15867.255000000001</v>
      </c>
      <c r="G788" t="s">
        <v>30</v>
      </c>
      <c r="H788" t="s">
        <v>76</v>
      </c>
    </row>
    <row r="789" spans="1:8" x14ac:dyDescent="0.3">
      <c r="A789" t="s">
        <v>1127</v>
      </c>
      <c r="B789" t="s">
        <v>76</v>
      </c>
      <c r="C789">
        <v>2026</v>
      </c>
      <c r="D789" t="s">
        <v>19</v>
      </c>
      <c r="E789" t="s">
        <v>63</v>
      </c>
      <c r="F789">
        <v>2</v>
      </c>
      <c r="G789" t="s">
        <v>54</v>
      </c>
      <c r="H789" t="s">
        <v>76</v>
      </c>
    </row>
    <row r="790" spans="1:8" x14ac:dyDescent="0.3">
      <c r="A790" t="s">
        <v>1128</v>
      </c>
      <c r="B790" t="s">
        <v>76</v>
      </c>
      <c r="C790">
        <v>2026</v>
      </c>
      <c r="D790" t="s">
        <v>19</v>
      </c>
      <c r="E790" t="s">
        <v>63</v>
      </c>
      <c r="F790">
        <v>31734.510000000002</v>
      </c>
      <c r="G790" t="s">
        <v>36</v>
      </c>
      <c r="H790" t="s">
        <v>76</v>
      </c>
    </row>
    <row r="791" spans="1:8" x14ac:dyDescent="0.3">
      <c r="A791" t="s">
        <v>1129</v>
      </c>
      <c r="B791" t="s">
        <v>76</v>
      </c>
      <c r="C791">
        <v>2026</v>
      </c>
      <c r="D791" t="s">
        <v>19</v>
      </c>
      <c r="E791" t="s">
        <v>3</v>
      </c>
      <c r="F791">
        <v>15948.430312499997</v>
      </c>
      <c r="G791" t="s">
        <v>30</v>
      </c>
      <c r="H791" t="s">
        <v>76</v>
      </c>
    </row>
    <row r="792" spans="1:8" x14ac:dyDescent="0.3">
      <c r="A792" t="s">
        <v>1130</v>
      </c>
      <c r="B792" t="s">
        <v>76</v>
      </c>
      <c r="C792">
        <v>2026</v>
      </c>
      <c r="D792" t="s">
        <v>19</v>
      </c>
      <c r="E792" t="s">
        <v>3</v>
      </c>
      <c r="F792">
        <v>32</v>
      </c>
      <c r="G792" t="s">
        <v>54</v>
      </c>
      <c r="H792" t="s">
        <v>76</v>
      </c>
    </row>
    <row r="793" spans="1:8" x14ac:dyDescent="0.3">
      <c r="A793" t="s">
        <v>1131</v>
      </c>
      <c r="B793" t="s">
        <v>76</v>
      </c>
      <c r="C793">
        <v>2026</v>
      </c>
      <c r="D793" t="s">
        <v>19</v>
      </c>
      <c r="E793" t="s">
        <v>3</v>
      </c>
      <c r="F793">
        <v>510349.7699999999</v>
      </c>
      <c r="G793" t="s">
        <v>36</v>
      </c>
      <c r="H793" t="s">
        <v>76</v>
      </c>
    </row>
    <row r="794" spans="1:8" x14ac:dyDescent="0.3">
      <c r="A794" t="s">
        <v>1132</v>
      </c>
      <c r="B794" t="s">
        <v>76</v>
      </c>
      <c r="C794">
        <v>2026</v>
      </c>
      <c r="D794" t="s">
        <v>19</v>
      </c>
      <c r="E794" t="s">
        <v>2</v>
      </c>
      <c r="F794">
        <v>10387.240807453423</v>
      </c>
      <c r="G794" t="s">
        <v>30</v>
      </c>
      <c r="H794" t="s">
        <v>76</v>
      </c>
    </row>
    <row r="795" spans="1:8" x14ac:dyDescent="0.3">
      <c r="A795" t="s">
        <v>1133</v>
      </c>
      <c r="B795" t="s">
        <v>76</v>
      </c>
      <c r="C795">
        <v>2026</v>
      </c>
      <c r="D795" t="s">
        <v>19</v>
      </c>
      <c r="E795" t="s">
        <v>2</v>
      </c>
      <c r="F795">
        <v>161</v>
      </c>
      <c r="G795" t="s">
        <v>54</v>
      </c>
      <c r="H795" t="s">
        <v>76</v>
      </c>
    </row>
    <row r="796" spans="1:8" x14ac:dyDescent="0.3">
      <c r="A796" t="s">
        <v>1134</v>
      </c>
      <c r="B796" t="s">
        <v>76</v>
      </c>
      <c r="C796">
        <v>2026</v>
      </c>
      <c r="D796" t="s">
        <v>19</v>
      </c>
      <c r="E796" t="s">
        <v>2</v>
      </c>
      <c r="F796">
        <v>1672345.7700000012</v>
      </c>
      <c r="G796" t="s">
        <v>36</v>
      </c>
      <c r="H796" t="s">
        <v>76</v>
      </c>
    </row>
    <row r="797" spans="1:8" x14ac:dyDescent="0.3">
      <c r="A797" t="s">
        <v>1135</v>
      </c>
      <c r="B797" t="s">
        <v>76</v>
      </c>
      <c r="C797">
        <v>2026</v>
      </c>
      <c r="D797" t="s">
        <v>19</v>
      </c>
      <c r="E797" t="s">
        <v>1</v>
      </c>
      <c r="F797">
        <v>13206.077321063414</v>
      </c>
      <c r="G797" t="s">
        <v>30</v>
      </c>
      <c r="H797" t="s">
        <v>76</v>
      </c>
    </row>
    <row r="798" spans="1:8" x14ac:dyDescent="0.3">
      <c r="A798" t="s">
        <v>1136</v>
      </c>
      <c r="B798" t="s">
        <v>76</v>
      </c>
      <c r="C798">
        <v>2026</v>
      </c>
      <c r="D798" t="s">
        <v>19</v>
      </c>
      <c r="E798" t="s">
        <v>1</v>
      </c>
      <c r="F798">
        <v>1467</v>
      </c>
      <c r="G798" t="s">
        <v>54</v>
      </c>
      <c r="H798" t="s">
        <v>76</v>
      </c>
    </row>
    <row r="799" spans="1:8" x14ac:dyDescent="0.3">
      <c r="A799" t="s">
        <v>1137</v>
      </c>
      <c r="B799" t="s">
        <v>76</v>
      </c>
      <c r="C799">
        <v>2026</v>
      </c>
      <c r="D799" t="s">
        <v>19</v>
      </c>
      <c r="E799" t="s">
        <v>1</v>
      </c>
      <c r="F799">
        <v>19373315.430000007</v>
      </c>
      <c r="G799" t="s">
        <v>36</v>
      </c>
      <c r="H799" t="s">
        <v>76</v>
      </c>
    </row>
    <row r="800" spans="1:8" x14ac:dyDescent="0.3">
      <c r="A800" t="s">
        <v>1138</v>
      </c>
      <c r="B800" t="s">
        <v>76</v>
      </c>
      <c r="C800">
        <v>2026</v>
      </c>
      <c r="D800" t="s">
        <v>19</v>
      </c>
      <c r="E800" t="s">
        <v>4</v>
      </c>
      <c r="F800">
        <v>12218.800865108651</v>
      </c>
      <c r="G800" t="s">
        <v>30</v>
      </c>
      <c r="H800" t="s">
        <v>76</v>
      </c>
    </row>
    <row r="801" spans="1:8" x14ac:dyDescent="0.3">
      <c r="A801" t="s">
        <v>1139</v>
      </c>
      <c r="B801" t="s">
        <v>76</v>
      </c>
      <c r="C801">
        <v>2026</v>
      </c>
      <c r="D801" t="s">
        <v>19</v>
      </c>
      <c r="E801" t="s">
        <v>4</v>
      </c>
      <c r="F801">
        <v>2439</v>
      </c>
      <c r="G801" t="s">
        <v>54</v>
      </c>
      <c r="H801" t="s">
        <v>76</v>
      </c>
    </row>
    <row r="802" spans="1:8" x14ac:dyDescent="0.3">
      <c r="A802" t="s">
        <v>1140</v>
      </c>
      <c r="B802" t="s">
        <v>76</v>
      </c>
      <c r="C802">
        <v>2026</v>
      </c>
      <c r="D802" t="s">
        <v>19</v>
      </c>
      <c r="E802" t="s">
        <v>4</v>
      </c>
      <c r="F802">
        <v>29801655.309999999</v>
      </c>
      <c r="G802" t="s">
        <v>36</v>
      </c>
      <c r="H802" t="s">
        <v>76</v>
      </c>
    </row>
    <row r="803" spans="1:8" x14ac:dyDescent="0.3">
      <c r="A803" t="s">
        <v>1141</v>
      </c>
      <c r="B803" t="s">
        <v>76</v>
      </c>
      <c r="C803">
        <v>2026</v>
      </c>
      <c r="D803" t="s">
        <v>19</v>
      </c>
      <c r="E803" t="s">
        <v>38</v>
      </c>
      <c r="F803">
        <v>10571.31252252251</v>
      </c>
      <c r="G803" t="s">
        <v>30</v>
      </c>
      <c r="H803" t="s">
        <v>76</v>
      </c>
    </row>
    <row r="804" spans="1:8" x14ac:dyDescent="0.3">
      <c r="A804" t="s">
        <v>1142</v>
      </c>
      <c r="B804" t="s">
        <v>76</v>
      </c>
      <c r="C804">
        <v>2026</v>
      </c>
      <c r="D804" t="s">
        <v>19</v>
      </c>
      <c r="E804" t="s">
        <v>38</v>
      </c>
      <c r="F804">
        <v>777</v>
      </c>
      <c r="G804" t="s">
        <v>54</v>
      </c>
      <c r="H804" t="s">
        <v>76</v>
      </c>
    </row>
    <row r="805" spans="1:8" x14ac:dyDescent="0.3">
      <c r="A805" t="s">
        <v>1143</v>
      </c>
      <c r="B805" t="s">
        <v>76</v>
      </c>
      <c r="C805">
        <v>2026</v>
      </c>
      <c r="D805" t="s">
        <v>19</v>
      </c>
      <c r="E805" t="s">
        <v>38</v>
      </c>
      <c r="F805">
        <v>8213909.8299999908</v>
      </c>
      <c r="G805" t="s">
        <v>36</v>
      </c>
      <c r="H805" t="s">
        <v>76</v>
      </c>
    </row>
    <row r="806" spans="1:8" x14ac:dyDescent="0.3">
      <c r="A806" t="s">
        <v>1147</v>
      </c>
      <c r="B806" t="s">
        <v>77</v>
      </c>
      <c r="C806">
        <v>2026</v>
      </c>
      <c r="D806" t="s">
        <v>49</v>
      </c>
      <c r="E806" t="s">
        <v>63</v>
      </c>
      <c r="F806">
        <v>21230.09</v>
      </c>
      <c r="G806" t="s">
        <v>30</v>
      </c>
      <c r="H806" t="s">
        <v>77</v>
      </c>
    </row>
    <row r="807" spans="1:8" x14ac:dyDescent="0.3">
      <c r="A807" t="s">
        <v>1148</v>
      </c>
      <c r="B807" t="s">
        <v>77</v>
      </c>
      <c r="C807">
        <v>2026</v>
      </c>
      <c r="D807" t="s">
        <v>49</v>
      </c>
      <c r="E807" t="s">
        <v>63</v>
      </c>
      <c r="F807">
        <v>1</v>
      </c>
      <c r="G807" t="s">
        <v>54</v>
      </c>
      <c r="H807" t="s">
        <v>77</v>
      </c>
    </row>
    <row r="808" spans="1:8" x14ac:dyDescent="0.3">
      <c r="A808" t="s">
        <v>1149</v>
      </c>
      <c r="B808" t="s">
        <v>77</v>
      </c>
      <c r="C808">
        <v>2026</v>
      </c>
      <c r="D808" t="s">
        <v>49</v>
      </c>
      <c r="E808" t="s">
        <v>63</v>
      </c>
      <c r="F808">
        <v>21230.09</v>
      </c>
      <c r="G808" t="s">
        <v>36</v>
      </c>
      <c r="H808" t="s">
        <v>77</v>
      </c>
    </row>
    <row r="809" spans="1:8" x14ac:dyDescent="0.3">
      <c r="A809" t="s">
        <v>1150</v>
      </c>
      <c r="B809" t="s">
        <v>77</v>
      </c>
      <c r="C809">
        <v>2026</v>
      </c>
      <c r="D809" t="s">
        <v>49</v>
      </c>
      <c r="E809" t="s">
        <v>3</v>
      </c>
      <c r="F809">
        <v>14940.37945945946</v>
      </c>
      <c r="G809" t="s">
        <v>30</v>
      </c>
      <c r="H809" t="s">
        <v>77</v>
      </c>
    </row>
    <row r="810" spans="1:8" x14ac:dyDescent="0.3">
      <c r="A810" t="s">
        <v>1151</v>
      </c>
      <c r="B810" t="s">
        <v>77</v>
      </c>
      <c r="C810">
        <v>2026</v>
      </c>
      <c r="D810" t="s">
        <v>49</v>
      </c>
      <c r="E810" t="s">
        <v>3</v>
      </c>
      <c r="F810">
        <v>37</v>
      </c>
      <c r="G810" t="s">
        <v>54</v>
      </c>
      <c r="H810" t="s">
        <v>77</v>
      </c>
    </row>
    <row r="811" spans="1:8" x14ac:dyDescent="0.3">
      <c r="A811" t="s">
        <v>1152</v>
      </c>
      <c r="B811" t="s">
        <v>77</v>
      </c>
      <c r="C811">
        <v>2026</v>
      </c>
      <c r="D811" t="s">
        <v>49</v>
      </c>
      <c r="E811" t="s">
        <v>3</v>
      </c>
      <c r="F811">
        <v>552794.04</v>
      </c>
      <c r="G811" t="s">
        <v>36</v>
      </c>
      <c r="H811" t="s">
        <v>77</v>
      </c>
    </row>
    <row r="812" spans="1:8" x14ac:dyDescent="0.3">
      <c r="A812" t="s">
        <v>1153</v>
      </c>
      <c r="B812" t="s">
        <v>77</v>
      </c>
      <c r="C812">
        <v>2026</v>
      </c>
      <c r="D812" t="s">
        <v>49</v>
      </c>
      <c r="E812" t="s">
        <v>2</v>
      </c>
      <c r="F812">
        <v>9316.4039055794019</v>
      </c>
      <c r="G812" t="s">
        <v>30</v>
      </c>
      <c r="H812" t="s">
        <v>77</v>
      </c>
    </row>
    <row r="813" spans="1:8" x14ac:dyDescent="0.3">
      <c r="A813" t="s">
        <v>1154</v>
      </c>
      <c r="B813" t="s">
        <v>77</v>
      </c>
      <c r="C813">
        <v>2026</v>
      </c>
      <c r="D813" t="s">
        <v>49</v>
      </c>
      <c r="E813" t="s">
        <v>2</v>
      </c>
      <c r="F813">
        <v>233</v>
      </c>
      <c r="G813" t="s">
        <v>54</v>
      </c>
      <c r="H813" t="s">
        <v>77</v>
      </c>
    </row>
    <row r="814" spans="1:8" x14ac:dyDescent="0.3">
      <c r="A814" t="s">
        <v>1155</v>
      </c>
      <c r="B814" t="s">
        <v>77</v>
      </c>
      <c r="C814">
        <v>2026</v>
      </c>
      <c r="D814" t="s">
        <v>49</v>
      </c>
      <c r="E814" t="s">
        <v>2</v>
      </c>
      <c r="F814">
        <v>2170722.1100000008</v>
      </c>
      <c r="G814" t="s">
        <v>36</v>
      </c>
      <c r="H814" t="s">
        <v>77</v>
      </c>
    </row>
    <row r="815" spans="1:8" x14ac:dyDescent="0.3">
      <c r="A815" t="s">
        <v>1156</v>
      </c>
      <c r="B815" t="s">
        <v>77</v>
      </c>
      <c r="C815">
        <v>2026</v>
      </c>
      <c r="D815" t="s">
        <v>49</v>
      </c>
      <c r="E815" t="s">
        <v>1</v>
      </c>
      <c r="F815">
        <v>13392.883735581187</v>
      </c>
      <c r="G815" t="s">
        <v>30</v>
      </c>
      <c r="H815" t="s">
        <v>77</v>
      </c>
    </row>
    <row r="816" spans="1:8" x14ac:dyDescent="0.3">
      <c r="A816" t="s">
        <v>1157</v>
      </c>
      <c r="B816" t="s">
        <v>77</v>
      </c>
      <c r="C816">
        <v>2026</v>
      </c>
      <c r="D816" t="s">
        <v>49</v>
      </c>
      <c r="E816" t="s">
        <v>1</v>
      </c>
      <c r="F816">
        <v>1127</v>
      </c>
      <c r="G816" t="s">
        <v>54</v>
      </c>
      <c r="H816" t="s">
        <v>77</v>
      </c>
    </row>
    <row r="817" spans="1:8" x14ac:dyDescent="0.3">
      <c r="A817" t="s">
        <v>1158</v>
      </c>
      <c r="B817" t="s">
        <v>77</v>
      </c>
      <c r="C817">
        <v>2026</v>
      </c>
      <c r="D817" t="s">
        <v>49</v>
      </c>
      <c r="E817" t="s">
        <v>1</v>
      </c>
      <c r="F817">
        <v>15093779.969999995</v>
      </c>
      <c r="G817" t="s">
        <v>36</v>
      </c>
      <c r="H817" t="s">
        <v>77</v>
      </c>
    </row>
    <row r="818" spans="1:8" x14ac:dyDescent="0.3">
      <c r="A818" t="s">
        <v>1159</v>
      </c>
      <c r="B818" t="s">
        <v>77</v>
      </c>
      <c r="C818">
        <v>2026</v>
      </c>
      <c r="D818" t="s">
        <v>49</v>
      </c>
      <c r="E818" t="s">
        <v>4</v>
      </c>
      <c r="F818">
        <v>12427.038023191606</v>
      </c>
      <c r="G818" t="s">
        <v>30</v>
      </c>
      <c r="H818" t="s">
        <v>77</v>
      </c>
    </row>
    <row r="819" spans="1:8" x14ac:dyDescent="0.3">
      <c r="A819" t="s">
        <v>1160</v>
      </c>
      <c r="B819" t="s">
        <v>77</v>
      </c>
      <c r="C819">
        <v>2026</v>
      </c>
      <c r="D819" t="s">
        <v>49</v>
      </c>
      <c r="E819" t="s">
        <v>4</v>
      </c>
      <c r="F819">
        <v>1811</v>
      </c>
      <c r="G819" t="s">
        <v>54</v>
      </c>
      <c r="H819" t="s">
        <v>77</v>
      </c>
    </row>
    <row r="820" spans="1:8" x14ac:dyDescent="0.3">
      <c r="A820" t="s">
        <v>1161</v>
      </c>
      <c r="B820" t="s">
        <v>77</v>
      </c>
      <c r="C820">
        <v>2026</v>
      </c>
      <c r="D820" t="s">
        <v>49</v>
      </c>
      <c r="E820" t="s">
        <v>4</v>
      </c>
      <c r="F820">
        <v>22505365.859999999</v>
      </c>
      <c r="G820" t="s">
        <v>36</v>
      </c>
      <c r="H820" t="s">
        <v>77</v>
      </c>
    </row>
    <row r="821" spans="1:8" x14ac:dyDescent="0.3">
      <c r="A821" t="s">
        <v>1162</v>
      </c>
      <c r="B821" t="s">
        <v>77</v>
      </c>
      <c r="C821">
        <v>2026</v>
      </c>
      <c r="D821" t="s">
        <v>49</v>
      </c>
      <c r="E821" t="s">
        <v>38</v>
      </c>
      <c r="F821">
        <v>11299.853874092012</v>
      </c>
      <c r="G821" t="s">
        <v>30</v>
      </c>
      <c r="H821" t="s">
        <v>77</v>
      </c>
    </row>
    <row r="822" spans="1:8" x14ac:dyDescent="0.3">
      <c r="A822" t="s">
        <v>1163</v>
      </c>
      <c r="B822" t="s">
        <v>77</v>
      </c>
      <c r="C822">
        <v>2026</v>
      </c>
      <c r="D822" t="s">
        <v>49</v>
      </c>
      <c r="E822" t="s">
        <v>38</v>
      </c>
      <c r="F822">
        <v>413</v>
      </c>
      <c r="G822" t="s">
        <v>54</v>
      </c>
      <c r="H822" t="s">
        <v>77</v>
      </c>
    </row>
    <row r="823" spans="1:8" x14ac:dyDescent="0.3">
      <c r="A823" t="s">
        <v>1164</v>
      </c>
      <c r="B823" t="s">
        <v>77</v>
      </c>
      <c r="C823">
        <v>2026</v>
      </c>
      <c r="D823" t="s">
        <v>49</v>
      </c>
      <c r="E823" t="s">
        <v>38</v>
      </c>
      <c r="F823">
        <v>4666839.6500000013</v>
      </c>
      <c r="G823" t="s">
        <v>36</v>
      </c>
      <c r="H823" t="s">
        <v>77</v>
      </c>
    </row>
    <row r="824" spans="1:8" x14ac:dyDescent="0.3">
      <c r="A824" t="s">
        <v>1174</v>
      </c>
      <c r="B824" t="s">
        <v>78</v>
      </c>
      <c r="C824">
        <v>2026</v>
      </c>
      <c r="D824" t="s">
        <v>22</v>
      </c>
      <c r="E824" t="s">
        <v>2</v>
      </c>
      <c r="F824">
        <v>5356.8110256410264</v>
      </c>
      <c r="G824" t="s">
        <v>30</v>
      </c>
      <c r="H824" t="s">
        <v>78</v>
      </c>
    </row>
    <row r="825" spans="1:8" x14ac:dyDescent="0.3">
      <c r="A825" t="s">
        <v>1175</v>
      </c>
      <c r="B825" t="s">
        <v>78</v>
      </c>
      <c r="C825">
        <v>2026</v>
      </c>
      <c r="D825" t="s">
        <v>22</v>
      </c>
      <c r="E825" t="s">
        <v>2</v>
      </c>
      <c r="F825">
        <v>39</v>
      </c>
      <c r="G825" t="s">
        <v>54</v>
      </c>
      <c r="H825" t="s">
        <v>78</v>
      </c>
    </row>
    <row r="826" spans="1:8" x14ac:dyDescent="0.3">
      <c r="A826" t="s">
        <v>1176</v>
      </c>
      <c r="B826" t="s">
        <v>78</v>
      </c>
      <c r="C826">
        <v>2026</v>
      </c>
      <c r="D826" t="s">
        <v>22</v>
      </c>
      <c r="E826" t="s">
        <v>2</v>
      </c>
      <c r="F826">
        <v>208915.63000000006</v>
      </c>
      <c r="G826" t="s">
        <v>36</v>
      </c>
      <c r="H826" t="s">
        <v>78</v>
      </c>
    </row>
    <row r="827" spans="1:8" x14ac:dyDescent="0.3">
      <c r="A827" t="s">
        <v>1177</v>
      </c>
      <c r="B827" t="s">
        <v>78</v>
      </c>
      <c r="C827">
        <v>2026</v>
      </c>
      <c r="D827" t="s">
        <v>22</v>
      </c>
      <c r="E827" t="s">
        <v>1</v>
      </c>
      <c r="F827">
        <v>12964.611105032822</v>
      </c>
      <c r="G827" t="s">
        <v>30</v>
      </c>
      <c r="H827" t="s">
        <v>78</v>
      </c>
    </row>
    <row r="828" spans="1:8" x14ac:dyDescent="0.3">
      <c r="A828" t="s">
        <v>1178</v>
      </c>
      <c r="B828" t="s">
        <v>78</v>
      </c>
      <c r="C828">
        <v>2026</v>
      </c>
      <c r="D828" t="s">
        <v>22</v>
      </c>
      <c r="E828" t="s">
        <v>1</v>
      </c>
      <c r="F828">
        <v>914</v>
      </c>
      <c r="G828" t="s">
        <v>54</v>
      </c>
      <c r="H828" t="s">
        <v>78</v>
      </c>
    </row>
    <row r="829" spans="1:8" x14ac:dyDescent="0.3">
      <c r="A829" t="s">
        <v>1179</v>
      </c>
      <c r="B829" t="s">
        <v>78</v>
      </c>
      <c r="C829">
        <v>2026</v>
      </c>
      <c r="D829" t="s">
        <v>22</v>
      </c>
      <c r="E829" t="s">
        <v>1</v>
      </c>
      <c r="F829">
        <v>11849654.549999999</v>
      </c>
      <c r="G829" t="s">
        <v>36</v>
      </c>
      <c r="H829" t="s">
        <v>78</v>
      </c>
    </row>
    <row r="830" spans="1:8" x14ac:dyDescent="0.3">
      <c r="A830" t="s">
        <v>1180</v>
      </c>
      <c r="B830" t="s">
        <v>78</v>
      </c>
      <c r="C830">
        <v>2026</v>
      </c>
      <c r="D830" t="s">
        <v>22</v>
      </c>
      <c r="E830" t="s">
        <v>4</v>
      </c>
      <c r="F830">
        <v>12494.51929780034</v>
      </c>
      <c r="G830" t="s">
        <v>30</v>
      </c>
      <c r="H830" t="s">
        <v>78</v>
      </c>
    </row>
    <row r="831" spans="1:8" x14ac:dyDescent="0.3">
      <c r="A831" t="s">
        <v>1181</v>
      </c>
      <c r="B831" t="s">
        <v>78</v>
      </c>
      <c r="C831">
        <v>2026</v>
      </c>
      <c r="D831" t="s">
        <v>22</v>
      </c>
      <c r="E831" t="s">
        <v>4</v>
      </c>
      <c r="F831">
        <v>1182</v>
      </c>
      <c r="G831" t="s">
        <v>54</v>
      </c>
      <c r="H831" t="s">
        <v>78</v>
      </c>
    </row>
    <row r="832" spans="1:8" x14ac:dyDescent="0.3">
      <c r="A832" t="s">
        <v>1182</v>
      </c>
      <c r="B832" t="s">
        <v>78</v>
      </c>
      <c r="C832">
        <v>2026</v>
      </c>
      <c r="D832" t="s">
        <v>22</v>
      </c>
      <c r="E832" t="s">
        <v>4</v>
      </c>
      <c r="F832">
        <v>14768521.810000001</v>
      </c>
      <c r="G832" t="s">
        <v>36</v>
      </c>
      <c r="H832" t="s">
        <v>78</v>
      </c>
    </row>
    <row r="833" spans="1:8" x14ac:dyDescent="0.3">
      <c r="A833" t="s">
        <v>1183</v>
      </c>
      <c r="B833" t="s">
        <v>78</v>
      </c>
      <c r="C833">
        <v>2026</v>
      </c>
      <c r="D833" t="s">
        <v>22</v>
      </c>
      <c r="E833" t="s">
        <v>38</v>
      </c>
      <c r="F833">
        <v>11833.849912663756</v>
      </c>
      <c r="G833" t="s">
        <v>30</v>
      </c>
      <c r="H833" t="s">
        <v>78</v>
      </c>
    </row>
    <row r="834" spans="1:8" x14ac:dyDescent="0.3">
      <c r="A834" t="s">
        <v>1184</v>
      </c>
      <c r="B834" t="s">
        <v>78</v>
      </c>
      <c r="C834">
        <v>2026</v>
      </c>
      <c r="D834" t="s">
        <v>22</v>
      </c>
      <c r="E834" t="s">
        <v>38</v>
      </c>
      <c r="F834">
        <v>229</v>
      </c>
      <c r="G834" t="s">
        <v>54</v>
      </c>
      <c r="H834" t="s">
        <v>78</v>
      </c>
    </row>
    <row r="835" spans="1:8" x14ac:dyDescent="0.3">
      <c r="A835" t="s">
        <v>1185</v>
      </c>
      <c r="B835" t="s">
        <v>78</v>
      </c>
      <c r="C835">
        <v>2026</v>
      </c>
      <c r="D835" t="s">
        <v>22</v>
      </c>
      <c r="E835" t="s">
        <v>38</v>
      </c>
      <c r="F835">
        <v>2709951.6300000008</v>
      </c>
      <c r="G835" t="s">
        <v>36</v>
      </c>
      <c r="H835" t="s">
        <v>78</v>
      </c>
    </row>
    <row r="836" spans="1:8" x14ac:dyDescent="0.3">
      <c r="A836" t="s">
        <v>1193</v>
      </c>
      <c r="B836" t="s">
        <v>108</v>
      </c>
      <c r="C836">
        <v>2026</v>
      </c>
      <c r="D836" t="s">
        <v>116</v>
      </c>
      <c r="E836" t="s">
        <v>3</v>
      </c>
      <c r="F836">
        <v>4626.1075000000001</v>
      </c>
      <c r="G836" t="s">
        <v>30</v>
      </c>
      <c r="H836" t="s">
        <v>108</v>
      </c>
    </row>
    <row r="837" spans="1:8" x14ac:dyDescent="0.3">
      <c r="A837" t="s">
        <v>1194</v>
      </c>
      <c r="B837" t="s">
        <v>108</v>
      </c>
      <c r="C837">
        <v>2026</v>
      </c>
      <c r="D837" t="s">
        <v>116</v>
      </c>
      <c r="E837" t="s">
        <v>3</v>
      </c>
      <c r="F837">
        <v>4</v>
      </c>
      <c r="G837" t="s">
        <v>54</v>
      </c>
      <c r="H837" t="s">
        <v>108</v>
      </c>
    </row>
    <row r="838" spans="1:8" x14ac:dyDescent="0.3">
      <c r="A838" t="s">
        <v>1195</v>
      </c>
      <c r="B838" t="s">
        <v>108</v>
      </c>
      <c r="C838">
        <v>2026</v>
      </c>
      <c r="D838" t="s">
        <v>116</v>
      </c>
      <c r="E838" t="s">
        <v>3</v>
      </c>
      <c r="F838">
        <v>18504.43</v>
      </c>
      <c r="G838" t="s">
        <v>36</v>
      </c>
      <c r="H838" t="s">
        <v>108</v>
      </c>
    </row>
    <row r="839" spans="1:8" x14ac:dyDescent="0.3">
      <c r="A839" t="s">
        <v>1196</v>
      </c>
      <c r="B839" t="s">
        <v>108</v>
      </c>
      <c r="C839">
        <v>2026</v>
      </c>
      <c r="D839" t="s">
        <v>116</v>
      </c>
      <c r="E839" t="s">
        <v>2</v>
      </c>
      <c r="F839">
        <v>5456.6091517857085</v>
      </c>
      <c r="G839" t="s">
        <v>30</v>
      </c>
      <c r="H839" t="s">
        <v>108</v>
      </c>
    </row>
    <row r="840" spans="1:8" x14ac:dyDescent="0.3">
      <c r="A840" t="s">
        <v>1197</v>
      </c>
      <c r="B840" t="s">
        <v>108</v>
      </c>
      <c r="C840">
        <v>2026</v>
      </c>
      <c r="D840" t="s">
        <v>116</v>
      </c>
      <c r="E840" t="s">
        <v>2</v>
      </c>
      <c r="F840">
        <v>224</v>
      </c>
      <c r="G840" t="s">
        <v>54</v>
      </c>
      <c r="H840" t="s">
        <v>108</v>
      </c>
    </row>
    <row r="841" spans="1:8" x14ac:dyDescent="0.3">
      <c r="A841" t="s">
        <v>1198</v>
      </c>
      <c r="B841" t="s">
        <v>108</v>
      </c>
      <c r="C841">
        <v>2026</v>
      </c>
      <c r="D841" t="s">
        <v>116</v>
      </c>
      <c r="E841" t="s">
        <v>2</v>
      </c>
      <c r="F841">
        <v>1222280.4499999988</v>
      </c>
      <c r="G841" t="s">
        <v>36</v>
      </c>
      <c r="H841" t="s">
        <v>108</v>
      </c>
    </row>
    <row r="842" spans="1:8" x14ac:dyDescent="0.3">
      <c r="A842" t="s">
        <v>1199</v>
      </c>
      <c r="B842" t="s">
        <v>108</v>
      </c>
      <c r="C842">
        <v>2026</v>
      </c>
      <c r="D842" t="s">
        <v>116</v>
      </c>
      <c r="E842" t="s">
        <v>1</v>
      </c>
      <c r="F842">
        <v>10572.648258362158</v>
      </c>
      <c r="G842" t="s">
        <v>30</v>
      </c>
      <c r="H842" t="s">
        <v>108</v>
      </c>
    </row>
    <row r="843" spans="1:8" x14ac:dyDescent="0.3">
      <c r="A843" t="s">
        <v>1200</v>
      </c>
      <c r="B843" t="s">
        <v>108</v>
      </c>
      <c r="C843">
        <v>2026</v>
      </c>
      <c r="D843" t="s">
        <v>116</v>
      </c>
      <c r="E843" t="s">
        <v>1</v>
      </c>
      <c r="F843">
        <v>867</v>
      </c>
      <c r="G843" t="s">
        <v>54</v>
      </c>
      <c r="H843" t="s">
        <v>108</v>
      </c>
    </row>
    <row r="844" spans="1:8" x14ac:dyDescent="0.3">
      <c r="A844" t="s">
        <v>1201</v>
      </c>
      <c r="B844" t="s">
        <v>108</v>
      </c>
      <c r="C844">
        <v>2026</v>
      </c>
      <c r="D844" t="s">
        <v>116</v>
      </c>
      <c r="E844" t="s">
        <v>1</v>
      </c>
      <c r="F844">
        <v>9166486.0399999935</v>
      </c>
      <c r="G844" t="s">
        <v>36</v>
      </c>
      <c r="H844" t="s">
        <v>108</v>
      </c>
    </row>
    <row r="845" spans="1:8" x14ac:dyDescent="0.3">
      <c r="A845" t="s">
        <v>1202</v>
      </c>
      <c r="B845" t="s">
        <v>108</v>
      </c>
      <c r="C845">
        <v>2026</v>
      </c>
      <c r="D845" t="s">
        <v>116</v>
      </c>
      <c r="E845" t="s">
        <v>4</v>
      </c>
      <c r="F845">
        <v>9504.3570045662036</v>
      </c>
      <c r="G845" t="s">
        <v>30</v>
      </c>
      <c r="H845" t="s">
        <v>108</v>
      </c>
    </row>
    <row r="846" spans="1:8" x14ac:dyDescent="0.3">
      <c r="A846" t="s">
        <v>1203</v>
      </c>
      <c r="B846" t="s">
        <v>108</v>
      </c>
      <c r="C846">
        <v>2026</v>
      </c>
      <c r="D846" t="s">
        <v>116</v>
      </c>
      <c r="E846" t="s">
        <v>4</v>
      </c>
      <c r="F846">
        <v>1095</v>
      </c>
      <c r="G846" t="s">
        <v>54</v>
      </c>
      <c r="H846" t="s">
        <v>108</v>
      </c>
    </row>
    <row r="847" spans="1:8" x14ac:dyDescent="0.3">
      <c r="A847" t="s">
        <v>1204</v>
      </c>
      <c r="B847" t="s">
        <v>108</v>
      </c>
      <c r="C847">
        <v>2026</v>
      </c>
      <c r="D847" t="s">
        <v>116</v>
      </c>
      <c r="E847" t="s">
        <v>4</v>
      </c>
      <c r="F847">
        <v>10407270.919999992</v>
      </c>
      <c r="G847" t="s">
        <v>36</v>
      </c>
      <c r="H847" t="s">
        <v>108</v>
      </c>
    </row>
    <row r="848" spans="1:8" x14ac:dyDescent="0.3">
      <c r="A848" t="s">
        <v>1218</v>
      </c>
      <c r="B848" t="s">
        <v>114</v>
      </c>
      <c r="C848">
        <v>2026</v>
      </c>
      <c r="D848" t="s">
        <v>113</v>
      </c>
      <c r="E848" t="s">
        <v>2</v>
      </c>
      <c r="F848">
        <v>5157.581538461538</v>
      </c>
      <c r="G848" t="s">
        <v>30</v>
      </c>
      <c r="H848" t="s">
        <v>114</v>
      </c>
    </row>
    <row r="849" spans="1:8" x14ac:dyDescent="0.3">
      <c r="A849" t="s">
        <v>1219</v>
      </c>
      <c r="B849" t="s">
        <v>114</v>
      </c>
      <c r="C849">
        <v>2026</v>
      </c>
      <c r="D849" t="s">
        <v>113</v>
      </c>
      <c r="E849" t="s">
        <v>2</v>
      </c>
      <c r="F849">
        <v>65</v>
      </c>
      <c r="G849" t="s">
        <v>54</v>
      </c>
      <c r="H849" t="s">
        <v>114</v>
      </c>
    </row>
    <row r="850" spans="1:8" x14ac:dyDescent="0.3">
      <c r="A850" t="s">
        <v>1220</v>
      </c>
      <c r="B850" t="s">
        <v>114</v>
      </c>
      <c r="C850">
        <v>2026</v>
      </c>
      <c r="D850" t="s">
        <v>113</v>
      </c>
      <c r="E850" t="s">
        <v>2</v>
      </c>
      <c r="F850">
        <v>335242.79999999993</v>
      </c>
      <c r="G850" t="s">
        <v>36</v>
      </c>
      <c r="H850" t="s">
        <v>114</v>
      </c>
    </row>
    <row r="851" spans="1:8" x14ac:dyDescent="0.3">
      <c r="A851" t="s">
        <v>1221</v>
      </c>
      <c r="B851" t="s">
        <v>114</v>
      </c>
      <c r="C851">
        <v>2026</v>
      </c>
      <c r="D851" t="s">
        <v>113</v>
      </c>
      <c r="E851" t="s">
        <v>1</v>
      </c>
      <c r="F851">
        <v>11303.275126903549</v>
      </c>
      <c r="G851" t="s">
        <v>30</v>
      </c>
      <c r="H851" t="s">
        <v>114</v>
      </c>
    </row>
    <row r="852" spans="1:8" x14ac:dyDescent="0.3">
      <c r="A852" t="s">
        <v>1222</v>
      </c>
      <c r="B852" t="s">
        <v>114</v>
      </c>
      <c r="C852">
        <v>2026</v>
      </c>
      <c r="D852" t="s">
        <v>113</v>
      </c>
      <c r="E852" t="s">
        <v>1</v>
      </c>
      <c r="F852">
        <v>591</v>
      </c>
      <c r="G852" t="s">
        <v>54</v>
      </c>
      <c r="H852" t="s">
        <v>114</v>
      </c>
    </row>
    <row r="853" spans="1:8" x14ac:dyDescent="0.3">
      <c r="A853" t="s">
        <v>1223</v>
      </c>
      <c r="B853" t="s">
        <v>114</v>
      </c>
      <c r="C853">
        <v>2026</v>
      </c>
      <c r="D853" t="s">
        <v>113</v>
      </c>
      <c r="E853" t="s">
        <v>1</v>
      </c>
      <c r="F853">
        <v>6680235.5999999978</v>
      </c>
      <c r="G853" t="s">
        <v>36</v>
      </c>
      <c r="H853" t="s">
        <v>114</v>
      </c>
    </row>
    <row r="854" spans="1:8" x14ac:dyDescent="0.3">
      <c r="A854" t="s">
        <v>1224</v>
      </c>
      <c r="B854" t="s">
        <v>114</v>
      </c>
      <c r="C854">
        <v>2026</v>
      </c>
      <c r="D854" t="s">
        <v>113</v>
      </c>
      <c r="E854" t="s">
        <v>4</v>
      </c>
      <c r="F854">
        <v>11071.92534541336</v>
      </c>
      <c r="G854" t="s">
        <v>30</v>
      </c>
      <c r="H854" t="s">
        <v>114</v>
      </c>
    </row>
    <row r="855" spans="1:8" x14ac:dyDescent="0.3">
      <c r="A855" t="s">
        <v>1225</v>
      </c>
      <c r="B855" t="s">
        <v>114</v>
      </c>
      <c r="C855">
        <v>2026</v>
      </c>
      <c r="D855" t="s">
        <v>113</v>
      </c>
      <c r="E855" t="s">
        <v>4</v>
      </c>
      <c r="F855">
        <v>883</v>
      </c>
      <c r="G855" t="s">
        <v>54</v>
      </c>
      <c r="H855" t="s">
        <v>114</v>
      </c>
    </row>
    <row r="856" spans="1:8" x14ac:dyDescent="0.3">
      <c r="A856" t="s">
        <v>1226</v>
      </c>
      <c r="B856" t="s">
        <v>114</v>
      </c>
      <c r="C856">
        <v>2026</v>
      </c>
      <c r="D856" t="s">
        <v>113</v>
      </c>
      <c r="E856" t="s">
        <v>4</v>
      </c>
      <c r="F856">
        <v>9776510.0799999963</v>
      </c>
      <c r="G856" t="s">
        <v>36</v>
      </c>
      <c r="H856" t="s">
        <v>114</v>
      </c>
    </row>
    <row r="857" spans="1:8" x14ac:dyDescent="0.3">
      <c r="A857" t="s">
        <v>1227</v>
      </c>
      <c r="B857" t="s">
        <v>114</v>
      </c>
      <c r="C857">
        <v>2026</v>
      </c>
      <c r="D857" t="s">
        <v>113</v>
      </c>
      <c r="E857" t="s">
        <v>38</v>
      </c>
      <c r="F857">
        <v>12163.135154185018</v>
      </c>
      <c r="G857" t="s">
        <v>30</v>
      </c>
      <c r="H857" t="s">
        <v>114</v>
      </c>
    </row>
    <row r="858" spans="1:8" x14ac:dyDescent="0.3">
      <c r="A858" t="s">
        <v>1228</v>
      </c>
      <c r="B858" t="s">
        <v>114</v>
      </c>
      <c r="C858">
        <v>2026</v>
      </c>
      <c r="D858" t="s">
        <v>113</v>
      </c>
      <c r="E858" t="s">
        <v>38</v>
      </c>
      <c r="F858">
        <v>227</v>
      </c>
      <c r="G858" t="s">
        <v>54</v>
      </c>
      <c r="H858" t="s">
        <v>114</v>
      </c>
    </row>
    <row r="859" spans="1:8" x14ac:dyDescent="0.3">
      <c r="A859" t="s">
        <v>1229</v>
      </c>
      <c r="B859" t="s">
        <v>114</v>
      </c>
      <c r="C859">
        <v>2026</v>
      </c>
      <c r="D859" t="s">
        <v>113</v>
      </c>
      <c r="E859" t="s">
        <v>38</v>
      </c>
      <c r="F859">
        <v>2761031.6799999992</v>
      </c>
      <c r="G859" t="s">
        <v>36</v>
      </c>
      <c r="H859" t="s">
        <v>114</v>
      </c>
    </row>
    <row r="860" spans="1:8" x14ac:dyDescent="0.3">
      <c r="A860" t="s">
        <v>1234</v>
      </c>
      <c r="B860" t="s">
        <v>79</v>
      </c>
      <c r="C860">
        <v>2026</v>
      </c>
      <c r="D860" t="s">
        <v>18</v>
      </c>
      <c r="E860" t="s">
        <v>63</v>
      </c>
      <c r="F860">
        <v>20929.03</v>
      </c>
      <c r="G860" t="s">
        <v>30</v>
      </c>
      <c r="H860" t="s">
        <v>79</v>
      </c>
    </row>
    <row r="861" spans="1:8" x14ac:dyDescent="0.3">
      <c r="A861" t="s">
        <v>1235</v>
      </c>
      <c r="B861" t="s">
        <v>79</v>
      </c>
      <c r="C861">
        <v>2026</v>
      </c>
      <c r="D861" t="s">
        <v>18</v>
      </c>
      <c r="E861" t="s">
        <v>63</v>
      </c>
      <c r="F861">
        <v>2</v>
      </c>
      <c r="G861" t="s">
        <v>54</v>
      </c>
      <c r="H861" t="s">
        <v>79</v>
      </c>
    </row>
    <row r="862" spans="1:8" x14ac:dyDescent="0.3">
      <c r="A862" t="s">
        <v>1236</v>
      </c>
      <c r="B862" t="s">
        <v>79</v>
      </c>
      <c r="C862">
        <v>2026</v>
      </c>
      <c r="D862" t="s">
        <v>18</v>
      </c>
      <c r="E862" t="s">
        <v>63</v>
      </c>
      <c r="F862">
        <v>41858.06</v>
      </c>
      <c r="G862" t="s">
        <v>36</v>
      </c>
      <c r="H862" t="s">
        <v>79</v>
      </c>
    </row>
    <row r="863" spans="1:8" x14ac:dyDescent="0.3">
      <c r="A863" t="s">
        <v>1237</v>
      </c>
      <c r="B863" t="s">
        <v>79</v>
      </c>
      <c r="C863">
        <v>2026</v>
      </c>
      <c r="D863" t="s">
        <v>18</v>
      </c>
      <c r="E863" t="s">
        <v>3</v>
      </c>
      <c r="F863">
        <v>10522.484</v>
      </c>
      <c r="G863" t="s">
        <v>30</v>
      </c>
      <c r="H863" t="s">
        <v>79</v>
      </c>
    </row>
    <row r="864" spans="1:8" x14ac:dyDescent="0.3">
      <c r="A864" t="s">
        <v>1238</v>
      </c>
      <c r="B864" t="s">
        <v>79</v>
      </c>
      <c r="C864">
        <v>2026</v>
      </c>
      <c r="D864" t="s">
        <v>18</v>
      </c>
      <c r="E864" t="s">
        <v>3</v>
      </c>
      <c r="F864">
        <v>5</v>
      </c>
      <c r="G864" t="s">
        <v>54</v>
      </c>
      <c r="H864" t="s">
        <v>79</v>
      </c>
    </row>
    <row r="865" spans="1:8" x14ac:dyDescent="0.3">
      <c r="A865" t="s">
        <v>1239</v>
      </c>
      <c r="B865" t="s">
        <v>79</v>
      </c>
      <c r="C865">
        <v>2026</v>
      </c>
      <c r="D865" t="s">
        <v>18</v>
      </c>
      <c r="E865" t="s">
        <v>3</v>
      </c>
      <c r="F865">
        <v>52612.42</v>
      </c>
      <c r="G865" t="s">
        <v>36</v>
      </c>
      <c r="H865" t="s">
        <v>79</v>
      </c>
    </row>
    <row r="866" spans="1:8" x14ac:dyDescent="0.3">
      <c r="A866" t="s">
        <v>1240</v>
      </c>
      <c r="B866" t="s">
        <v>79</v>
      </c>
      <c r="C866">
        <v>2026</v>
      </c>
      <c r="D866" t="s">
        <v>18</v>
      </c>
      <c r="E866" t="s">
        <v>2</v>
      </c>
      <c r="F866">
        <v>11714.745999999999</v>
      </c>
      <c r="G866" t="s">
        <v>30</v>
      </c>
      <c r="H866" t="s">
        <v>79</v>
      </c>
    </row>
    <row r="867" spans="1:8" x14ac:dyDescent="0.3">
      <c r="A867" t="s">
        <v>1241</v>
      </c>
      <c r="B867" t="s">
        <v>79</v>
      </c>
      <c r="C867">
        <v>2026</v>
      </c>
      <c r="D867" t="s">
        <v>18</v>
      </c>
      <c r="E867" t="s">
        <v>2</v>
      </c>
      <c r="F867">
        <v>10</v>
      </c>
      <c r="G867" t="s">
        <v>54</v>
      </c>
      <c r="H867" t="s">
        <v>79</v>
      </c>
    </row>
    <row r="868" spans="1:8" x14ac:dyDescent="0.3">
      <c r="A868" t="s">
        <v>1242</v>
      </c>
      <c r="B868" t="s">
        <v>79</v>
      </c>
      <c r="C868">
        <v>2026</v>
      </c>
      <c r="D868" t="s">
        <v>18</v>
      </c>
      <c r="E868" t="s">
        <v>2</v>
      </c>
      <c r="F868">
        <v>117147.45999999999</v>
      </c>
      <c r="G868" t="s">
        <v>36</v>
      </c>
      <c r="H868" t="s">
        <v>79</v>
      </c>
    </row>
    <row r="869" spans="1:8" x14ac:dyDescent="0.3">
      <c r="A869" t="s">
        <v>1243</v>
      </c>
      <c r="B869" t="s">
        <v>79</v>
      </c>
      <c r="C869">
        <v>2026</v>
      </c>
      <c r="D869" t="s">
        <v>18</v>
      </c>
      <c r="E869" t="s">
        <v>1</v>
      </c>
      <c r="F869">
        <v>10885.437228915676</v>
      </c>
      <c r="G869" t="s">
        <v>30</v>
      </c>
      <c r="H869" t="s">
        <v>79</v>
      </c>
    </row>
    <row r="870" spans="1:8" x14ac:dyDescent="0.3">
      <c r="A870" t="s">
        <v>1244</v>
      </c>
      <c r="B870" t="s">
        <v>79</v>
      </c>
      <c r="C870">
        <v>2026</v>
      </c>
      <c r="D870" t="s">
        <v>18</v>
      </c>
      <c r="E870" t="s">
        <v>1</v>
      </c>
      <c r="F870">
        <v>581</v>
      </c>
      <c r="G870" t="s">
        <v>54</v>
      </c>
      <c r="H870" t="s">
        <v>79</v>
      </c>
    </row>
    <row r="871" spans="1:8" x14ac:dyDescent="0.3">
      <c r="A871" t="s">
        <v>1245</v>
      </c>
      <c r="B871" t="s">
        <v>79</v>
      </c>
      <c r="C871">
        <v>2026</v>
      </c>
      <c r="D871" t="s">
        <v>18</v>
      </c>
      <c r="E871" t="s">
        <v>1</v>
      </c>
      <c r="F871">
        <v>6324439.0300000077</v>
      </c>
      <c r="G871" t="s">
        <v>36</v>
      </c>
      <c r="H871" t="s">
        <v>79</v>
      </c>
    </row>
    <row r="872" spans="1:8" x14ac:dyDescent="0.3">
      <c r="A872" t="s">
        <v>1246</v>
      </c>
      <c r="B872" t="s">
        <v>79</v>
      </c>
      <c r="C872">
        <v>2026</v>
      </c>
      <c r="D872" t="s">
        <v>18</v>
      </c>
      <c r="E872" t="s">
        <v>4</v>
      </c>
      <c r="F872">
        <v>10782.846212471142</v>
      </c>
      <c r="G872" t="s">
        <v>30</v>
      </c>
      <c r="H872" t="s">
        <v>79</v>
      </c>
    </row>
    <row r="873" spans="1:8" x14ac:dyDescent="0.3">
      <c r="A873" t="s">
        <v>1247</v>
      </c>
      <c r="B873" t="s">
        <v>79</v>
      </c>
      <c r="C873">
        <v>2026</v>
      </c>
      <c r="D873" t="s">
        <v>18</v>
      </c>
      <c r="E873" t="s">
        <v>4</v>
      </c>
      <c r="F873">
        <v>866</v>
      </c>
      <c r="G873" t="s">
        <v>54</v>
      </c>
      <c r="H873" t="s">
        <v>79</v>
      </c>
    </row>
    <row r="874" spans="1:8" x14ac:dyDescent="0.3">
      <c r="A874" t="s">
        <v>1248</v>
      </c>
      <c r="B874" t="s">
        <v>79</v>
      </c>
      <c r="C874">
        <v>2026</v>
      </c>
      <c r="D874" t="s">
        <v>18</v>
      </c>
      <c r="E874" t="s">
        <v>4</v>
      </c>
      <c r="F874">
        <v>9337944.8200000096</v>
      </c>
      <c r="G874" t="s">
        <v>36</v>
      </c>
      <c r="H874" t="s">
        <v>79</v>
      </c>
    </row>
    <row r="875" spans="1:8" x14ac:dyDescent="0.3">
      <c r="A875" t="s">
        <v>1249</v>
      </c>
      <c r="B875" t="s">
        <v>79</v>
      </c>
      <c r="C875">
        <v>2026</v>
      </c>
      <c r="D875" t="s">
        <v>18</v>
      </c>
      <c r="E875" t="s">
        <v>38</v>
      </c>
      <c r="F875">
        <v>10454.805410447769</v>
      </c>
      <c r="G875" t="s">
        <v>30</v>
      </c>
      <c r="H875" t="s">
        <v>79</v>
      </c>
    </row>
    <row r="876" spans="1:8" x14ac:dyDescent="0.3">
      <c r="A876" t="s">
        <v>1250</v>
      </c>
      <c r="B876" t="s">
        <v>79</v>
      </c>
      <c r="C876">
        <v>2026</v>
      </c>
      <c r="D876" t="s">
        <v>18</v>
      </c>
      <c r="E876" t="s">
        <v>38</v>
      </c>
      <c r="F876">
        <v>268</v>
      </c>
      <c r="G876" t="s">
        <v>54</v>
      </c>
      <c r="H876" t="s">
        <v>79</v>
      </c>
    </row>
    <row r="877" spans="1:8" x14ac:dyDescent="0.3">
      <c r="A877" t="s">
        <v>1251</v>
      </c>
      <c r="B877" t="s">
        <v>79</v>
      </c>
      <c r="C877">
        <v>2026</v>
      </c>
      <c r="D877" t="s">
        <v>18</v>
      </c>
      <c r="E877" t="s">
        <v>38</v>
      </c>
      <c r="F877">
        <v>2801887.850000002</v>
      </c>
      <c r="G877" t="s">
        <v>36</v>
      </c>
      <c r="H877" t="s">
        <v>79</v>
      </c>
    </row>
    <row r="878" spans="1:8" x14ac:dyDescent="0.3">
      <c r="A878" t="s">
        <v>1262</v>
      </c>
      <c r="B878" t="s">
        <v>80</v>
      </c>
      <c r="C878">
        <v>2026</v>
      </c>
      <c r="D878" t="s">
        <v>48</v>
      </c>
      <c r="E878" t="s">
        <v>2</v>
      </c>
      <c r="F878">
        <v>6938.6422988505765</v>
      </c>
      <c r="G878" t="s">
        <v>30</v>
      </c>
      <c r="H878" t="s">
        <v>80</v>
      </c>
    </row>
    <row r="879" spans="1:8" x14ac:dyDescent="0.3">
      <c r="A879" t="s">
        <v>1263</v>
      </c>
      <c r="B879" t="s">
        <v>80</v>
      </c>
      <c r="C879">
        <v>2026</v>
      </c>
      <c r="D879" t="s">
        <v>48</v>
      </c>
      <c r="E879" t="s">
        <v>2</v>
      </c>
      <c r="F879">
        <v>87</v>
      </c>
      <c r="G879" t="s">
        <v>54</v>
      </c>
      <c r="H879" t="s">
        <v>80</v>
      </c>
    </row>
    <row r="880" spans="1:8" x14ac:dyDescent="0.3">
      <c r="A880" t="s">
        <v>1264</v>
      </c>
      <c r="B880" t="s">
        <v>80</v>
      </c>
      <c r="C880">
        <v>2026</v>
      </c>
      <c r="D880" t="s">
        <v>48</v>
      </c>
      <c r="E880" t="s">
        <v>2</v>
      </c>
      <c r="F880">
        <v>603661.88</v>
      </c>
      <c r="G880" t="s">
        <v>36</v>
      </c>
      <c r="H880" t="s">
        <v>80</v>
      </c>
    </row>
    <row r="881" spans="1:8" x14ac:dyDescent="0.3">
      <c r="A881" t="s">
        <v>1265</v>
      </c>
      <c r="B881" t="s">
        <v>80</v>
      </c>
      <c r="C881">
        <v>2026</v>
      </c>
      <c r="D881" t="s">
        <v>48</v>
      </c>
      <c r="E881" t="s">
        <v>1</v>
      </c>
      <c r="F881">
        <v>12601.091242197272</v>
      </c>
      <c r="G881" t="s">
        <v>30</v>
      </c>
      <c r="H881" t="s">
        <v>80</v>
      </c>
    </row>
    <row r="882" spans="1:8" x14ac:dyDescent="0.3">
      <c r="A882" t="s">
        <v>1266</v>
      </c>
      <c r="B882" t="s">
        <v>80</v>
      </c>
      <c r="C882">
        <v>2026</v>
      </c>
      <c r="D882" t="s">
        <v>48</v>
      </c>
      <c r="E882" t="s">
        <v>1</v>
      </c>
      <c r="F882">
        <v>1602</v>
      </c>
      <c r="G882" t="s">
        <v>54</v>
      </c>
      <c r="H882" t="s">
        <v>80</v>
      </c>
    </row>
    <row r="883" spans="1:8" x14ac:dyDescent="0.3">
      <c r="A883" t="s">
        <v>1267</v>
      </c>
      <c r="B883" t="s">
        <v>80</v>
      </c>
      <c r="C883">
        <v>2026</v>
      </c>
      <c r="D883" t="s">
        <v>48</v>
      </c>
      <c r="E883" t="s">
        <v>1</v>
      </c>
      <c r="F883">
        <v>20186948.17000002</v>
      </c>
      <c r="G883" t="s">
        <v>36</v>
      </c>
      <c r="H883" t="s">
        <v>80</v>
      </c>
    </row>
    <row r="884" spans="1:8" x14ac:dyDescent="0.3">
      <c r="A884" t="s">
        <v>1268</v>
      </c>
      <c r="B884" t="s">
        <v>80</v>
      </c>
      <c r="C884">
        <v>2026</v>
      </c>
      <c r="D884" t="s">
        <v>48</v>
      </c>
      <c r="E884" t="s">
        <v>4</v>
      </c>
      <c r="F884">
        <v>12271.752390829704</v>
      </c>
      <c r="G884" t="s">
        <v>30</v>
      </c>
      <c r="H884" t="s">
        <v>80</v>
      </c>
    </row>
    <row r="885" spans="1:8" x14ac:dyDescent="0.3">
      <c r="A885" t="s">
        <v>1269</v>
      </c>
      <c r="B885" t="s">
        <v>80</v>
      </c>
      <c r="C885">
        <v>2026</v>
      </c>
      <c r="D885" t="s">
        <v>48</v>
      </c>
      <c r="E885" t="s">
        <v>4</v>
      </c>
      <c r="F885">
        <v>1832</v>
      </c>
      <c r="G885" t="s">
        <v>54</v>
      </c>
      <c r="H885" t="s">
        <v>80</v>
      </c>
    </row>
    <row r="886" spans="1:8" x14ac:dyDescent="0.3">
      <c r="A886" t="s">
        <v>1270</v>
      </c>
      <c r="B886" t="s">
        <v>80</v>
      </c>
      <c r="C886">
        <v>2026</v>
      </c>
      <c r="D886" t="s">
        <v>48</v>
      </c>
      <c r="E886" t="s">
        <v>4</v>
      </c>
      <c r="F886">
        <v>22481850.380000018</v>
      </c>
      <c r="G886" t="s">
        <v>36</v>
      </c>
      <c r="H886" t="s">
        <v>80</v>
      </c>
    </row>
    <row r="887" spans="1:8" x14ac:dyDescent="0.3">
      <c r="A887" t="s">
        <v>1271</v>
      </c>
      <c r="B887" t="s">
        <v>80</v>
      </c>
      <c r="C887">
        <v>2026</v>
      </c>
      <c r="D887" t="s">
        <v>48</v>
      </c>
      <c r="E887" t="s">
        <v>38</v>
      </c>
      <c r="F887">
        <v>11826.855454545454</v>
      </c>
      <c r="G887" t="s">
        <v>30</v>
      </c>
      <c r="H887" t="s">
        <v>80</v>
      </c>
    </row>
    <row r="888" spans="1:8" x14ac:dyDescent="0.3">
      <c r="A888" t="s">
        <v>1272</v>
      </c>
      <c r="B888" t="s">
        <v>80</v>
      </c>
      <c r="C888">
        <v>2026</v>
      </c>
      <c r="D888" t="s">
        <v>48</v>
      </c>
      <c r="E888" t="s">
        <v>38</v>
      </c>
      <c r="F888">
        <v>143</v>
      </c>
      <c r="G888" t="s">
        <v>54</v>
      </c>
      <c r="H888" t="s">
        <v>80</v>
      </c>
    </row>
    <row r="889" spans="1:8" x14ac:dyDescent="0.3">
      <c r="A889" t="s">
        <v>1273</v>
      </c>
      <c r="B889" t="s">
        <v>80</v>
      </c>
      <c r="C889">
        <v>2026</v>
      </c>
      <c r="D889" t="s">
        <v>48</v>
      </c>
      <c r="E889" t="s">
        <v>38</v>
      </c>
      <c r="F889">
        <v>1691240.3299999998</v>
      </c>
      <c r="G889" t="s">
        <v>36</v>
      </c>
      <c r="H889" t="s">
        <v>80</v>
      </c>
    </row>
    <row r="890" spans="1:8" x14ac:dyDescent="0.3">
      <c r="A890" t="s">
        <v>1283</v>
      </c>
      <c r="B890" t="s">
        <v>81</v>
      </c>
      <c r="C890">
        <v>2026</v>
      </c>
      <c r="D890" t="s">
        <v>14</v>
      </c>
      <c r="E890" t="s">
        <v>2</v>
      </c>
      <c r="F890">
        <v>5875.3889655172406</v>
      </c>
      <c r="G890" t="s">
        <v>30</v>
      </c>
      <c r="H890" t="s">
        <v>81</v>
      </c>
    </row>
    <row r="891" spans="1:8" x14ac:dyDescent="0.3">
      <c r="A891" t="s">
        <v>1284</v>
      </c>
      <c r="B891" t="s">
        <v>81</v>
      </c>
      <c r="C891">
        <v>2026</v>
      </c>
      <c r="D891" t="s">
        <v>14</v>
      </c>
      <c r="E891" t="s">
        <v>2</v>
      </c>
      <c r="F891">
        <v>58</v>
      </c>
      <c r="G891" t="s">
        <v>54</v>
      </c>
      <c r="H891" t="s">
        <v>81</v>
      </c>
    </row>
    <row r="892" spans="1:8" x14ac:dyDescent="0.3">
      <c r="A892" t="s">
        <v>1285</v>
      </c>
      <c r="B892" t="s">
        <v>81</v>
      </c>
      <c r="C892">
        <v>2026</v>
      </c>
      <c r="D892" t="s">
        <v>14</v>
      </c>
      <c r="E892" t="s">
        <v>2</v>
      </c>
      <c r="F892">
        <v>340772.56</v>
      </c>
      <c r="G892" t="s">
        <v>36</v>
      </c>
      <c r="H892" t="s">
        <v>81</v>
      </c>
    </row>
    <row r="893" spans="1:8" x14ac:dyDescent="0.3">
      <c r="A893" t="s">
        <v>1286</v>
      </c>
      <c r="B893" t="s">
        <v>81</v>
      </c>
      <c r="C893">
        <v>2026</v>
      </c>
      <c r="D893" t="s">
        <v>14</v>
      </c>
      <c r="E893" t="s">
        <v>1</v>
      </c>
      <c r="F893">
        <v>13051.307492447124</v>
      </c>
      <c r="G893" t="s">
        <v>30</v>
      </c>
      <c r="H893" t="s">
        <v>81</v>
      </c>
    </row>
    <row r="894" spans="1:8" x14ac:dyDescent="0.3">
      <c r="A894" t="s">
        <v>1287</v>
      </c>
      <c r="B894" t="s">
        <v>81</v>
      </c>
      <c r="C894">
        <v>2026</v>
      </c>
      <c r="D894" t="s">
        <v>14</v>
      </c>
      <c r="E894" t="s">
        <v>1</v>
      </c>
      <c r="F894">
        <v>993</v>
      </c>
      <c r="G894" t="s">
        <v>54</v>
      </c>
      <c r="H894" t="s">
        <v>81</v>
      </c>
    </row>
    <row r="895" spans="1:8" x14ac:dyDescent="0.3">
      <c r="A895" t="s">
        <v>1288</v>
      </c>
      <c r="B895" t="s">
        <v>81</v>
      </c>
      <c r="C895">
        <v>2026</v>
      </c>
      <c r="D895" t="s">
        <v>14</v>
      </c>
      <c r="E895" t="s">
        <v>1</v>
      </c>
      <c r="F895">
        <v>12959948.339999994</v>
      </c>
      <c r="G895" t="s">
        <v>36</v>
      </c>
      <c r="H895" t="s">
        <v>81</v>
      </c>
    </row>
    <row r="896" spans="1:8" x14ac:dyDescent="0.3">
      <c r="A896" t="s">
        <v>1289</v>
      </c>
      <c r="B896" t="s">
        <v>81</v>
      </c>
      <c r="C896">
        <v>2026</v>
      </c>
      <c r="D896" t="s">
        <v>14</v>
      </c>
      <c r="E896" t="s">
        <v>4</v>
      </c>
      <c r="F896">
        <v>12683.432239043823</v>
      </c>
      <c r="G896" t="s">
        <v>30</v>
      </c>
      <c r="H896" t="s">
        <v>81</v>
      </c>
    </row>
    <row r="897" spans="1:8" x14ac:dyDescent="0.3">
      <c r="A897" t="s">
        <v>1290</v>
      </c>
      <c r="B897" t="s">
        <v>81</v>
      </c>
      <c r="C897">
        <v>2026</v>
      </c>
      <c r="D897" t="s">
        <v>14</v>
      </c>
      <c r="E897" t="s">
        <v>4</v>
      </c>
      <c r="F897">
        <v>1255</v>
      </c>
      <c r="G897" t="s">
        <v>54</v>
      </c>
      <c r="H897" t="s">
        <v>81</v>
      </c>
    </row>
    <row r="898" spans="1:8" x14ac:dyDescent="0.3">
      <c r="A898" t="s">
        <v>1291</v>
      </c>
      <c r="B898" t="s">
        <v>81</v>
      </c>
      <c r="C898">
        <v>2026</v>
      </c>
      <c r="D898" t="s">
        <v>14</v>
      </c>
      <c r="E898" t="s">
        <v>4</v>
      </c>
      <c r="F898">
        <v>15917707.459999997</v>
      </c>
      <c r="G898" t="s">
        <v>36</v>
      </c>
      <c r="H898" t="s">
        <v>81</v>
      </c>
    </row>
    <row r="899" spans="1:8" x14ac:dyDescent="0.3">
      <c r="A899" t="s">
        <v>1292</v>
      </c>
      <c r="B899" t="s">
        <v>81</v>
      </c>
      <c r="C899">
        <v>2026</v>
      </c>
      <c r="D899" t="s">
        <v>14</v>
      </c>
      <c r="E899" t="s">
        <v>38</v>
      </c>
      <c r="F899">
        <v>12828.365490196093</v>
      </c>
      <c r="G899" t="s">
        <v>30</v>
      </c>
      <c r="H899" t="s">
        <v>81</v>
      </c>
    </row>
    <row r="900" spans="1:8" x14ac:dyDescent="0.3">
      <c r="A900" t="s">
        <v>1293</v>
      </c>
      <c r="B900" t="s">
        <v>81</v>
      </c>
      <c r="C900">
        <v>2026</v>
      </c>
      <c r="D900" t="s">
        <v>14</v>
      </c>
      <c r="E900" t="s">
        <v>38</v>
      </c>
      <c r="F900">
        <v>204</v>
      </c>
      <c r="G900" t="s">
        <v>54</v>
      </c>
      <c r="H900" t="s">
        <v>81</v>
      </c>
    </row>
    <row r="901" spans="1:8" x14ac:dyDescent="0.3">
      <c r="A901" t="s">
        <v>1294</v>
      </c>
      <c r="B901" t="s">
        <v>81</v>
      </c>
      <c r="C901">
        <v>2026</v>
      </c>
      <c r="D901" t="s">
        <v>14</v>
      </c>
      <c r="E901" t="s">
        <v>38</v>
      </c>
      <c r="F901">
        <v>2616986.5600000028</v>
      </c>
      <c r="G901" t="s">
        <v>36</v>
      </c>
      <c r="H901" t="s">
        <v>81</v>
      </c>
    </row>
    <row r="902" spans="1:8" x14ac:dyDescent="0.3">
      <c r="A902" t="s">
        <v>1304</v>
      </c>
      <c r="B902" t="s">
        <v>82</v>
      </c>
      <c r="C902">
        <v>2026</v>
      </c>
      <c r="D902" t="s">
        <v>7</v>
      </c>
      <c r="E902" t="s">
        <v>2</v>
      </c>
      <c r="F902">
        <v>4183.9689655172424</v>
      </c>
      <c r="G902" t="s">
        <v>30</v>
      </c>
      <c r="H902" t="s">
        <v>82</v>
      </c>
    </row>
    <row r="903" spans="1:8" x14ac:dyDescent="0.3">
      <c r="A903" t="s">
        <v>1305</v>
      </c>
      <c r="B903" t="s">
        <v>82</v>
      </c>
      <c r="C903">
        <v>2026</v>
      </c>
      <c r="D903" t="s">
        <v>7</v>
      </c>
      <c r="E903" t="s">
        <v>2</v>
      </c>
      <c r="F903">
        <v>29</v>
      </c>
      <c r="G903" t="s">
        <v>54</v>
      </c>
      <c r="H903" t="s">
        <v>82</v>
      </c>
    </row>
    <row r="904" spans="1:8" x14ac:dyDescent="0.3">
      <c r="A904" t="s">
        <v>1306</v>
      </c>
      <c r="B904" t="s">
        <v>82</v>
      </c>
      <c r="C904">
        <v>2026</v>
      </c>
      <c r="D904" t="s">
        <v>7</v>
      </c>
      <c r="E904" t="s">
        <v>2</v>
      </c>
      <c r="F904">
        <v>121335.10000000002</v>
      </c>
      <c r="G904" t="s">
        <v>36</v>
      </c>
      <c r="H904" t="s">
        <v>82</v>
      </c>
    </row>
    <row r="905" spans="1:8" x14ac:dyDescent="0.3">
      <c r="A905" t="s">
        <v>1307</v>
      </c>
      <c r="B905" t="s">
        <v>82</v>
      </c>
      <c r="C905">
        <v>2026</v>
      </c>
      <c r="D905" t="s">
        <v>7</v>
      </c>
      <c r="E905" t="s">
        <v>1</v>
      </c>
      <c r="F905">
        <v>12899.329480151235</v>
      </c>
      <c r="G905" t="s">
        <v>30</v>
      </c>
      <c r="H905" t="s">
        <v>82</v>
      </c>
    </row>
    <row r="906" spans="1:8" x14ac:dyDescent="0.3">
      <c r="A906" t="s">
        <v>1308</v>
      </c>
      <c r="B906" t="s">
        <v>82</v>
      </c>
      <c r="C906">
        <v>2026</v>
      </c>
      <c r="D906" t="s">
        <v>7</v>
      </c>
      <c r="E906" t="s">
        <v>1</v>
      </c>
      <c r="F906">
        <v>1058</v>
      </c>
      <c r="G906" t="s">
        <v>54</v>
      </c>
      <c r="H906" t="s">
        <v>82</v>
      </c>
    </row>
    <row r="907" spans="1:8" x14ac:dyDescent="0.3">
      <c r="A907" t="s">
        <v>1309</v>
      </c>
      <c r="B907" t="s">
        <v>82</v>
      </c>
      <c r="C907">
        <v>2026</v>
      </c>
      <c r="D907" t="s">
        <v>7</v>
      </c>
      <c r="E907" t="s">
        <v>1</v>
      </c>
      <c r="F907">
        <v>13647490.590000005</v>
      </c>
      <c r="G907" t="s">
        <v>36</v>
      </c>
      <c r="H907" t="s">
        <v>82</v>
      </c>
    </row>
    <row r="908" spans="1:8" x14ac:dyDescent="0.3">
      <c r="A908" t="s">
        <v>1310</v>
      </c>
      <c r="B908" t="s">
        <v>82</v>
      </c>
      <c r="C908">
        <v>2026</v>
      </c>
      <c r="D908" t="s">
        <v>7</v>
      </c>
      <c r="E908" t="s">
        <v>4</v>
      </c>
      <c r="F908">
        <v>12666.812962281514</v>
      </c>
      <c r="G908" t="s">
        <v>30</v>
      </c>
      <c r="H908" t="s">
        <v>82</v>
      </c>
    </row>
    <row r="909" spans="1:8" x14ac:dyDescent="0.3">
      <c r="A909" t="s">
        <v>1311</v>
      </c>
      <c r="B909" t="s">
        <v>82</v>
      </c>
      <c r="C909">
        <v>2026</v>
      </c>
      <c r="D909" t="s">
        <v>7</v>
      </c>
      <c r="E909" t="s">
        <v>4</v>
      </c>
      <c r="F909">
        <v>1087</v>
      </c>
      <c r="G909" t="s">
        <v>54</v>
      </c>
      <c r="H909" t="s">
        <v>82</v>
      </c>
    </row>
    <row r="910" spans="1:8" x14ac:dyDescent="0.3">
      <c r="A910" t="s">
        <v>1312</v>
      </c>
      <c r="B910" t="s">
        <v>82</v>
      </c>
      <c r="C910">
        <v>2026</v>
      </c>
      <c r="D910" t="s">
        <v>7</v>
      </c>
      <c r="E910" t="s">
        <v>4</v>
      </c>
      <c r="F910">
        <v>13768825.690000005</v>
      </c>
      <c r="G910" t="s">
        <v>36</v>
      </c>
      <c r="H910" t="s">
        <v>82</v>
      </c>
    </row>
    <row r="911" spans="1:8" x14ac:dyDescent="0.3">
      <c r="A911" t="s">
        <v>1325</v>
      </c>
      <c r="B911" t="s">
        <v>83</v>
      </c>
      <c r="C911">
        <v>2026</v>
      </c>
      <c r="D911" t="s">
        <v>17</v>
      </c>
      <c r="E911" t="s">
        <v>2</v>
      </c>
      <c r="F911">
        <v>6258.8672661870505</v>
      </c>
      <c r="G911" t="s">
        <v>30</v>
      </c>
      <c r="H911" t="s">
        <v>83</v>
      </c>
    </row>
    <row r="912" spans="1:8" x14ac:dyDescent="0.3">
      <c r="A912" t="s">
        <v>1326</v>
      </c>
      <c r="B912" t="s">
        <v>83</v>
      </c>
      <c r="C912">
        <v>2026</v>
      </c>
      <c r="D912" t="s">
        <v>17</v>
      </c>
      <c r="E912" t="s">
        <v>2</v>
      </c>
      <c r="F912">
        <v>139</v>
      </c>
      <c r="G912" t="s">
        <v>54</v>
      </c>
      <c r="H912" t="s">
        <v>83</v>
      </c>
    </row>
    <row r="913" spans="1:8" x14ac:dyDescent="0.3">
      <c r="A913" t="s">
        <v>1327</v>
      </c>
      <c r="B913" t="s">
        <v>83</v>
      </c>
      <c r="C913">
        <v>2026</v>
      </c>
      <c r="D913" t="s">
        <v>17</v>
      </c>
      <c r="E913" t="s">
        <v>2</v>
      </c>
      <c r="F913">
        <v>869982.55</v>
      </c>
      <c r="G913" t="s">
        <v>36</v>
      </c>
      <c r="H913" t="s">
        <v>83</v>
      </c>
    </row>
    <row r="914" spans="1:8" x14ac:dyDescent="0.3">
      <c r="A914" t="s">
        <v>1328</v>
      </c>
      <c r="B914" t="s">
        <v>83</v>
      </c>
      <c r="C914">
        <v>2026</v>
      </c>
      <c r="D914" t="s">
        <v>17</v>
      </c>
      <c r="E914" t="s">
        <v>1</v>
      </c>
      <c r="F914">
        <v>11060.410057012534</v>
      </c>
      <c r="G914" t="s">
        <v>30</v>
      </c>
      <c r="H914" t="s">
        <v>83</v>
      </c>
    </row>
    <row r="915" spans="1:8" x14ac:dyDescent="0.3">
      <c r="A915" t="s">
        <v>1329</v>
      </c>
      <c r="B915" t="s">
        <v>83</v>
      </c>
      <c r="C915">
        <v>2026</v>
      </c>
      <c r="D915" t="s">
        <v>17</v>
      </c>
      <c r="E915" t="s">
        <v>1</v>
      </c>
      <c r="F915">
        <v>877</v>
      </c>
      <c r="G915" t="s">
        <v>54</v>
      </c>
      <c r="H915" t="s">
        <v>83</v>
      </c>
    </row>
    <row r="916" spans="1:8" x14ac:dyDescent="0.3">
      <c r="A916" t="s">
        <v>1330</v>
      </c>
      <c r="B916" t="s">
        <v>83</v>
      </c>
      <c r="C916">
        <v>2026</v>
      </c>
      <c r="D916" t="s">
        <v>17</v>
      </c>
      <c r="E916" t="s">
        <v>1</v>
      </c>
      <c r="F916">
        <v>9699979.6199999936</v>
      </c>
      <c r="G916" t="s">
        <v>36</v>
      </c>
      <c r="H916" t="s">
        <v>83</v>
      </c>
    </row>
    <row r="917" spans="1:8" x14ac:dyDescent="0.3">
      <c r="A917" t="s">
        <v>1331</v>
      </c>
      <c r="B917" t="s">
        <v>83</v>
      </c>
      <c r="C917">
        <v>2026</v>
      </c>
      <c r="D917" t="s">
        <v>17</v>
      </c>
      <c r="E917" t="s">
        <v>4</v>
      </c>
      <c r="F917">
        <v>10511.846605222729</v>
      </c>
      <c r="G917" t="s">
        <v>30</v>
      </c>
      <c r="H917" t="s">
        <v>83</v>
      </c>
    </row>
    <row r="918" spans="1:8" x14ac:dyDescent="0.3">
      <c r="A918" t="s">
        <v>1332</v>
      </c>
      <c r="B918" t="s">
        <v>83</v>
      </c>
      <c r="C918">
        <v>2026</v>
      </c>
      <c r="D918" t="s">
        <v>17</v>
      </c>
      <c r="E918" t="s">
        <v>4</v>
      </c>
      <c r="F918">
        <v>1302</v>
      </c>
      <c r="G918" t="s">
        <v>54</v>
      </c>
      <c r="H918" t="s">
        <v>83</v>
      </c>
    </row>
    <row r="919" spans="1:8" x14ac:dyDescent="0.3">
      <c r="A919" t="s">
        <v>1333</v>
      </c>
      <c r="B919" t="s">
        <v>83</v>
      </c>
      <c r="C919">
        <v>2026</v>
      </c>
      <c r="D919" t="s">
        <v>17</v>
      </c>
      <c r="E919" t="s">
        <v>4</v>
      </c>
      <c r="F919">
        <v>13686424.279999992</v>
      </c>
      <c r="G919" t="s">
        <v>36</v>
      </c>
      <c r="H919" t="s">
        <v>83</v>
      </c>
    </row>
    <row r="920" spans="1:8" x14ac:dyDescent="0.3">
      <c r="A920" t="s">
        <v>1334</v>
      </c>
      <c r="B920" t="s">
        <v>83</v>
      </c>
      <c r="C920">
        <v>2026</v>
      </c>
      <c r="D920" t="s">
        <v>17</v>
      </c>
      <c r="E920" t="s">
        <v>38</v>
      </c>
      <c r="F920">
        <v>10896.720664335655</v>
      </c>
      <c r="G920" t="s">
        <v>30</v>
      </c>
      <c r="H920" t="s">
        <v>83</v>
      </c>
    </row>
    <row r="921" spans="1:8" x14ac:dyDescent="0.3">
      <c r="A921" t="s">
        <v>1335</v>
      </c>
      <c r="B921" t="s">
        <v>83</v>
      </c>
      <c r="C921">
        <v>2026</v>
      </c>
      <c r="D921" t="s">
        <v>17</v>
      </c>
      <c r="E921" t="s">
        <v>38</v>
      </c>
      <c r="F921">
        <v>286</v>
      </c>
      <c r="G921" t="s">
        <v>54</v>
      </c>
      <c r="H921" t="s">
        <v>83</v>
      </c>
    </row>
    <row r="922" spans="1:8" x14ac:dyDescent="0.3">
      <c r="A922" t="s">
        <v>1336</v>
      </c>
      <c r="B922" t="s">
        <v>83</v>
      </c>
      <c r="C922">
        <v>2026</v>
      </c>
      <c r="D922" t="s">
        <v>17</v>
      </c>
      <c r="E922" t="s">
        <v>38</v>
      </c>
      <c r="F922">
        <v>3116462.1099999971</v>
      </c>
      <c r="G922" t="s">
        <v>36</v>
      </c>
      <c r="H922" t="s">
        <v>83</v>
      </c>
    </row>
    <row r="923" spans="1:8" x14ac:dyDescent="0.3">
      <c r="A923" t="s">
        <v>1340</v>
      </c>
      <c r="B923" t="s">
        <v>84</v>
      </c>
      <c r="C923">
        <v>2026</v>
      </c>
      <c r="D923" t="s">
        <v>26</v>
      </c>
      <c r="E923" t="s">
        <v>63</v>
      </c>
      <c r="F923">
        <v>27393.47</v>
      </c>
      <c r="G923" t="s">
        <v>30</v>
      </c>
      <c r="H923" t="s">
        <v>84</v>
      </c>
    </row>
    <row r="924" spans="1:8" x14ac:dyDescent="0.3">
      <c r="A924" t="s">
        <v>1341</v>
      </c>
      <c r="B924" t="s">
        <v>84</v>
      </c>
      <c r="C924">
        <v>2026</v>
      </c>
      <c r="D924" t="s">
        <v>26</v>
      </c>
      <c r="E924" t="s">
        <v>63</v>
      </c>
      <c r="F924">
        <v>1</v>
      </c>
      <c r="G924" t="s">
        <v>54</v>
      </c>
      <c r="H924" t="s">
        <v>84</v>
      </c>
    </row>
    <row r="925" spans="1:8" x14ac:dyDescent="0.3">
      <c r="A925" t="s">
        <v>1342</v>
      </c>
      <c r="B925" t="s">
        <v>84</v>
      </c>
      <c r="C925">
        <v>2026</v>
      </c>
      <c r="D925" t="s">
        <v>26</v>
      </c>
      <c r="E925" t="s">
        <v>63</v>
      </c>
      <c r="F925">
        <v>27393.47</v>
      </c>
      <c r="G925" t="s">
        <v>36</v>
      </c>
      <c r="H925" t="s">
        <v>84</v>
      </c>
    </row>
    <row r="926" spans="1:8" x14ac:dyDescent="0.3">
      <c r="A926" t="s">
        <v>1343</v>
      </c>
      <c r="B926" t="s">
        <v>84</v>
      </c>
      <c r="C926">
        <v>2026</v>
      </c>
      <c r="D926" t="s">
        <v>26</v>
      </c>
      <c r="E926" t="s">
        <v>3</v>
      </c>
      <c r="F926">
        <v>13700.737931034486</v>
      </c>
      <c r="G926" t="s">
        <v>30</v>
      </c>
      <c r="H926" t="s">
        <v>84</v>
      </c>
    </row>
    <row r="927" spans="1:8" x14ac:dyDescent="0.3">
      <c r="A927" t="s">
        <v>1344</v>
      </c>
      <c r="B927" t="s">
        <v>84</v>
      </c>
      <c r="C927">
        <v>2026</v>
      </c>
      <c r="D927" t="s">
        <v>26</v>
      </c>
      <c r="E927" t="s">
        <v>3</v>
      </c>
      <c r="F927">
        <v>29</v>
      </c>
      <c r="G927" t="s">
        <v>54</v>
      </c>
      <c r="H927" t="s">
        <v>84</v>
      </c>
    </row>
    <row r="928" spans="1:8" x14ac:dyDescent="0.3">
      <c r="A928" t="s">
        <v>1345</v>
      </c>
      <c r="B928" t="s">
        <v>84</v>
      </c>
      <c r="C928">
        <v>2026</v>
      </c>
      <c r="D928" t="s">
        <v>26</v>
      </c>
      <c r="E928" t="s">
        <v>3</v>
      </c>
      <c r="F928">
        <v>397321.40000000008</v>
      </c>
      <c r="G928" t="s">
        <v>36</v>
      </c>
      <c r="H928" t="s">
        <v>84</v>
      </c>
    </row>
    <row r="929" spans="1:8" x14ac:dyDescent="0.3">
      <c r="A929" t="s">
        <v>1346</v>
      </c>
      <c r="B929" t="s">
        <v>84</v>
      </c>
      <c r="C929">
        <v>2026</v>
      </c>
      <c r="D929" t="s">
        <v>26</v>
      </c>
      <c r="E929" t="s">
        <v>2</v>
      </c>
      <c r="F929">
        <v>8978.2231428571376</v>
      </c>
      <c r="G929" t="s">
        <v>30</v>
      </c>
      <c r="H929" t="s">
        <v>84</v>
      </c>
    </row>
    <row r="930" spans="1:8" x14ac:dyDescent="0.3">
      <c r="A930" t="s">
        <v>1347</v>
      </c>
      <c r="B930" t="s">
        <v>84</v>
      </c>
      <c r="C930">
        <v>2026</v>
      </c>
      <c r="D930" t="s">
        <v>26</v>
      </c>
      <c r="E930" t="s">
        <v>2</v>
      </c>
      <c r="F930">
        <v>70</v>
      </c>
      <c r="G930" t="s">
        <v>54</v>
      </c>
      <c r="H930" t="s">
        <v>84</v>
      </c>
    </row>
    <row r="931" spans="1:8" x14ac:dyDescent="0.3">
      <c r="A931" t="s">
        <v>1348</v>
      </c>
      <c r="B931" t="s">
        <v>84</v>
      </c>
      <c r="C931">
        <v>2026</v>
      </c>
      <c r="D931" t="s">
        <v>26</v>
      </c>
      <c r="E931" t="s">
        <v>2</v>
      </c>
      <c r="F931">
        <v>628475.61999999965</v>
      </c>
      <c r="G931" t="s">
        <v>36</v>
      </c>
      <c r="H931" t="s">
        <v>84</v>
      </c>
    </row>
    <row r="932" spans="1:8" x14ac:dyDescent="0.3">
      <c r="A932" t="s">
        <v>1349</v>
      </c>
      <c r="B932" t="s">
        <v>84</v>
      </c>
      <c r="C932">
        <v>2026</v>
      </c>
      <c r="D932" t="s">
        <v>26</v>
      </c>
      <c r="E932" t="s">
        <v>1</v>
      </c>
      <c r="F932">
        <v>12852.192741433031</v>
      </c>
      <c r="G932" t="s">
        <v>30</v>
      </c>
      <c r="H932" t="s">
        <v>84</v>
      </c>
    </row>
    <row r="933" spans="1:8" x14ac:dyDescent="0.3">
      <c r="A933" t="s">
        <v>1350</v>
      </c>
      <c r="B933" t="s">
        <v>84</v>
      </c>
      <c r="C933">
        <v>2026</v>
      </c>
      <c r="D933" t="s">
        <v>26</v>
      </c>
      <c r="E933" t="s">
        <v>1</v>
      </c>
      <c r="F933">
        <v>642</v>
      </c>
      <c r="G933" t="s">
        <v>54</v>
      </c>
      <c r="H933" t="s">
        <v>84</v>
      </c>
    </row>
    <row r="934" spans="1:8" x14ac:dyDescent="0.3">
      <c r="A934" t="s">
        <v>1351</v>
      </c>
      <c r="B934" t="s">
        <v>84</v>
      </c>
      <c r="C934">
        <v>2026</v>
      </c>
      <c r="D934" t="s">
        <v>26</v>
      </c>
      <c r="E934" t="s">
        <v>1</v>
      </c>
      <c r="F934">
        <v>8251107.7400000049</v>
      </c>
      <c r="G934" t="s">
        <v>36</v>
      </c>
      <c r="H934" t="s">
        <v>84</v>
      </c>
    </row>
    <row r="935" spans="1:8" x14ac:dyDescent="0.3">
      <c r="A935" t="s">
        <v>1352</v>
      </c>
      <c r="B935" t="s">
        <v>84</v>
      </c>
      <c r="C935">
        <v>2026</v>
      </c>
      <c r="D935" t="s">
        <v>26</v>
      </c>
      <c r="E935" t="s">
        <v>4</v>
      </c>
      <c r="F935">
        <v>12177.530957290135</v>
      </c>
      <c r="G935" t="s">
        <v>30</v>
      </c>
      <c r="H935" t="s">
        <v>84</v>
      </c>
    </row>
    <row r="936" spans="1:8" x14ac:dyDescent="0.3">
      <c r="A936" t="s">
        <v>1353</v>
      </c>
      <c r="B936" t="s">
        <v>84</v>
      </c>
      <c r="C936">
        <v>2026</v>
      </c>
      <c r="D936" t="s">
        <v>26</v>
      </c>
      <c r="E936" t="s">
        <v>4</v>
      </c>
      <c r="F936">
        <v>1358</v>
      </c>
      <c r="G936" t="s">
        <v>54</v>
      </c>
      <c r="H936" t="s">
        <v>84</v>
      </c>
    </row>
    <row r="937" spans="1:8" x14ac:dyDescent="0.3">
      <c r="A937" t="s">
        <v>1354</v>
      </c>
      <c r="B937" t="s">
        <v>84</v>
      </c>
      <c r="C937">
        <v>2026</v>
      </c>
      <c r="D937" t="s">
        <v>26</v>
      </c>
      <c r="E937" t="s">
        <v>4</v>
      </c>
      <c r="F937">
        <v>16537087.040000005</v>
      </c>
      <c r="G937" t="s">
        <v>36</v>
      </c>
      <c r="H937" t="s">
        <v>84</v>
      </c>
    </row>
    <row r="938" spans="1:8" x14ac:dyDescent="0.3">
      <c r="A938" t="s">
        <v>1355</v>
      </c>
      <c r="B938" t="s">
        <v>84</v>
      </c>
      <c r="C938">
        <v>2026</v>
      </c>
      <c r="D938" t="s">
        <v>26</v>
      </c>
      <c r="E938" t="s">
        <v>38</v>
      </c>
      <c r="F938">
        <v>11741.540275974025</v>
      </c>
      <c r="G938" t="s">
        <v>30</v>
      </c>
      <c r="H938" t="s">
        <v>84</v>
      </c>
    </row>
    <row r="939" spans="1:8" x14ac:dyDescent="0.3">
      <c r="A939" t="s">
        <v>1356</v>
      </c>
      <c r="B939" t="s">
        <v>84</v>
      </c>
      <c r="C939">
        <v>2026</v>
      </c>
      <c r="D939" t="s">
        <v>26</v>
      </c>
      <c r="E939" t="s">
        <v>38</v>
      </c>
      <c r="F939">
        <v>616</v>
      </c>
      <c r="G939" t="s">
        <v>54</v>
      </c>
      <c r="H939" t="s">
        <v>84</v>
      </c>
    </row>
    <row r="940" spans="1:8" x14ac:dyDescent="0.3">
      <c r="A940" t="s">
        <v>1357</v>
      </c>
      <c r="B940" t="s">
        <v>84</v>
      </c>
      <c r="C940">
        <v>2026</v>
      </c>
      <c r="D940" t="s">
        <v>26</v>
      </c>
      <c r="E940" t="s">
        <v>38</v>
      </c>
      <c r="F940">
        <v>7232788.8100000005</v>
      </c>
      <c r="G940" t="s">
        <v>36</v>
      </c>
      <c r="H940" t="s">
        <v>84</v>
      </c>
    </row>
    <row r="941" spans="1:8" x14ac:dyDescent="0.3">
      <c r="A941" t="s">
        <v>1383</v>
      </c>
      <c r="B941" t="s">
        <v>85</v>
      </c>
      <c r="C941">
        <v>2026</v>
      </c>
      <c r="D941" t="s">
        <v>16</v>
      </c>
      <c r="E941" t="s">
        <v>63</v>
      </c>
      <c r="F941">
        <v>7005.9033333333327</v>
      </c>
      <c r="G941" t="s">
        <v>30</v>
      </c>
      <c r="H941" t="s">
        <v>85</v>
      </c>
    </row>
    <row r="942" spans="1:8" x14ac:dyDescent="0.3">
      <c r="A942" t="s">
        <v>1384</v>
      </c>
      <c r="B942" t="s">
        <v>85</v>
      </c>
      <c r="C942">
        <v>2026</v>
      </c>
      <c r="D942" t="s">
        <v>16</v>
      </c>
      <c r="E942" t="s">
        <v>63</v>
      </c>
      <c r="F942">
        <v>3</v>
      </c>
      <c r="G942" t="s">
        <v>54</v>
      </c>
      <c r="H942" t="s">
        <v>85</v>
      </c>
    </row>
    <row r="943" spans="1:8" x14ac:dyDescent="0.3">
      <c r="A943" t="s">
        <v>1385</v>
      </c>
      <c r="B943" t="s">
        <v>85</v>
      </c>
      <c r="C943">
        <v>2026</v>
      </c>
      <c r="D943" t="s">
        <v>16</v>
      </c>
      <c r="E943" t="s">
        <v>63</v>
      </c>
      <c r="F943">
        <v>21017.71</v>
      </c>
      <c r="G943" t="s">
        <v>36</v>
      </c>
      <c r="H943" t="s">
        <v>85</v>
      </c>
    </row>
    <row r="944" spans="1:8" x14ac:dyDescent="0.3">
      <c r="A944" t="s">
        <v>1386</v>
      </c>
      <c r="B944" t="s">
        <v>85</v>
      </c>
      <c r="C944">
        <v>2026</v>
      </c>
      <c r="D944" t="s">
        <v>16</v>
      </c>
      <c r="E944" t="s">
        <v>3</v>
      </c>
      <c r="F944">
        <v>15153.207058823527</v>
      </c>
      <c r="G944" t="s">
        <v>30</v>
      </c>
      <c r="H944" t="s">
        <v>85</v>
      </c>
    </row>
    <row r="945" spans="1:8" x14ac:dyDescent="0.3">
      <c r="A945" t="s">
        <v>1387</v>
      </c>
      <c r="B945" t="s">
        <v>85</v>
      </c>
      <c r="C945">
        <v>2026</v>
      </c>
      <c r="D945" t="s">
        <v>16</v>
      </c>
      <c r="E945" t="s">
        <v>3</v>
      </c>
      <c r="F945">
        <v>17</v>
      </c>
      <c r="G945" t="s">
        <v>54</v>
      </c>
      <c r="H945" t="s">
        <v>85</v>
      </c>
    </row>
    <row r="946" spans="1:8" x14ac:dyDescent="0.3">
      <c r="A946" t="s">
        <v>1388</v>
      </c>
      <c r="B946" t="s">
        <v>85</v>
      </c>
      <c r="C946">
        <v>2026</v>
      </c>
      <c r="D946" t="s">
        <v>16</v>
      </c>
      <c r="E946" t="s">
        <v>3</v>
      </c>
      <c r="F946">
        <v>257604.51999999996</v>
      </c>
      <c r="G946" t="s">
        <v>36</v>
      </c>
      <c r="H946" t="s">
        <v>85</v>
      </c>
    </row>
    <row r="947" spans="1:8" x14ac:dyDescent="0.3">
      <c r="A947" t="s">
        <v>1389</v>
      </c>
      <c r="B947" t="s">
        <v>85</v>
      </c>
      <c r="C947">
        <v>2026</v>
      </c>
      <c r="D947" t="s">
        <v>16</v>
      </c>
      <c r="E947" t="s">
        <v>2</v>
      </c>
      <c r="F947">
        <v>9647.6712068965535</v>
      </c>
      <c r="G947" t="s">
        <v>30</v>
      </c>
      <c r="H947" t="s">
        <v>85</v>
      </c>
    </row>
    <row r="948" spans="1:8" x14ac:dyDescent="0.3">
      <c r="A948" t="s">
        <v>1390</v>
      </c>
      <c r="B948" t="s">
        <v>85</v>
      </c>
      <c r="C948">
        <v>2026</v>
      </c>
      <c r="D948" t="s">
        <v>16</v>
      </c>
      <c r="E948" t="s">
        <v>2</v>
      </c>
      <c r="F948">
        <v>116</v>
      </c>
      <c r="G948" t="s">
        <v>54</v>
      </c>
      <c r="H948" t="s">
        <v>85</v>
      </c>
    </row>
    <row r="949" spans="1:8" x14ac:dyDescent="0.3">
      <c r="A949" t="s">
        <v>1391</v>
      </c>
      <c r="B949" t="s">
        <v>85</v>
      </c>
      <c r="C949">
        <v>2026</v>
      </c>
      <c r="D949" t="s">
        <v>16</v>
      </c>
      <c r="E949" t="s">
        <v>2</v>
      </c>
      <c r="F949">
        <v>1119129.8600000001</v>
      </c>
      <c r="G949" t="s">
        <v>36</v>
      </c>
      <c r="H949" t="s">
        <v>85</v>
      </c>
    </row>
    <row r="950" spans="1:8" x14ac:dyDescent="0.3">
      <c r="A950" t="s">
        <v>1392</v>
      </c>
      <c r="B950" t="s">
        <v>85</v>
      </c>
      <c r="C950">
        <v>2026</v>
      </c>
      <c r="D950" t="s">
        <v>16</v>
      </c>
      <c r="E950" t="s">
        <v>1</v>
      </c>
      <c r="F950">
        <v>13431.192255319138</v>
      </c>
      <c r="G950" t="s">
        <v>30</v>
      </c>
      <c r="H950" t="s">
        <v>85</v>
      </c>
    </row>
    <row r="951" spans="1:8" x14ac:dyDescent="0.3">
      <c r="A951" t="s">
        <v>1393</v>
      </c>
      <c r="B951" t="s">
        <v>85</v>
      </c>
      <c r="C951">
        <v>2026</v>
      </c>
      <c r="D951" t="s">
        <v>16</v>
      </c>
      <c r="E951" t="s">
        <v>1</v>
      </c>
      <c r="F951">
        <v>705</v>
      </c>
      <c r="G951" t="s">
        <v>54</v>
      </c>
      <c r="H951" t="s">
        <v>85</v>
      </c>
    </row>
    <row r="952" spans="1:8" x14ac:dyDescent="0.3">
      <c r="A952" t="s">
        <v>1394</v>
      </c>
      <c r="B952" t="s">
        <v>85</v>
      </c>
      <c r="C952">
        <v>2026</v>
      </c>
      <c r="D952" t="s">
        <v>16</v>
      </c>
      <c r="E952" t="s">
        <v>1</v>
      </c>
      <c r="F952">
        <v>9468990.5399999917</v>
      </c>
      <c r="G952" t="s">
        <v>36</v>
      </c>
      <c r="H952" t="s">
        <v>85</v>
      </c>
    </row>
    <row r="953" spans="1:8" x14ac:dyDescent="0.3">
      <c r="A953" t="s">
        <v>1395</v>
      </c>
      <c r="B953" t="s">
        <v>85</v>
      </c>
      <c r="C953">
        <v>2026</v>
      </c>
      <c r="D953" t="s">
        <v>16</v>
      </c>
      <c r="E953" t="s">
        <v>4</v>
      </c>
      <c r="F953">
        <v>12340.98794539249</v>
      </c>
      <c r="G953" t="s">
        <v>30</v>
      </c>
      <c r="H953" t="s">
        <v>85</v>
      </c>
    </row>
    <row r="954" spans="1:8" x14ac:dyDescent="0.3">
      <c r="A954" t="s">
        <v>1396</v>
      </c>
      <c r="B954" t="s">
        <v>85</v>
      </c>
      <c r="C954">
        <v>2026</v>
      </c>
      <c r="D954" t="s">
        <v>16</v>
      </c>
      <c r="E954" t="s">
        <v>4</v>
      </c>
      <c r="F954">
        <v>1465</v>
      </c>
      <c r="G954" t="s">
        <v>54</v>
      </c>
      <c r="H954" t="s">
        <v>85</v>
      </c>
    </row>
    <row r="955" spans="1:8" x14ac:dyDescent="0.3">
      <c r="A955" t="s">
        <v>1397</v>
      </c>
      <c r="B955" t="s">
        <v>85</v>
      </c>
      <c r="C955">
        <v>2026</v>
      </c>
      <c r="D955" t="s">
        <v>16</v>
      </c>
      <c r="E955" t="s">
        <v>4</v>
      </c>
      <c r="F955">
        <v>18079547.339999996</v>
      </c>
      <c r="G955" t="s">
        <v>36</v>
      </c>
      <c r="H955" t="s">
        <v>85</v>
      </c>
    </row>
    <row r="956" spans="1:8" x14ac:dyDescent="0.3">
      <c r="A956" t="s">
        <v>1398</v>
      </c>
      <c r="B956" t="s">
        <v>85</v>
      </c>
      <c r="C956">
        <v>2026</v>
      </c>
      <c r="D956" t="s">
        <v>16</v>
      </c>
      <c r="E956" t="s">
        <v>38</v>
      </c>
      <c r="F956">
        <v>11558.981907051284</v>
      </c>
      <c r="G956" t="s">
        <v>30</v>
      </c>
      <c r="H956" t="s">
        <v>85</v>
      </c>
    </row>
    <row r="957" spans="1:8" x14ac:dyDescent="0.3">
      <c r="A957" t="s">
        <v>1399</v>
      </c>
      <c r="B957" t="s">
        <v>85</v>
      </c>
      <c r="C957">
        <v>2026</v>
      </c>
      <c r="D957" t="s">
        <v>16</v>
      </c>
      <c r="E957" t="s">
        <v>38</v>
      </c>
      <c r="F957">
        <v>624</v>
      </c>
      <c r="G957" t="s">
        <v>54</v>
      </c>
      <c r="H957" t="s">
        <v>85</v>
      </c>
    </row>
    <row r="958" spans="1:8" x14ac:dyDescent="0.3">
      <c r="A958" t="s">
        <v>1400</v>
      </c>
      <c r="B958" t="s">
        <v>85</v>
      </c>
      <c r="C958">
        <v>2026</v>
      </c>
      <c r="D958" t="s">
        <v>16</v>
      </c>
      <c r="E958" t="s">
        <v>38</v>
      </c>
      <c r="F958">
        <v>7212804.7100000037</v>
      </c>
      <c r="G958" t="s">
        <v>36</v>
      </c>
      <c r="H958" t="s">
        <v>85</v>
      </c>
    </row>
    <row r="959" spans="1:8" x14ac:dyDescent="0.3">
      <c r="A959" t="s">
        <v>1404</v>
      </c>
      <c r="B959" t="s">
        <v>86</v>
      </c>
      <c r="C959">
        <v>2026</v>
      </c>
      <c r="D959" t="s">
        <v>8</v>
      </c>
      <c r="E959" t="s">
        <v>63</v>
      </c>
      <c r="F959">
        <v>14298.262142857142</v>
      </c>
      <c r="G959" t="s">
        <v>30</v>
      </c>
      <c r="H959" t="s">
        <v>86</v>
      </c>
    </row>
    <row r="960" spans="1:8" x14ac:dyDescent="0.3">
      <c r="A960" t="s">
        <v>1405</v>
      </c>
      <c r="B960" t="s">
        <v>86</v>
      </c>
      <c r="C960">
        <v>2026</v>
      </c>
      <c r="D960" t="s">
        <v>8</v>
      </c>
      <c r="E960" t="s">
        <v>63</v>
      </c>
      <c r="F960">
        <v>14</v>
      </c>
      <c r="G960" t="s">
        <v>54</v>
      </c>
      <c r="H960" t="s">
        <v>86</v>
      </c>
    </row>
    <row r="961" spans="1:8" x14ac:dyDescent="0.3">
      <c r="A961" t="s">
        <v>1406</v>
      </c>
      <c r="B961" t="s">
        <v>86</v>
      </c>
      <c r="C961">
        <v>2026</v>
      </c>
      <c r="D961" t="s">
        <v>8</v>
      </c>
      <c r="E961" t="s">
        <v>63</v>
      </c>
      <c r="F961">
        <v>200175.66999999998</v>
      </c>
      <c r="G961" t="s">
        <v>36</v>
      </c>
      <c r="H961" t="s">
        <v>86</v>
      </c>
    </row>
    <row r="962" spans="1:8" x14ac:dyDescent="0.3">
      <c r="A962" t="s">
        <v>1407</v>
      </c>
      <c r="B962" t="s">
        <v>86</v>
      </c>
      <c r="C962">
        <v>2026</v>
      </c>
      <c r="D962" t="s">
        <v>8</v>
      </c>
      <c r="E962" t="s">
        <v>3</v>
      </c>
      <c r="F962">
        <v>10080.752500000001</v>
      </c>
      <c r="G962" t="s">
        <v>30</v>
      </c>
      <c r="H962" t="s">
        <v>86</v>
      </c>
    </row>
    <row r="963" spans="1:8" x14ac:dyDescent="0.3">
      <c r="A963" t="s">
        <v>1408</v>
      </c>
      <c r="B963" t="s">
        <v>86</v>
      </c>
      <c r="C963">
        <v>2026</v>
      </c>
      <c r="D963" t="s">
        <v>8</v>
      </c>
      <c r="E963" t="s">
        <v>3</v>
      </c>
      <c r="F963">
        <v>8</v>
      </c>
      <c r="G963" t="s">
        <v>54</v>
      </c>
      <c r="H963" t="s">
        <v>86</v>
      </c>
    </row>
    <row r="964" spans="1:8" x14ac:dyDescent="0.3">
      <c r="A964" t="s">
        <v>1409</v>
      </c>
      <c r="B964" t="s">
        <v>86</v>
      </c>
      <c r="C964">
        <v>2026</v>
      </c>
      <c r="D964" t="s">
        <v>8</v>
      </c>
      <c r="E964" t="s">
        <v>3</v>
      </c>
      <c r="F964">
        <v>80646.01999999999</v>
      </c>
      <c r="G964" t="s">
        <v>36</v>
      </c>
      <c r="H964" t="s">
        <v>86</v>
      </c>
    </row>
    <row r="965" spans="1:8" x14ac:dyDescent="0.3">
      <c r="A965" t="s">
        <v>1410</v>
      </c>
      <c r="B965" t="s">
        <v>86</v>
      </c>
      <c r="C965">
        <v>2026</v>
      </c>
      <c r="D965" t="s">
        <v>8</v>
      </c>
      <c r="E965" t="s">
        <v>2</v>
      </c>
      <c r="F965">
        <v>9640.1998360655725</v>
      </c>
      <c r="G965" t="s">
        <v>30</v>
      </c>
      <c r="H965" t="s">
        <v>86</v>
      </c>
    </row>
    <row r="966" spans="1:8" x14ac:dyDescent="0.3">
      <c r="A966" t="s">
        <v>1411</v>
      </c>
      <c r="B966" t="s">
        <v>86</v>
      </c>
      <c r="C966">
        <v>2026</v>
      </c>
      <c r="D966" t="s">
        <v>8</v>
      </c>
      <c r="E966" t="s">
        <v>2</v>
      </c>
      <c r="F966">
        <v>122</v>
      </c>
      <c r="G966" t="s">
        <v>54</v>
      </c>
      <c r="H966" t="s">
        <v>86</v>
      </c>
    </row>
    <row r="967" spans="1:8" x14ac:dyDescent="0.3">
      <c r="A967" t="s">
        <v>1412</v>
      </c>
      <c r="B967" t="s">
        <v>86</v>
      </c>
      <c r="C967">
        <v>2026</v>
      </c>
      <c r="D967" t="s">
        <v>8</v>
      </c>
      <c r="E967" t="s">
        <v>2</v>
      </c>
      <c r="F967">
        <v>1176104.3799999999</v>
      </c>
      <c r="G967" t="s">
        <v>36</v>
      </c>
      <c r="H967" t="s">
        <v>86</v>
      </c>
    </row>
    <row r="968" spans="1:8" x14ac:dyDescent="0.3">
      <c r="A968" t="s">
        <v>1413</v>
      </c>
      <c r="B968" t="s">
        <v>86</v>
      </c>
      <c r="C968">
        <v>2026</v>
      </c>
      <c r="D968" t="s">
        <v>8</v>
      </c>
      <c r="E968" t="s">
        <v>1</v>
      </c>
      <c r="F968">
        <v>13595.440176817287</v>
      </c>
      <c r="G968" t="s">
        <v>30</v>
      </c>
      <c r="H968" t="s">
        <v>86</v>
      </c>
    </row>
    <row r="969" spans="1:8" x14ac:dyDescent="0.3">
      <c r="A969" t="s">
        <v>1414</v>
      </c>
      <c r="B969" t="s">
        <v>86</v>
      </c>
      <c r="C969">
        <v>2026</v>
      </c>
      <c r="D969" t="s">
        <v>8</v>
      </c>
      <c r="E969" t="s">
        <v>1</v>
      </c>
      <c r="F969">
        <v>509</v>
      </c>
      <c r="G969" t="s">
        <v>54</v>
      </c>
      <c r="H969" t="s">
        <v>86</v>
      </c>
    </row>
    <row r="970" spans="1:8" x14ac:dyDescent="0.3">
      <c r="A970" t="s">
        <v>1415</v>
      </c>
      <c r="B970" t="s">
        <v>86</v>
      </c>
      <c r="C970">
        <v>2026</v>
      </c>
      <c r="D970" t="s">
        <v>8</v>
      </c>
      <c r="E970" t="s">
        <v>1</v>
      </c>
      <c r="F970">
        <v>6920079.0499999998</v>
      </c>
      <c r="G970" t="s">
        <v>36</v>
      </c>
      <c r="H970" t="s">
        <v>86</v>
      </c>
    </row>
    <row r="971" spans="1:8" x14ac:dyDescent="0.3">
      <c r="A971" t="s">
        <v>1416</v>
      </c>
      <c r="B971" t="s">
        <v>86</v>
      </c>
      <c r="C971">
        <v>2026</v>
      </c>
      <c r="D971" t="s">
        <v>8</v>
      </c>
      <c r="E971" t="s">
        <v>4</v>
      </c>
      <c r="F971">
        <v>12496.608048780479</v>
      </c>
      <c r="G971" t="s">
        <v>30</v>
      </c>
      <c r="H971" t="s">
        <v>86</v>
      </c>
    </row>
    <row r="972" spans="1:8" x14ac:dyDescent="0.3">
      <c r="A972" t="s">
        <v>1417</v>
      </c>
      <c r="B972" t="s">
        <v>86</v>
      </c>
      <c r="C972">
        <v>2026</v>
      </c>
      <c r="D972" t="s">
        <v>8</v>
      </c>
      <c r="E972" t="s">
        <v>4</v>
      </c>
      <c r="F972">
        <v>1230</v>
      </c>
      <c r="G972" t="s">
        <v>54</v>
      </c>
      <c r="H972" t="s">
        <v>86</v>
      </c>
    </row>
    <row r="973" spans="1:8" x14ac:dyDescent="0.3">
      <c r="A973" t="s">
        <v>1418</v>
      </c>
      <c r="B973" t="s">
        <v>86</v>
      </c>
      <c r="C973">
        <v>2026</v>
      </c>
      <c r="D973" t="s">
        <v>8</v>
      </c>
      <c r="E973" t="s">
        <v>4</v>
      </c>
      <c r="F973">
        <v>15370827.899999989</v>
      </c>
      <c r="G973" t="s">
        <v>36</v>
      </c>
      <c r="H973" t="s">
        <v>86</v>
      </c>
    </row>
    <row r="974" spans="1:8" x14ac:dyDescent="0.3">
      <c r="A974" t="s">
        <v>1419</v>
      </c>
      <c r="B974" t="s">
        <v>86</v>
      </c>
      <c r="C974">
        <v>2026</v>
      </c>
      <c r="D974" t="s">
        <v>8</v>
      </c>
      <c r="E974" t="s">
        <v>38</v>
      </c>
      <c r="F974">
        <v>12121.010017331007</v>
      </c>
      <c r="G974" t="s">
        <v>30</v>
      </c>
      <c r="H974" t="s">
        <v>86</v>
      </c>
    </row>
    <row r="975" spans="1:8" x14ac:dyDescent="0.3">
      <c r="A975" t="s">
        <v>1420</v>
      </c>
      <c r="B975" t="s">
        <v>86</v>
      </c>
      <c r="C975">
        <v>2026</v>
      </c>
      <c r="D975" t="s">
        <v>8</v>
      </c>
      <c r="E975" t="s">
        <v>38</v>
      </c>
      <c r="F975">
        <v>577</v>
      </c>
      <c r="G975" t="s">
        <v>54</v>
      </c>
      <c r="H975" t="s">
        <v>86</v>
      </c>
    </row>
    <row r="976" spans="1:8" x14ac:dyDescent="0.3">
      <c r="A976" t="s">
        <v>1421</v>
      </c>
      <c r="B976" t="s">
        <v>86</v>
      </c>
      <c r="C976">
        <v>2026</v>
      </c>
      <c r="D976" t="s">
        <v>8</v>
      </c>
      <c r="E976" t="s">
        <v>38</v>
      </c>
      <c r="F976">
        <v>6993822.77999999</v>
      </c>
      <c r="G976" t="s">
        <v>36</v>
      </c>
      <c r="H976" t="s">
        <v>86</v>
      </c>
    </row>
    <row r="977" spans="1:8" x14ac:dyDescent="0.3">
      <c r="A977" t="s">
        <v>1431</v>
      </c>
      <c r="B977" t="s">
        <v>87</v>
      </c>
      <c r="C977">
        <v>2026</v>
      </c>
      <c r="D977" t="s">
        <v>15</v>
      </c>
      <c r="E977" t="s">
        <v>2</v>
      </c>
      <c r="F977">
        <v>5824.2336065573782</v>
      </c>
      <c r="G977" t="s">
        <v>30</v>
      </c>
      <c r="H977" t="s">
        <v>87</v>
      </c>
    </row>
    <row r="978" spans="1:8" x14ac:dyDescent="0.3">
      <c r="A978" t="s">
        <v>1432</v>
      </c>
      <c r="B978" t="s">
        <v>87</v>
      </c>
      <c r="C978">
        <v>2026</v>
      </c>
      <c r="D978" t="s">
        <v>15</v>
      </c>
      <c r="E978" t="s">
        <v>2</v>
      </c>
      <c r="F978">
        <v>183</v>
      </c>
      <c r="G978" t="s">
        <v>54</v>
      </c>
      <c r="H978" t="s">
        <v>87</v>
      </c>
    </row>
    <row r="979" spans="1:8" x14ac:dyDescent="0.3">
      <c r="A979" t="s">
        <v>1433</v>
      </c>
      <c r="B979" t="s">
        <v>87</v>
      </c>
      <c r="C979">
        <v>2026</v>
      </c>
      <c r="D979" t="s">
        <v>15</v>
      </c>
      <c r="E979" t="s">
        <v>2</v>
      </c>
      <c r="F979">
        <v>1065834.75</v>
      </c>
      <c r="G979" t="s">
        <v>36</v>
      </c>
      <c r="H979" t="s">
        <v>87</v>
      </c>
    </row>
    <row r="980" spans="1:8" x14ac:dyDescent="0.3">
      <c r="A980" t="s">
        <v>1434</v>
      </c>
      <c r="B980" t="s">
        <v>87</v>
      </c>
      <c r="C980">
        <v>2026</v>
      </c>
      <c r="D980" t="s">
        <v>15</v>
      </c>
      <c r="E980" t="s">
        <v>1</v>
      </c>
      <c r="F980">
        <v>12022.41838308456</v>
      </c>
      <c r="G980" t="s">
        <v>30</v>
      </c>
      <c r="H980" t="s">
        <v>87</v>
      </c>
    </row>
    <row r="981" spans="1:8" x14ac:dyDescent="0.3">
      <c r="A981" t="s">
        <v>1435</v>
      </c>
      <c r="B981" t="s">
        <v>87</v>
      </c>
      <c r="C981">
        <v>2026</v>
      </c>
      <c r="D981" t="s">
        <v>15</v>
      </c>
      <c r="E981" t="s">
        <v>1</v>
      </c>
      <c r="F981">
        <v>1206</v>
      </c>
      <c r="G981" t="s">
        <v>54</v>
      </c>
      <c r="H981" t="s">
        <v>87</v>
      </c>
    </row>
    <row r="982" spans="1:8" x14ac:dyDescent="0.3">
      <c r="A982" t="s">
        <v>1436</v>
      </c>
      <c r="B982" t="s">
        <v>87</v>
      </c>
      <c r="C982">
        <v>2026</v>
      </c>
      <c r="D982" t="s">
        <v>15</v>
      </c>
      <c r="E982" t="s">
        <v>1</v>
      </c>
      <c r="F982">
        <v>14499036.569999976</v>
      </c>
      <c r="G982" t="s">
        <v>36</v>
      </c>
      <c r="H982" t="s">
        <v>87</v>
      </c>
    </row>
    <row r="983" spans="1:8" x14ac:dyDescent="0.3">
      <c r="A983" t="s">
        <v>1437</v>
      </c>
      <c r="B983" t="s">
        <v>87</v>
      </c>
      <c r="C983">
        <v>2026</v>
      </c>
      <c r="D983" t="s">
        <v>15</v>
      </c>
      <c r="E983" t="s">
        <v>4</v>
      </c>
      <c r="F983">
        <v>11348.164181818167</v>
      </c>
      <c r="G983" t="s">
        <v>30</v>
      </c>
      <c r="H983" t="s">
        <v>87</v>
      </c>
    </row>
    <row r="984" spans="1:8" x14ac:dyDescent="0.3">
      <c r="A984" t="s">
        <v>1438</v>
      </c>
      <c r="B984" t="s">
        <v>87</v>
      </c>
      <c r="C984">
        <v>2026</v>
      </c>
      <c r="D984" t="s">
        <v>15</v>
      </c>
      <c r="E984" t="s">
        <v>4</v>
      </c>
      <c r="F984">
        <v>1595</v>
      </c>
      <c r="G984" t="s">
        <v>54</v>
      </c>
      <c r="H984" t="s">
        <v>87</v>
      </c>
    </row>
    <row r="985" spans="1:8" x14ac:dyDescent="0.3">
      <c r="A985" t="s">
        <v>1439</v>
      </c>
      <c r="B985" t="s">
        <v>87</v>
      </c>
      <c r="C985">
        <v>2026</v>
      </c>
      <c r="D985" t="s">
        <v>15</v>
      </c>
      <c r="E985" t="s">
        <v>4</v>
      </c>
      <c r="F985">
        <v>18100321.869999975</v>
      </c>
      <c r="G985" t="s">
        <v>36</v>
      </c>
      <c r="H985" t="s">
        <v>87</v>
      </c>
    </row>
    <row r="986" spans="1:8" x14ac:dyDescent="0.3">
      <c r="A986" t="s">
        <v>1440</v>
      </c>
      <c r="B986" t="s">
        <v>87</v>
      </c>
      <c r="C986">
        <v>2026</v>
      </c>
      <c r="D986" t="s">
        <v>15</v>
      </c>
      <c r="E986" t="s">
        <v>38</v>
      </c>
      <c r="F986">
        <v>12308.012378640773</v>
      </c>
      <c r="G986" t="s">
        <v>30</v>
      </c>
      <c r="H986" t="s">
        <v>87</v>
      </c>
    </row>
    <row r="987" spans="1:8" x14ac:dyDescent="0.3">
      <c r="A987" t="s">
        <v>1441</v>
      </c>
      <c r="B987" t="s">
        <v>87</v>
      </c>
      <c r="C987">
        <v>2026</v>
      </c>
      <c r="D987" t="s">
        <v>15</v>
      </c>
      <c r="E987" t="s">
        <v>38</v>
      </c>
      <c r="F987">
        <v>206</v>
      </c>
      <c r="G987" t="s">
        <v>54</v>
      </c>
      <c r="H987" t="s">
        <v>87</v>
      </c>
    </row>
    <row r="988" spans="1:8" x14ac:dyDescent="0.3">
      <c r="A988" t="s">
        <v>1442</v>
      </c>
      <c r="B988" t="s">
        <v>87</v>
      </c>
      <c r="C988">
        <v>2026</v>
      </c>
      <c r="D988" t="s">
        <v>15</v>
      </c>
      <c r="E988" t="s">
        <v>38</v>
      </c>
      <c r="F988">
        <v>2535450.5499999998</v>
      </c>
      <c r="G988" t="s">
        <v>36</v>
      </c>
      <c r="H988" t="s">
        <v>87</v>
      </c>
    </row>
    <row r="989" spans="1:8" x14ac:dyDescent="0.3">
      <c r="A989" t="s">
        <v>1454</v>
      </c>
      <c r="B989" t="s">
        <v>1444</v>
      </c>
      <c r="C989">
        <v>2026</v>
      </c>
      <c r="D989" t="s">
        <v>1445</v>
      </c>
      <c r="E989" t="s">
        <v>2</v>
      </c>
      <c r="F989">
        <v>5436.1437857142837</v>
      </c>
      <c r="G989" t="s">
        <v>30</v>
      </c>
      <c r="H989" t="s">
        <v>1444</v>
      </c>
    </row>
    <row r="990" spans="1:8" x14ac:dyDescent="0.3">
      <c r="A990" t="s">
        <v>1455</v>
      </c>
      <c r="B990" t="s">
        <v>1444</v>
      </c>
      <c r="C990">
        <v>2026</v>
      </c>
      <c r="D990" t="s">
        <v>1445</v>
      </c>
      <c r="E990" t="s">
        <v>2</v>
      </c>
      <c r="F990">
        <v>140</v>
      </c>
      <c r="G990" t="s">
        <v>54</v>
      </c>
      <c r="H990" t="s">
        <v>1444</v>
      </c>
    </row>
    <row r="991" spans="1:8" x14ac:dyDescent="0.3">
      <c r="A991" t="s">
        <v>1456</v>
      </c>
      <c r="B991" t="s">
        <v>1444</v>
      </c>
      <c r="C991">
        <v>2026</v>
      </c>
      <c r="D991" t="s">
        <v>1445</v>
      </c>
      <c r="E991" t="s">
        <v>2</v>
      </c>
      <c r="F991">
        <v>761060.12999999989</v>
      </c>
      <c r="G991" t="s">
        <v>36</v>
      </c>
      <c r="H991" t="s">
        <v>1444</v>
      </c>
    </row>
    <row r="992" spans="1:8" x14ac:dyDescent="0.3">
      <c r="A992" t="s">
        <v>1457</v>
      </c>
      <c r="B992" t="s">
        <v>1444</v>
      </c>
      <c r="C992">
        <v>2026</v>
      </c>
      <c r="D992" t="s">
        <v>1445</v>
      </c>
      <c r="E992" t="s">
        <v>1</v>
      </c>
      <c r="F992">
        <v>10493.073979885052</v>
      </c>
      <c r="G992" t="s">
        <v>30</v>
      </c>
      <c r="H992" t="s">
        <v>1444</v>
      </c>
    </row>
    <row r="993" spans="1:8" x14ac:dyDescent="0.3">
      <c r="A993" t="s">
        <v>1458</v>
      </c>
      <c r="B993" t="s">
        <v>1444</v>
      </c>
      <c r="C993">
        <v>2026</v>
      </c>
      <c r="D993" t="s">
        <v>1445</v>
      </c>
      <c r="E993" t="s">
        <v>1</v>
      </c>
      <c r="F993">
        <v>696</v>
      </c>
      <c r="G993" t="s">
        <v>54</v>
      </c>
      <c r="H993" t="s">
        <v>1444</v>
      </c>
    </row>
    <row r="994" spans="1:8" x14ac:dyDescent="0.3">
      <c r="A994" t="s">
        <v>1459</v>
      </c>
      <c r="B994" t="s">
        <v>1444</v>
      </c>
      <c r="C994">
        <v>2026</v>
      </c>
      <c r="D994" t="s">
        <v>1445</v>
      </c>
      <c r="E994" t="s">
        <v>1</v>
      </c>
      <c r="F994">
        <v>7303179.4899999984</v>
      </c>
      <c r="G994" t="s">
        <v>36</v>
      </c>
      <c r="H994" t="s">
        <v>1444</v>
      </c>
    </row>
    <row r="995" spans="1:8" x14ac:dyDescent="0.3">
      <c r="A995" t="s">
        <v>1460</v>
      </c>
      <c r="B995" t="s">
        <v>1444</v>
      </c>
      <c r="C995">
        <v>2026</v>
      </c>
      <c r="D995" t="s">
        <v>1445</v>
      </c>
      <c r="E995" t="s">
        <v>4</v>
      </c>
      <c r="F995">
        <v>9646.2196411483237</v>
      </c>
      <c r="G995" t="s">
        <v>30</v>
      </c>
      <c r="H995" t="s">
        <v>1444</v>
      </c>
    </row>
    <row r="996" spans="1:8" x14ac:dyDescent="0.3">
      <c r="A996" t="s">
        <v>1461</v>
      </c>
      <c r="B996" t="s">
        <v>1444</v>
      </c>
      <c r="C996">
        <v>2026</v>
      </c>
      <c r="D996" t="s">
        <v>1445</v>
      </c>
      <c r="E996" t="s">
        <v>4</v>
      </c>
      <c r="F996">
        <v>836</v>
      </c>
      <c r="G996" t="s">
        <v>54</v>
      </c>
      <c r="H996" t="s">
        <v>1444</v>
      </c>
    </row>
    <row r="997" spans="1:8" x14ac:dyDescent="0.3">
      <c r="A997" t="s">
        <v>1462</v>
      </c>
      <c r="B997" t="s">
        <v>1444</v>
      </c>
      <c r="C997">
        <v>2026</v>
      </c>
      <c r="D997" t="s">
        <v>1445</v>
      </c>
      <c r="E997" t="s">
        <v>4</v>
      </c>
      <c r="F997">
        <v>8064239.6199999982</v>
      </c>
      <c r="G997" t="s">
        <v>36</v>
      </c>
      <c r="H997" t="s">
        <v>1444</v>
      </c>
    </row>
    <row r="998" spans="1:8" x14ac:dyDescent="0.3">
      <c r="A998" t="s">
        <v>1477</v>
      </c>
      <c r="B998" t="s">
        <v>1467</v>
      </c>
      <c r="C998">
        <v>2026</v>
      </c>
      <c r="D998" t="s">
        <v>1883</v>
      </c>
      <c r="E998" t="s">
        <v>2</v>
      </c>
      <c r="F998">
        <v>5161.8799999999983</v>
      </c>
      <c r="G998" t="s">
        <v>30</v>
      </c>
      <c r="H998" t="s">
        <v>1467</v>
      </c>
    </row>
    <row r="999" spans="1:8" x14ac:dyDescent="0.3">
      <c r="A999" t="s">
        <v>1478</v>
      </c>
      <c r="B999" t="s">
        <v>1467</v>
      </c>
      <c r="C999">
        <v>2026</v>
      </c>
      <c r="D999" t="s">
        <v>1883</v>
      </c>
      <c r="E999" t="s">
        <v>2</v>
      </c>
      <c r="F999">
        <v>39</v>
      </c>
      <c r="G999" t="s">
        <v>54</v>
      </c>
      <c r="H999" t="s">
        <v>1467</v>
      </c>
    </row>
    <row r="1000" spans="1:8" x14ac:dyDescent="0.3">
      <c r="A1000" t="s">
        <v>1479</v>
      </c>
      <c r="B1000" t="s">
        <v>1467</v>
      </c>
      <c r="C1000">
        <v>2026</v>
      </c>
      <c r="D1000" t="s">
        <v>1883</v>
      </c>
      <c r="E1000" t="s">
        <v>2</v>
      </c>
      <c r="F1000">
        <v>201313.31999999995</v>
      </c>
      <c r="G1000" t="s">
        <v>36</v>
      </c>
      <c r="H1000" t="s">
        <v>1467</v>
      </c>
    </row>
    <row r="1001" spans="1:8" x14ac:dyDescent="0.3">
      <c r="A1001" t="s">
        <v>1480</v>
      </c>
      <c r="B1001" t="s">
        <v>1467</v>
      </c>
      <c r="C1001">
        <v>2026</v>
      </c>
      <c r="D1001" t="s">
        <v>1883</v>
      </c>
      <c r="E1001" t="s">
        <v>1</v>
      </c>
      <c r="F1001">
        <v>11357.670825545169</v>
      </c>
      <c r="G1001" t="s">
        <v>30</v>
      </c>
      <c r="H1001" t="s">
        <v>1467</v>
      </c>
    </row>
    <row r="1002" spans="1:8" x14ac:dyDescent="0.3">
      <c r="A1002" t="s">
        <v>1481</v>
      </c>
      <c r="B1002" t="s">
        <v>1467</v>
      </c>
      <c r="C1002">
        <v>2026</v>
      </c>
      <c r="D1002" t="s">
        <v>1883</v>
      </c>
      <c r="E1002" t="s">
        <v>1</v>
      </c>
      <c r="F1002">
        <v>642</v>
      </c>
      <c r="G1002" t="s">
        <v>54</v>
      </c>
      <c r="H1002" t="s">
        <v>1467</v>
      </c>
    </row>
    <row r="1003" spans="1:8" x14ac:dyDescent="0.3">
      <c r="A1003" t="s">
        <v>1482</v>
      </c>
      <c r="B1003" t="s">
        <v>1467</v>
      </c>
      <c r="C1003">
        <v>2026</v>
      </c>
      <c r="D1003" t="s">
        <v>1883</v>
      </c>
      <c r="E1003" t="s">
        <v>1</v>
      </c>
      <c r="F1003">
        <v>7291624.6699999981</v>
      </c>
      <c r="G1003" t="s">
        <v>36</v>
      </c>
      <c r="H1003" t="s">
        <v>1467</v>
      </c>
    </row>
    <row r="1004" spans="1:8" x14ac:dyDescent="0.3">
      <c r="A1004" t="s">
        <v>1483</v>
      </c>
      <c r="B1004" t="s">
        <v>1467</v>
      </c>
      <c r="C1004">
        <v>2026</v>
      </c>
      <c r="D1004" t="s">
        <v>1883</v>
      </c>
      <c r="E1004" t="s">
        <v>4</v>
      </c>
      <c r="F1004">
        <v>11002.845800293684</v>
      </c>
      <c r="G1004" t="s">
        <v>30</v>
      </c>
      <c r="H1004" t="s">
        <v>1467</v>
      </c>
    </row>
    <row r="1005" spans="1:8" x14ac:dyDescent="0.3">
      <c r="A1005" t="s">
        <v>1484</v>
      </c>
      <c r="B1005" t="s">
        <v>1467</v>
      </c>
      <c r="C1005">
        <v>2026</v>
      </c>
      <c r="D1005" t="s">
        <v>1883</v>
      </c>
      <c r="E1005" t="s">
        <v>4</v>
      </c>
      <c r="F1005">
        <v>681</v>
      </c>
      <c r="G1005" t="s">
        <v>54</v>
      </c>
      <c r="H1005" t="s">
        <v>1467</v>
      </c>
    </row>
    <row r="1006" spans="1:8" x14ac:dyDescent="0.3">
      <c r="A1006" t="s">
        <v>1485</v>
      </c>
      <c r="B1006" t="s">
        <v>1467</v>
      </c>
      <c r="C1006">
        <v>2026</v>
      </c>
      <c r="D1006" t="s">
        <v>1883</v>
      </c>
      <c r="E1006" t="s">
        <v>4</v>
      </c>
      <c r="F1006">
        <v>7492937.9899999984</v>
      </c>
      <c r="G1006" t="s">
        <v>36</v>
      </c>
      <c r="H1006" t="s">
        <v>1467</v>
      </c>
    </row>
    <row r="1007" spans="1:8" x14ac:dyDescent="0.3">
      <c r="A1007" t="s">
        <v>1499</v>
      </c>
      <c r="B1007" t="s">
        <v>88</v>
      </c>
      <c r="C1007">
        <v>2026</v>
      </c>
      <c r="D1007" t="s">
        <v>51</v>
      </c>
      <c r="E1007" t="s">
        <v>2</v>
      </c>
      <c r="F1007">
        <v>5624.4774509803919</v>
      </c>
      <c r="G1007" t="s">
        <v>30</v>
      </c>
      <c r="H1007" t="s">
        <v>88</v>
      </c>
    </row>
    <row r="1008" spans="1:8" x14ac:dyDescent="0.3">
      <c r="A1008" t="s">
        <v>1500</v>
      </c>
      <c r="B1008" t="s">
        <v>88</v>
      </c>
      <c r="C1008">
        <v>2026</v>
      </c>
      <c r="D1008" t="s">
        <v>51</v>
      </c>
      <c r="E1008" t="s">
        <v>2</v>
      </c>
      <c r="F1008">
        <v>102</v>
      </c>
      <c r="G1008" t="s">
        <v>54</v>
      </c>
      <c r="H1008" t="s">
        <v>88</v>
      </c>
    </row>
    <row r="1009" spans="1:8" x14ac:dyDescent="0.3">
      <c r="A1009" t="s">
        <v>1501</v>
      </c>
      <c r="B1009" t="s">
        <v>88</v>
      </c>
      <c r="C1009">
        <v>2026</v>
      </c>
      <c r="D1009" t="s">
        <v>51</v>
      </c>
      <c r="E1009" t="s">
        <v>2</v>
      </c>
      <c r="F1009">
        <v>573696.69999999995</v>
      </c>
      <c r="G1009" t="s">
        <v>36</v>
      </c>
      <c r="H1009" t="s">
        <v>88</v>
      </c>
    </row>
    <row r="1010" spans="1:8" x14ac:dyDescent="0.3">
      <c r="A1010" t="s">
        <v>1502</v>
      </c>
      <c r="B1010" t="s">
        <v>88</v>
      </c>
      <c r="C1010">
        <v>2026</v>
      </c>
      <c r="D1010" t="s">
        <v>51</v>
      </c>
      <c r="E1010" t="s">
        <v>1</v>
      </c>
      <c r="F1010">
        <v>15450.441289719651</v>
      </c>
      <c r="G1010" t="s">
        <v>30</v>
      </c>
      <c r="H1010" t="s">
        <v>88</v>
      </c>
    </row>
    <row r="1011" spans="1:8" x14ac:dyDescent="0.3">
      <c r="A1011" t="s">
        <v>1503</v>
      </c>
      <c r="B1011" t="s">
        <v>88</v>
      </c>
      <c r="C1011">
        <v>2026</v>
      </c>
      <c r="D1011" t="s">
        <v>51</v>
      </c>
      <c r="E1011" t="s">
        <v>1</v>
      </c>
      <c r="F1011">
        <v>1070</v>
      </c>
      <c r="G1011" t="s">
        <v>54</v>
      </c>
      <c r="H1011" t="s">
        <v>88</v>
      </c>
    </row>
    <row r="1012" spans="1:8" x14ac:dyDescent="0.3">
      <c r="A1012" t="s">
        <v>1504</v>
      </c>
      <c r="B1012" t="s">
        <v>88</v>
      </c>
      <c r="C1012">
        <v>2026</v>
      </c>
      <c r="D1012" t="s">
        <v>51</v>
      </c>
      <c r="E1012" t="s">
        <v>1</v>
      </c>
      <c r="F1012">
        <v>16531972.18000003</v>
      </c>
      <c r="G1012" t="s">
        <v>36</v>
      </c>
      <c r="H1012" t="s">
        <v>88</v>
      </c>
    </row>
    <row r="1013" spans="1:8" x14ac:dyDescent="0.3">
      <c r="A1013" t="s">
        <v>1505</v>
      </c>
      <c r="B1013" t="s">
        <v>88</v>
      </c>
      <c r="C1013">
        <v>2026</v>
      </c>
      <c r="D1013" t="s">
        <v>51</v>
      </c>
      <c r="E1013" t="s">
        <v>4</v>
      </c>
      <c r="F1013">
        <v>14595.280614334495</v>
      </c>
      <c r="G1013" t="s">
        <v>30</v>
      </c>
      <c r="H1013" t="s">
        <v>88</v>
      </c>
    </row>
    <row r="1014" spans="1:8" x14ac:dyDescent="0.3">
      <c r="A1014" t="s">
        <v>1506</v>
      </c>
      <c r="B1014" t="s">
        <v>88</v>
      </c>
      <c r="C1014">
        <v>2026</v>
      </c>
      <c r="D1014" t="s">
        <v>51</v>
      </c>
      <c r="E1014" t="s">
        <v>4</v>
      </c>
      <c r="F1014">
        <v>1172</v>
      </c>
      <c r="G1014" t="s">
        <v>54</v>
      </c>
      <c r="H1014" t="s">
        <v>88</v>
      </c>
    </row>
    <row r="1015" spans="1:8" x14ac:dyDescent="0.3">
      <c r="A1015" t="s">
        <v>1507</v>
      </c>
      <c r="B1015" t="s">
        <v>88</v>
      </c>
      <c r="C1015">
        <v>2026</v>
      </c>
      <c r="D1015" t="s">
        <v>51</v>
      </c>
      <c r="E1015" t="s">
        <v>4</v>
      </c>
      <c r="F1015">
        <v>17105668.880000029</v>
      </c>
      <c r="G1015" t="s">
        <v>36</v>
      </c>
      <c r="H1015" t="s">
        <v>88</v>
      </c>
    </row>
    <row r="1016" spans="1:8" x14ac:dyDescent="0.3">
      <c r="A1016" t="s">
        <v>1520</v>
      </c>
      <c r="B1016" t="s">
        <v>89</v>
      </c>
      <c r="C1016">
        <v>2026</v>
      </c>
      <c r="D1016" t="s">
        <v>52</v>
      </c>
      <c r="E1016" t="s">
        <v>2</v>
      </c>
      <c r="F1016">
        <v>8144.9521831736211</v>
      </c>
      <c r="G1016" t="s">
        <v>30</v>
      </c>
      <c r="H1016" t="s">
        <v>89</v>
      </c>
    </row>
    <row r="1017" spans="1:8" x14ac:dyDescent="0.3">
      <c r="A1017" t="s">
        <v>1521</v>
      </c>
      <c r="B1017" t="s">
        <v>89</v>
      </c>
      <c r="C1017">
        <v>2026</v>
      </c>
      <c r="D1017" t="s">
        <v>52</v>
      </c>
      <c r="E1017" t="s">
        <v>2</v>
      </c>
      <c r="F1017">
        <v>1878</v>
      </c>
      <c r="G1017" t="s">
        <v>54</v>
      </c>
      <c r="H1017" t="s">
        <v>89</v>
      </c>
    </row>
    <row r="1018" spans="1:8" x14ac:dyDescent="0.3">
      <c r="A1018" t="s">
        <v>1522</v>
      </c>
      <c r="B1018" t="s">
        <v>89</v>
      </c>
      <c r="C1018">
        <v>2026</v>
      </c>
      <c r="D1018" t="s">
        <v>52</v>
      </c>
      <c r="E1018" t="s">
        <v>2</v>
      </c>
      <c r="F1018">
        <v>15296220.200000061</v>
      </c>
      <c r="G1018" t="s">
        <v>36</v>
      </c>
      <c r="H1018" t="s">
        <v>89</v>
      </c>
    </row>
    <row r="1019" spans="1:8" x14ac:dyDescent="0.3">
      <c r="A1019" t="s">
        <v>1523</v>
      </c>
      <c r="B1019" t="s">
        <v>89</v>
      </c>
      <c r="C1019">
        <v>2026</v>
      </c>
      <c r="D1019" t="s">
        <v>52</v>
      </c>
      <c r="E1019" t="s">
        <v>1</v>
      </c>
      <c r="F1019">
        <v>7411.8734814814798</v>
      </c>
      <c r="G1019" t="s">
        <v>30</v>
      </c>
      <c r="H1019" t="s">
        <v>89</v>
      </c>
    </row>
    <row r="1020" spans="1:8" x14ac:dyDescent="0.3">
      <c r="A1020" t="s">
        <v>1524</v>
      </c>
      <c r="B1020" t="s">
        <v>89</v>
      </c>
      <c r="C1020">
        <v>2026</v>
      </c>
      <c r="D1020" t="s">
        <v>52</v>
      </c>
      <c r="E1020" t="s">
        <v>1</v>
      </c>
      <c r="F1020">
        <v>135</v>
      </c>
      <c r="G1020" t="s">
        <v>54</v>
      </c>
      <c r="H1020" t="s">
        <v>89</v>
      </c>
    </row>
    <row r="1021" spans="1:8" x14ac:dyDescent="0.3">
      <c r="A1021" t="s">
        <v>1525</v>
      </c>
      <c r="B1021" t="s">
        <v>89</v>
      </c>
      <c r="C1021">
        <v>2026</v>
      </c>
      <c r="D1021" t="s">
        <v>52</v>
      </c>
      <c r="E1021" t="s">
        <v>1</v>
      </c>
      <c r="F1021">
        <v>1000602.9199999998</v>
      </c>
      <c r="G1021" t="s">
        <v>36</v>
      </c>
      <c r="H1021" t="s">
        <v>89</v>
      </c>
    </row>
    <row r="1022" spans="1:8" x14ac:dyDescent="0.3">
      <c r="A1022" t="s">
        <v>1526</v>
      </c>
      <c r="B1022" t="s">
        <v>89</v>
      </c>
      <c r="C1022">
        <v>2026</v>
      </c>
      <c r="D1022" t="s">
        <v>52</v>
      </c>
      <c r="E1022" t="s">
        <v>4</v>
      </c>
      <c r="F1022">
        <v>8095.7889319424048</v>
      </c>
      <c r="G1022" t="s">
        <v>30</v>
      </c>
      <c r="H1022" t="s">
        <v>89</v>
      </c>
    </row>
    <row r="1023" spans="1:8" x14ac:dyDescent="0.3">
      <c r="A1023" t="s">
        <v>1527</v>
      </c>
      <c r="B1023" t="s">
        <v>89</v>
      </c>
      <c r="C1023">
        <v>2026</v>
      </c>
      <c r="D1023" t="s">
        <v>52</v>
      </c>
      <c r="E1023" t="s">
        <v>4</v>
      </c>
      <c r="F1023">
        <v>2013</v>
      </c>
      <c r="G1023" t="s">
        <v>54</v>
      </c>
      <c r="H1023" t="s">
        <v>89</v>
      </c>
    </row>
    <row r="1024" spans="1:8" x14ac:dyDescent="0.3">
      <c r="A1024" t="s">
        <v>1528</v>
      </c>
      <c r="B1024" t="s">
        <v>89</v>
      </c>
      <c r="C1024">
        <v>2026</v>
      </c>
      <c r="D1024" t="s">
        <v>52</v>
      </c>
      <c r="E1024" t="s">
        <v>4</v>
      </c>
      <c r="F1024">
        <v>16296823.120000061</v>
      </c>
      <c r="G1024" t="s">
        <v>36</v>
      </c>
      <c r="H1024" t="s">
        <v>89</v>
      </c>
    </row>
    <row r="1025" spans="1:8" x14ac:dyDescent="0.3">
      <c r="A1025" t="s">
        <v>1541</v>
      </c>
      <c r="B1025" t="s">
        <v>90</v>
      </c>
      <c r="C1025">
        <v>2026</v>
      </c>
      <c r="D1025" t="s">
        <v>24</v>
      </c>
      <c r="E1025" t="s">
        <v>2</v>
      </c>
      <c r="F1025">
        <v>8026.56</v>
      </c>
      <c r="G1025" t="s">
        <v>30</v>
      </c>
      <c r="H1025" t="s">
        <v>90</v>
      </c>
    </row>
    <row r="1026" spans="1:8" x14ac:dyDescent="0.3">
      <c r="A1026" t="s">
        <v>1542</v>
      </c>
      <c r="B1026" t="s">
        <v>90</v>
      </c>
      <c r="C1026">
        <v>2026</v>
      </c>
      <c r="D1026" t="s">
        <v>24</v>
      </c>
      <c r="E1026" t="s">
        <v>2</v>
      </c>
      <c r="F1026">
        <v>1</v>
      </c>
      <c r="G1026" t="s">
        <v>54</v>
      </c>
      <c r="H1026" t="s">
        <v>90</v>
      </c>
    </row>
    <row r="1027" spans="1:8" x14ac:dyDescent="0.3">
      <c r="A1027" t="s">
        <v>1543</v>
      </c>
      <c r="B1027" t="s">
        <v>90</v>
      </c>
      <c r="C1027">
        <v>2026</v>
      </c>
      <c r="D1027" t="s">
        <v>24</v>
      </c>
      <c r="E1027" t="s">
        <v>2</v>
      </c>
      <c r="F1027">
        <v>8026.56</v>
      </c>
      <c r="G1027" t="s">
        <v>36</v>
      </c>
      <c r="H1027" t="s">
        <v>90</v>
      </c>
    </row>
    <row r="1028" spans="1:8" x14ac:dyDescent="0.3">
      <c r="A1028" t="s">
        <v>1544</v>
      </c>
      <c r="B1028" t="s">
        <v>90</v>
      </c>
      <c r="C1028">
        <v>2026</v>
      </c>
      <c r="D1028" t="s">
        <v>24</v>
      </c>
      <c r="E1028" t="s">
        <v>1</v>
      </c>
      <c r="F1028">
        <v>8643.2245299145288</v>
      </c>
      <c r="G1028" t="s">
        <v>30</v>
      </c>
      <c r="H1028" t="s">
        <v>90</v>
      </c>
    </row>
    <row r="1029" spans="1:8" x14ac:dyDescent="0.3">
      <c r="A1029" t="s">
        <v>1545</v>
      </c>
      <c r="B1029" t="s">
        <v>90</v>
      </c>
      <c r="C1029">
        <v>2026</v>
      </c>
      <c r="D1029" t="s">
        <v>24</v>
      </c>
      <c r="E1029" t="s">
        <v>1</v>
      </c>
      <c r="F1029">
        <v>117</v>
      </c>
      <c r="G1029" t="s">
        <v>54</v>
      </c>
      <c r="H1029" t="s">
        <v>90</v>
      </c>
    </row>
    <row r="1030" spans="1:8" x14ac:dyDescent="0.3">
      <c r="A1030" t="s">
        <v>1546</v>
      </c>
      <c r="B1030" t="s">
        <v>90</v>
      </c>
      <c r="C1030">
        <v>2026</v>
      </c>
      <c r="D1030" t="s">
        <v>24</v>
      </c>
      <c r="E1030" t="s">
        <v>1</v>
      </c>
      <c r="F1030">
        <v>1011257.2699999998</v>
      </c>
      <c r="G1030" t="s">
        <v>36</v>
      </c>
      <c r="H1030" t="s">
        <v>90</v>
      </c>
    </row>
    <row r="1031" spans="1:8" x14ac:dyDescent="0.3">
      <c r="A1031" t="s">
        <v>1547</v>
      </c>
      <c r="B1031" t="s">
        <v>90</v>
      </c>
      <c r="C1031">
        <v>2026</v>
      </c>
      <c r="D1031" t="s">
        <v>24</v>
      </c>
      <c r="E1031" t="s">
        <v>4</v>
      </c>
      <c r="F1031">
        <v>10075.268589743591</v>
      </c>
      <c r="G1031" t="s">
        <v>30</v>
      </c>
      <c r="H1031" t="s">
        <v>90</v>
      </c>
    </row>
    <row r="1032" spans="1:8" x14ac:dyDescent="0.3">
      <c r="A1032" t="s">
        <v>1548</v>
      </c>
      <c r="B1032" t="s">
        <v>90</v>
      </c>
      <c r="C1032">
        <v>2026</v>
      </c>
      <c r="D1032" t="s">
        <v>24</v>
      </c>
      <c r="E1032" t="s">
        <v>4</v>
      </c>
      <c r="F1032">
        <v>234</v>
      </c>
      <c r="G1032" t="s">
        <v>54</v>
      </c>
      <c r="H1032" t="s">
        <v>90</v>
      </c>
    </row>
    <row r="1033" spans="1:8" x14ac:dyDescent="0.3">
      <c r="A1033" t="s">
        <v>1549</v>
      </c>
      <c r="B1033" t="s">
        <v>90</v>
      </c>
      <c r="C1033">
        <v>2026</v>
      </c>
      <c r="D1033" t="s">
        <v>24</v>
      </c>
      <c r="E1033" t="s">
        <v>4</v>
      </c>
      <c r="F1033">
        <v>2357612.8500000006</v>
      </c>
      <c r="G1033" t="s">
        <v>36</v>
      </c>
      <c r="H1033" t="s">
        <v>90</v>
      </c>
    </row>
    <row r="1034" spans="1:8" x14ac:dyDescent="0.3">
      <c r="A1034" t="s">
        <v>1550</v>
      </c>
      <c r="B1034" t="s">
        <v>90</v>
      </c>
      <c r="C1034">
        <v>2026</v>
      </c>
      <c r="D1034" t="s">
        <v>24</v>
      </c>
      <c r="E1034" t="s">
        <v>38</v>
      </c>
      <c r="F1034">
        <v>11537.319137931041</v>
      </c>
      <c r="G1034" t="s">
        <v>30</v>
      </c>
      <c r="H1034" t="s">
        <v>90</v>
      </c>
    </row>
    <row r="1035" spans="1:8" x14ac:dyDescent="0.3">
      <c r="A1035" t="s">
        <v>1551</v>
      </c>
      <c r="B1035" t="s">
        <v>90</v>
      </c>
      <c r="C1035">
        <v>2026</v>
      </c>
      <c r="D1035" t="s">
        <v>24</v>
      </c>
      <c r="E1035" t="s">
        <v>38</v>
      </c>
      <c r="F1035">
        <v>116</v>
      </c>
      <c r="G1035" t="s">
        <v>54</v>
      </c>
      <c r="H1035" t="s">
        <v>90</v>
      </c>
    </row>
    <row r="1036" spans="1:8" x14ac:dyDescent="0.3">
      <c r="A1036" t="s">
        <v>1552</v>
      </c>
      <c r="B1036" t="s">
        <v>90</v>
      </c>
      <c r="C1036">
        <v>2026</v>
      </c>
      <c r="D1036" t="s">
        <v>24</v>
      </c>
      <c r="E1036" t="s">
        <v>38</v>
      </c>
      <c r="F1036">
        <v>1338329.0200000007</v>
      </c>
      <c r="G1036" t="s">
        <v>36</v>
      </c>
      <c r="H1036" t="s">
        <v>90</v>
      </c>
    </row>
    <row r="1037" spans="1:8" x14ac:dyDescent="0.3">
      <c r="A1037" t="s">
        <v>1563</v>
      </c>
      <c r="B1037" t="s">
        <v>91</v>
      </c>
      <c r="C1037">
        <v>2026</v>
      </c>
      <c r="D1037" t="s">
        <v>25</v>
      </c>
      <c r="E1037" t="s">
        <v>2</v>
      </c>
      <c r="F1037">
        <v>4819.1722857142859</v>
      </c>
      <c r="G1037" t="s">
        <v>30</v>
      </c>
      <c r="H1037" t="s">
        <v>91</v>
      </c>
    </row>
    <row r="1038" spans="1:8" x14ac:dyDescent="0.3">
      <c r="A1038" t="s">
        <v>1564</v>
      </c>
      <c r="B1038" t="s">
        <v>91</v>
      </c>
      <c r="C1038">
        <v>2026</v>
      </c>
      <c r="D1038" t="s">
        <v>25</v>
      </c>
      <c r="E1038" t="s">
        <v>2</v>
      </c>
      <c r="F1038">
        <v>70</v>
      </c>
      <c r="G1038" t="s">
        <v>54</v>
      </c>
      <c r="H1038" t="s">
        <v>91</v>
      </c>
    </row>
    <row r="1039" spans="1:8" x14ac:dyDescent="0.3">
      <c r="A1039" t="s">
        <v>1565</v>
      </c>
      <c r="B1039" t="s">
        <v>91</v>
      </c>
      <c r="C1039">
        <v>2026</v>
      </c>
      <c r="D1039" t="s">
        <v>25</v>
      </c>
      <c r="E1039" t="s">
        <v>2</v>
      </c>
      <c r="F1039">
        <v>337342.06000000006</v>
      </c>
      <c r="G1039" t="s">
        <v>36</v>
      </c>
      <c r="H1039" t="s">
        <v>91</v>
      </c>
    </row>
    <row r="1040" spans="1:8" x14ac:dyDescent="0.3">
      <c r="A1040" t="s">
        <v>1566</v>
      </c>
      <c r="B1040" t="s">
        <v>91</v>
      </c>
      <c r="C1040">
        <v>2026</v>
      </c>
      <c r="D1040" t="s">
        <v>25</v>
      </c>
      <c r="E1040" t="s">
        <v>1</v>
      </c>
      <c r="F1040">
        <v>11916.320220588224</v>
      </c>
      <c r="G1040" t="s">
        <v>30</v>
      </c>
      <c r="H1040" t="s">
        <v>91</v>
      </c>
    </row>
    <row r="1041" spans="1:8" x14ac:dyDescent="0.3">
      <c r="A1041" t="s">
        <v>1567</v>
      </c>
      <c r="B1041" t="s">
        <v>91</v>
      </c>
      <c r="C1041">
        <v>2026</v>
      </c>
      <c r="D1041" t="s">
        <v>25</v>
      </c>
      <c r="E1041" t="s">
        <v>1</v>
      </c>
      <c r="F1041">
        <v>408</v>
      </c>
      <c r="G1041" t="s">
        <v>54</v>
      </c>
      <c r="H1041" t="s">
        <v>91</v>
      </c>
    </row>
    <row r="1042" spans="1:8" x14ac:dyDescent="0.3">
      <c r="A1042" t="s">
        <v>1568</v>
      </c>
      <c r="B1042" t="s">
        <v>91</v>
      </c>
      <c r="C1042">
        <v>2026</v>
      </c>
      <c r="D1042" t="s">
        <v>25</v>
      </c>
      <c r="E1042" t="s">
        <v>1</v>
      </c>
      <c r="F1042">
        <v>4861858.6499999957</v>
      </c>
      <c r="G1042" t="s">
        <v>36</v>
      </c>
      <c r="H1042" t="s">
        <v>91</v>
      </c>
    </row>
    <row r="1043" spans="1:8" x14ac:dyDescent="0.3">
      <c r="A1043" t="s">
        <v>1569</v>
      </c>
      <c r="B1043" t="s">
        <v>91</v>
      </c>
      <c r="C1043">
        <v>2026</v>
      </c>
      <c r="D1043" t="s">
        <v>25</v>
      </c>
      <c r="E1043" t="s">
        <v>4</v>
      </c>
      <c r="F1043">
        <v>10814.326192771081</v>
      </c>
      <c r="G1043" t="s">
        <v>30</v>
      </c>
      <c r="H1043" t="s">
        <v>91</v>
      </c>
    </row>
    <row r="1044" spans="1:8" x14ac:dyDescent="0.3">
      <c r="A1044" t="s">
        <v>1570</v>
      </c>
      <c r="B1044" t="s">
        <v>91</v>
      </c>
      <c r="C1044">
        <v>2026</v>
      </c>
      <c r="D1044" t="s">
        <v>25</v>
      </c>
      <c r="E1044" t="s">
        <v>4</v>
      </c>
      <c r="F1044">
        <v>830</v>
      </c>
      <c r="G1044" t="s">
        <v>54</v>
      </c>
      <c r="H1044" t="s">
        <v>91</v>
      </c>
    </row>
    <row r="1045" spans="1:8" x14ac:dyDescent="0.3">
      <c r="A1045" t="s">
        <v>1571</v>
      </c>
      <c r="B1045" t="s">
        <v>91</v>
      </c>
      <c r="C1045">
        <v>2026</v>
      </c>
      <c r="D1045" t="s">
        <v>25</v>
      </c>
      <c r="E1045" t="s">
        <v>4</v>
      </c>
      <c r="F1045">
        <v>8975890.7399999965</v>
      </c>
      <c r="G1045" t="s">
        <v>36</v>
      </c>
      <c r="H1045" t="s">
        <v>91</v>
      </c>
    </row>
    <row r="1046" spans="1:8" x14ac:dyDescent="0.3">
      <c r="A1046" t="s">
        <v>1572</v>
      </c>
      <c r="B1046" t="s">
        <v>91</v>
      </c>
      <c r="C1046">
        <v>2026</v>
      </c>
      <c r="D1046" t="s">
        <v>25</v>
      </c>
      <c r="E1046" t="s">
        <v>38</v>
      </c>
      <c r="F1046">
        <v>10729.233039772729</v>
      </c>
      <c r="G1046" t="s">
        <v>30</v>
      </c>
      <c r="H1046" t="s">
        <v>91</v>
      </c>
    </row>
    <row r="1047" spans="1:8" x14ac:dyDescent="0.3">
      <c r="A1047" t="s">
        <v>1573</v>
      </c>
      <c r="B1047" t="s">
        <v>91</v>
      </c>
      <c r="C1047">
        <v>2026</v>
      </c>
      <c r="D1047" t="s">
        <v>25</v>
      </c>
      <c r="E1047" t="s">
        <v>38</v>
      </c>
      <c r="F1047">
        <v>352</v>
      </c>
      <c r="G1047" t="s">
        <v>54</v>
      </c>
      <c r="H1047" t="s">
        <v>91</v>
      </c>
    </row>
    <row r="1048" spans="1:8" x14ac:dyDescent="0.3">
      <c r="A1048" t="s">
        <v>1574</v>
      </c>
      <c r="B1048" t="s">
        <v>91</v>
      </c>
      <c r="C1048">
        <v>2026</v>
      </c>
      <c r="D1048" t="s">
        <v>25</v>
      </c>
      <c r="E1048" t="s">
        <v>38</v>
      </c>
      <c r="F1048">
        <v>3776690.0300000017</v>
      </c>
      <c r="G1048" t="s">
        <v>36</v>
      </c>
      <c r="H1048" t="s">
        <v>91</v>
      </c>
    </row>
    <row r="1049" spans="1:8" x14ac:dyDescent="0.3">
      <c r="A1049" t="s">
        <v>1585</v>
      </c>
      <c r="B1049" t="s">
        <v>92</v>
      </c>
      <c r="C1049">
        <v>2026</v>
      </c>
      <c r="D1049" t="s">
        <v>46</v>
      </c>
      <c r="E1049" t="s">
        <v>2</v>
      </c>
      <c r="F1049">
        <v>3587.0233333333331</v>
      </c>
      <c r="G1049" t="s">
        <v>30</v>
      </c>
      <c r="H1049" t="s">
        <v>92</v>
      </c>
    </row>
    <row r="1050" spans="1:8" x14ac:dyDescent="0.3">
      <c r="A1050" t="s">
        <v>1586</v>
      </c>
      <c r="B1050" t="s">
        <v>92</v>
      </c>
      <c r="C1050">
        <v>2026</v>
      </c>
      <c r="D1050" t="s">
        <v>46</v>
      </c>
      <c r="E1050" t="s">
        <v>2</v>
      </c>
      <c r="F1050">
        <v>3</v>
      </c>
      <c r="G1050" t="s">
        <v>54</v>
      </c>
      <c r="H1050" t="s">
        <v>92</v>
      </c>
    </row>
    <row r="1051" spans="1:8" x14ac:dyDescent="0.3">
      <c r="A1051" t="s">
        <v>1587</v>
      </c>
      <c r="B1051" t="s">
        <v>92</v>
      </c>
      <c r="C1051">
        <v>2026</v>
      </c>
      <c r="D1051" t="s">
        <v>46</v>
      </c>
      <c r="E1051" t="s">
        <v>2</v>
      </c>
      <c r="F1051">
        <v>10761.07</v>
      </c>
      <c r="G1051" t="s">
        <v>36</v>
      </c>
      <c r="H1051" t="s">
        <v>92</v>
      </c>
    </row>
    <row r="1052" spans="1:8" x14ac:dyDescent="0.3">
      <c r="A1052" t="s">
        <v>1588</v>
      </c>
      <c r="B1052" t="s">
        <v>92</v>
      </c>
      <c r="C1052">
        <v>2026</v>
      </c>
      <c r="D1052" t="s">
        <v>46</v>
      </c>
      <c r="E1052" t="s">
        <v>1</v>
      </c>
      <c r="F1052">
        <v>8581.5461038961075</v>
      </c>
      <c r="G1052" t="s">
        <v>30</v>
      </c>
      <c r="H1052" t="s">
        <v>92</v>
      </c>
    </row>
    <row r="1053" spans="1:8" x14ac:dyDescent="0.3">
      <c r="A1053" t="s">
        <v>1589</v>
      </c>
      <c r="B1053" t="s">
        <v>92</v>
      </c>
      <c r="C1053">
        <v>2026</v>
      </c>
      <c r="D1053" t="s">
        <v>46</v>
      </c>
      <c r="E1053" t="s">
        <v>1</v>
      </c>
      <c r="F1053">
        <v>154</v>
      </c>
      <c r="G1053" t="s">
        <v>54</v>
      </c>
      <c r="H1053" t="s">
        <v>92</v>
      </c>
    </row>
    <row r="1054" spans="1:8" x14ac:dyDescent="0.3">
      <c r="A1054" t="s">
        <v>1590</v>
      </c>
      <c r="B1054" t="s">
        <v>92</v>
      </c>
      <c r="C1054">
        <v>2026</v>
      </c>
      <c r="D1054" t="s">
        <v>46</v>
      </c>
      <c r="E1054" t="s">
        <v>1</v>
      </c>
      <c r="F1054">
        <v>1321558.1000000006</v>
      </c>
      <c r="G1054" t="s">
        <v>36</v>
      </c>
      <c r="H1054" t="s">
        <v>92</v>
      </c>
    </row>
    <row r="1055" spans="1:8" x14ac:dyDescent="0.3">
      <c r="A1055" t="s">
        <v>1591</v>
      </c>
      <c r="B1055" t="s">
        <v>92</v>
      </c>
      <c r="C1055">
        <v>2026</v>
      </c>
      <c r="D1055" t="s">
        <v>46</v>
      </c>
      <c r="E1055" t="s">
        <v>4</v>
      </c>
      <c r="F1055">
        <v>8652.2558950617313</v>
      </c>
      <c r="G1055" t="s">
        <v>30</v>
      </c>
      <c r="H1055" t="s">
        <v>92</v>
      </c>
    </row>
    <row r="1056" spans="1:8" x14ac:dyDescent="0.3">
      <c r="A1056" t="s">
        <v>1592</v>
      </c>
      <c r="B1056" t="s">
        <v>92</v>
      </c>
      <c r="C1056">
        <v>2026</v>
      </c>
      <c r="D1056" t="s">
        <v>46</v>
      </c>
      <c r="E1056" t="s">
        <v>4</v>
      </c>
      <c r="F1056">
        <v>324</v>
      </c>
      <c r="G1056" t="s">
        <v>54</v>
      </c>
      <c r="H1056" t="s">
        <v>92</v>
      </c>
    </row>
    <row r="1057" spans="1:8" x14ac:dyDescent="0.3">
      <c r="A1057" t="s">
        <v>1593</v>
      </c>
      <c r="B1057" t="s">
        <v>92</v>
      </c>
      <c r="C1057">
        <v>2026</v>
      </c>
      <c r="D1057" t="s">
        <v>46</v>
      </c>
      <c r="E1057" t="s">
        <v>4</v>
      </c>
      <c r="F1057">
        <v>2803330.9100000011</v>
      </c>
      <c r="G1057" t="s">
        <v>36</v>
      </c>
      <c r="H1057" t="s">
        <v>92</v>
      </c>
    </row>
    <row r="1058" spans="1:8" x14ac:dyDescent="0.3">
      <c r="A1058" t="s">
        <v>1594</v>
      </c>
      <c r="B1058" t="s">
        <v>92</v>
      </c>
      <c r="C1058">
        <v>2026</v>
      </c>
      <c r="D1058" t="s">
        <v>46</v>
      </c>
      <c r="E1058" t="s">
        <v>38</v>
      </c>
      <c r="F1058">
        <v>8808.4535329341379</v>
      </c>
      <c r="G1058" t="s">
        <v>30</v>
      </c>
      <c r="H1058" t="s">
        <v>92</v>
      </c>
    </row>
    <row r="1059" spans="1:8" x14ac:dyDescent="0.3">
      <c r="A1059" t="s">
        <v>1595</v>
      </c>
      <c r="B1059" t="s">
        <v>92</v>
      </c>
      <c r="C1059">
        <v>2026</v>
      </c>
      <c r="D1059" t="s">
        <v>46</v>
      </c>
      <c r="E1059" t="s">
        <v>38</v>
      </c>
      <c r="F1059">
        <v>167</v>
      </c>
      <c r="G1059" t="s">
        <v>54</v>
      </c>
      <c r="H1059" t="s">
        <v>92</v>
      </c>
    </row>
    <row r="1060" spans="1:8" x14ac:dyDescent="0.3">
      <c r="A1060" t="s">
        <v>1596</v>
      </c>
      <c r="B1060" t="s">
        <v>92</v>
      </c>
      <c r="C1060">
        <v>2026</v>
      </c>
      <c r="D1060" t="s">
        <v>46</v>
      </c>
      <c r="E1060" t="s">
        <v>38</v>
      </c>
      <c r="F1060">
        <v>1471011.7400000007</v>
      </c>
      <c r="G1060" t="s">
        <v>36</v>
      </c>
      <c r="H1060" t="s">
        <v>92</v>
      </c>
    </row>
    <row r="1061" spans="1:8" x14ac:dyDescent="0.3">
      <c r="A1061" t="s">
        <v>1607</v>
      </c>
      <c r="B1061" t="s">
        <v>93</v>
      </c>
      <c r="C1061">
        <v>2026</v>
      </c>
      <c r="D1061" t="s">
        <v>42</v>
      </c>
      <c r="E1061" t="s">
        <v>2</v>
      </c>
      <c r="F1061">
        <v>4415.9399999999996</v>
      </c>
      <c r="G1061" t="s">
        <v>30</v>
      </c>
      <c r="H1061" t="s">
        <v>93</v>
      </c>
    </row>
    <row r="1062" spans="1:8" x14ac:dyDescent="0.3">
      <c r="A1062" t="s">
        <v>1608</v>
      </c>
      <c r="B1062" t="s">
        <v>93</v>
      </c>
      <c r="C1062">
        <v>2026</v>
      </c>
      <c r="D1062" t="s">
        <v>42</v>
      </c>
      <c r="E1062" t="s">
        <v>2</v>
      </c>
      <c r="F1062">
        <v>1</v>
      </c>
      <c r="G1062" t="s">
        <v>54</v>
      </c>
      <c r="H1062" t="s">
        <v>93</v>
      </c>
    </row>
    <row r="1063" spans="1:8" x14ac:dyDescent="0.3">
      <c r="A1063" t="s">
        <v>1609</v>
      </c>
      <c r="B1063" t="s">
        <v>93</v>
      </c>
      <c r="C1063">
        <v>2026</v>
      </c>
      <c r="D1063" t="s">
        <v>42</v>
      </c>
      <c r="E1063" t="s">
        <v>2</v>
      </c>
      <c r="F1063">
        <v>4415.9399999999996</v>
      </c>
      <c r="G1063" t="s">
        <v>36</v>
      </c>
      <c r="H1063" t="s">
        <v>93</v>
      </c>
    </row>
    <row r="1064" spans="1:8" x14ac:dyDescent="0.3">
      <c r="A1064" t="s">
        <v>1610</v>
      </c>
      <c r="B1064" t="s">
        <v>93</v>
      </c>
      <c r="C1064">
        <v>2026</v>
      </c>
      <c r="D1064" t="s">
        <v>42</v>
      </c>
      <c r="E1064" t="s">
        <v>1</v>
      </c>
      <c r="F1064">
        <v>7587.8122360248517</v>
      </c>
      <c r="G1064" t="s">
        <v>30</v>
      </c>
      <c r="H1064" t="s">
        <v>93</v>
      </c>
    </row>
    <row r="1065" spans="1:8" x14ac:dyDescent="0.3">
      <c r="A1065" t="s">
        <v>1611</v>
      </c>
      <c r="B1065" t="s">
        <v>93</v>
      </c>
      <c r="C1065">
        <v>2026</v>
      </c>
      <c r="D1065" t="s">
        <v>42</v>
      </c>
      <c r="E1065" t="s">
        <v>1</v>
      </c>
      <c r="F1065">
        <v>161</v>
      </c>
      <c r="G1065" t="s">
        <v>54</v>
      </c>
      <c r="H1065" t="s">
        <v>93</v>
      </c>
    </row>
    <row r="1066" spans="1:8" x14ac:dyDescent="0.3">
      <c r="A1066" t="s">
        <v>1612</v>
      </c>
      <c r="B1066" t="s">
        <v>93</v>
      </c>
      <c r="C1066">
        <v>2026</v>
      </c>
      <c r="D1066" t="s">
        <v>42</v>
      </c>
      <c r="E1066" t="s">
        <v>1</v>
      </c>
      <c r="F1066">
        <v>1221637.7700000009</v>
      </c>
      <c r="G1066" t="s">
        <v>36</v>
      </c>
      <c r="H1066" t="s">
        <v>93</v>
      </c>
    </row>
    <row r="1067" spans="1:8" x14ac:dyDescent="0.3">
      <c r="A1067" t="s">
        <v>1613</v>
      </c>
      <c r="B1067" t="s">
        <v>93</v>
      </c>
      <c r="C1067">
        <v>2026</v>
      </c>
      <c r="D1067" t="s">
        <v>42</v>
      </c>
      <c r="E1067" t="s">
        <v>4</v>
      </c>
      <c r="F1067">
        <v>9146.659578947374</v>
      </c>
      <c r="G1067" t="s">
        <v>30</v>
      </c>
      <c r="H1067" t="s">
        <v>93</v>
      </c>
    </row>
    <row r="1068" spans="1:8" x14ac:dyDescent="0.3">
      <c r="A1068" t="s">
        <v>1614</v>
      </c>
      <c r="B1068" t="s">
        <v>93</v>
      </c>
      <c r="C1068">
        <v>2026</v>
      </c>
      <c r="D1068" t="s">
        <v>42</v>
      </c>
      <c r="E1068" t="s">
        <v>4</v>
      </c>
      <c r="F1068">
        <v>380</v>
      </c>
      <c r="G1068" t="s">
        <v>54</v>
      </c>
      <c r="H1068" t="s">
        <v>93</v>
      </c>
    </row>
    <row r="1069" spans="1:8" x14ac:dyDescent="0.3">
      <c r="A1069" t="s">
        <v>1615</v>
      </c>
      <c r="B1069" t="s">
        <v>93</v>
      </c>
      <c r="C1069">
        <v>2026</v>
      </c>
      <c r="D1069" t="s">
        <v>42</v>
      </c>
      <c r="E1069" t="s">
        <v>4</v>
      </c>
      <c r="F1069">
        <v>3475730.640000002</v>
      </c>
      <c r="G1069" t="s">
        <v>36</v>
      </c>
      <c r="H1069" t="s">
        <v>93</v>
      </c>
    </row>
    <row r="1070" spans="1:8" x14ac:dyDescent="0.3">
      <c r="A1070" t="s">
        <v>1616</v>
      </c>
      <c r="B1070" t="s">
        <v>93</v>
      </c>
      <c r="C1070">
        <v>2026</v>
      </c>
      <c r="D1070" t="s">
        <v>42</v>
      </c>
      <c r="E1070" t="s">
        <v>38</v>
      </c>
      <c r="F1070">
        <v>10319.618944954131</v>
      </c>
      <c r="G1070" t="s">
        <v>30</v>
      </c>
      <c r="H1070" t="s">
        <v>93</v>
      </c>
    </row>
    <row r="1071" spans="1:8" x14ac:dyDescent="0.3">
      <c r="A1071" t="s">
        <v>1617</v>
      </c>
      <c r="B1071" t="s">
        <v>93</v>
      </c>
      <c r="C1071">
        <v>2026</v>
      </c>
      <c r="D1071" t="s">
        <v>42</v>
      </c>
      <c r="E1071" t="s">
        <v>38</v>
      </c>
      <c r="F1071">
        <v>218</v>
      </c>
      <c r="G1071" t="s">
        <v>54</v>
      </c>
      <c r="H1071" t="s">
        <v>93</v>
      </c>
    </row>
    <row r="1072" spans="1:8" x14ac:dyDescent="0.3">
      <c r="A1072" t="s">
        <v>1618</v>
      </c>
      <c r="B1072" t="s">
        <v>93</v>
      </c>
      <c r="C1072">
        <v>2026</v>
      </c>
      <c r="D1072" t="s">
        <v>42</v>
      </c>
      <c r="E1072" t="s">
        <v>38</v>
      </c>
      <c r="F1072">
        <v>2249676.9300000011</v>
      </c>
      <c r="G1072" t="s">
        <v>36</v>
      </c>
      <c r="H1072" t="s">
        <v>93</v>
      </c>
    </row>
    <row r="1073" spans="1:8" x14ac:dyDescent="0.3">
      <c r="A1073" t="s">
        <v>1632</v>
      </c>
      <c r="B1073" t="s">
        <v>94</v>
      </c>
      <c r="C1073">
        <v>2026</v>
      </c>
      <c r="D1073" t="s">
        <v>50</v>
      </c>
      <c r="E1073" t="s">
        <v>1</v>
      </c>
      <c r="F1073">
        <v>7828.2956632653131</v>
      </c>
      <c r="G1073" t="s">
        <v>30</v>
      </c>
      <c r="H1073" t="s">
        <v>94</v>
      </c>
    </row>
    <row r="1074" spans="1:8" x14ac:dyDescent="0.3">
      <c r="A1074" t="s">
        <v>1633</v>
      </c>
      <c r="B1074" t="s">
        <v>94</v>
      </c>
      <c r="C1074">
        <v>2026</v>
      </c>
      <c r="D1074" t="s">
        <v>50</v>
      </c>
      <c r="E1074" t="s">
        <v>1</v>
      </c>
      <c r="F1074">
        <v>196</v>
      </c>
      <c r="G1074" t="s">
        <v>54</v>
      </c>
      <c r="H1074" t="s">
        <v>94</v>
      </c>
    </row>
    <row r="1075" spans="1:8" x14ac:dyDescent="0.3">
      <c r="A1075" t="s">
        <v>1634</v>
      </c>
      <c r="B1075" t="s">
        <v>94</v>
      </c>
      <c r="C1075">
        <v>2026</v>
      </c>
      <c r="D1075" t="s">
        <v>50</v>
      </c>
      <c r="E1075" t="s">
        <v>1</v>
      </c>
      <c r="F1075">
        <v>1534345.9500000014</v>
      </c>
      <c r="G1075" t="s">
        <v>36</v>
      </c>
      <c r="H1075" t="s">
        <v>94</v>
      </c>
    </row>
    <row r="1076" spans="1:8" x14ac:dyDescent="0.3">
      <c r="A1076" t="s">
        <v>1635</v>
      </c>
      <c r="B1076" t="s">
        <v>94</v>
      </c>
      <c r="C1076">
        <v>2026</v>
      </c>
      <c r="D1076" t="s">
        <v>50</v>
      </c>
      <c r="E1076" t="s">
        <v>4</v>
      </c>
      <c r="F1076">
        <v>8393.7297442455292</v>
      </c>
      <c r="G1076" t="s">
        <v>30</v>
      </c>
      <c r="H1076" t="s">
        <v>94</v>
      </c>
    </row>
    <row r="1077" spans="1:8" x14ac:dyDescent="0.3">
      <c r="A1077" t="s">
        <v>1636</v>
      </c>
      <c r="B1077" t="s">
        <v>94</v>
      </c>
      <c r="C1077">
        <v>2026</v>
      </c>
      <c r="D1077" t="s">
        <v>50</v>
      </c>
      <c r="E1077" t="s">
        <v>4</v>
      </c>
      <c r="F1077">
        <v>391</v>
      </c>
      <c r="G1077" t="s">
        <v>54</v>
      </c>
      <c r="H1077" t="s">
        <v>94</v>
      </c>
    </row>
    <row r="1078" spans="1:8" x14ac:dyDescent="0.3">
      <c r="A1078" t="s">
        <v>1637</v>
      </c>
      <c r="B1078" t="s">
        <v>94</v>
      </c>
      <c r="C1078">
        <v>2026</v>
      </c>
      <c r="D1078" t="s">
        <v>50</v>
      </c>
      <c r="E1078" t="s">
        <v>4</v>
      </c>
      <c r="F1078">
        <v>3281948.3300000019</v>
      </c>
      <c r="G1078" t="s">
        <v>36</v>
      </c>
      <c r="H1078" t="s">
        <v>94</v>
      </c>
    </row>
    <row r="1079" spans="1:8" x14ac:dyDescent="0.3">
      <c r="A1079" t="s">
        <v>1638</v>
      </c>
      <c r="B1079" t="s">
        <v>94</v>
      </c>
      <c r="C1079">
        <v>2026</v>
      </c>
      <c r="D1079" t="s">
        <v>50</v>
      </c>
      <c r="E1079" t="s">
        <v>38</v>
      </c>
      <c r="F1079">
        <v>8962.0634871794919</v>
      </c>
      <c r="G1079" t="s">
        <v>30</v>
      </c>
      <c r="H1079" t="s">
        <v>94</v>
      </c>
    </row>
    <row r="1080" spans="1:8" x14ac:dyDescent="0.3">
      <c r="A1080" t="s">
        <v>1639</v>
      </c>
      <c r="B1080" t="s">
        <v>94</v>
      </c>
      <c r="C1080">
        <v>2026</v>
      </c>
      <c r="D1080" t="s">
        <v>50</v>
      </c>
      <c r="E1080" t="s">
        <v>38</v>
      </c>
      <c r="F1080">
        <v>195</v>
      </c>
      <c r="G1080" t="s">
        <v>54</v>
      </c>
      <c r="H1080" t="s">
        <v>94</v>
      </c>
    </row>
    <row r="1081" spans="1:8" x14ac:dyDescent="0.3">
      <c r="A1081" t="s">
        <v>1640</v>
      </c>
      <c r="B1081" t="s">
        <v>94</v>
      </c>
      <c r="C1081">
        <v>2026</v>
      </c>
      <c r="D1081" t="s">
        <v>50</v>
      </c>
      <c r="E1081" t="s">
        <v>38</v>
      </c>
      <c r="F1081">
        <v>1747602.3800000008</v>
      </c>
      <c r="G1081" t="s">
        <v>36</v>
      </c>
      <c r="H1081" t="s">
        <v>94</v>
      </c>
    </row>
    <row r="1082" spans="1:8" x14ac:dyDescent="0.3">
      <c r="A1082" t="s">
        <v>1651</v>
      </c>
      <c r="B1082" t="s">
        <v>95</v>
      </c>
      <c r="C1082">
        <v>2026</v>
      </c>
      <c r="D1082" t="s">
        <v>40</v>
      </c>
      <c r="E1082" t="s">
        <v>2</v>
      </c>
      <c r="F1082">
        <v>4061.95</v>
      </c>
      <c r="G1082" t="s">
        <v>30</v>
      </c>
      <c r="H1082" t="s">
        <v>95</v>
      </c>
    </row>
    <row r="1083" spans="1:8" x14ac:dyDescent="0.3">
      <c r="A1083" t="s">
        <v>1652</v>
      </c>
      <c r="B1083" t="s">
        <v>95</v>
      </c>
      <c r="C1083">
        <v>2026</v>
      </c>
      <c r="D1083" t="s">
        <v>40</v>
      </c>
      <c r="E1083" t="s">
        <v>2</v>
      </c>
      <c r="F1083">
        <v>1</v>
      </c>
      <c r="G1083" t="s">
        <v>54</v>
      </c>
      <c r="H1083" t="s">
        <v>95</v>
      </c>
    </row>
    <row r="1084" spans="1:8" x14ac:dyDescent="0.3">
      <c r="A1084" t="s">
        <v>1653</v>
      </c>
      <c r="B1084" t="s">
        <v>95</v>
      </c>
      <c r="C1084">
        <v>2026</v>
      </c>
      <c r="D1084" t="s">
        <v>40</v>
      </c>
      <c r="E1084" t="s">
        <v>2</v>
      </c>
      <c r="F1084">
        <v>4061.95</v>
      </c>
      <c r="G1084" t="s">
        <v>36</v>
      </c>
      <c r="H1084" t="s">
        <v>95</v>
      </c>
    </row>
    <row r="1085" spans="1:8" x14ac:dyDescent="0.3">
      <c r="A1085" t="s">
        <v>1654</v>
      </c>
      <c r="B1085" t="s">
        <v>95</v>
      </c>
      <c r="C1085">
        <v>2026</v>
      </c>
      <c r="D1085" t="s">
        <v>40</v>
      </c>
      <c r="E1085" t="s">
        <v>1</v>
      </c>
      <c r="F1085">
        <v>7177.1710945273717</v>
      </c>
      <c r="G1085" t="s">
        <v>30</v>
      </c>
      <c r="H1085" t="s">
        <v>95</v>
      </c>
    </row>
    <row r="1086" spans="1:8" x14ac:dyDescent="0.3">
      <c r="A1086" t="s">
        <v>1655</v>
      </c>
      <c r="B1086" t="s">
        <v>95</v>
      </c>
      <c r="C1086">
        <v>2026</v>
      </c>
      <c r="D1086" t="s">
        <v>40</v>
      </c>
      <c r="E1086" t="s">
        <v>1</v>
      </c>
      <c r="F1086">
        <v>201</v>
      </c>
      <c r="G1086" t="s">
        <v>54</v>
      </c>
      <c r="H1086" t="s">
        <v>95</v>
      </c>
    </row>
    <row r="1087" spans="1:8" x14ac:dyDescent="0.3">
      <c r="A1087" t="s">
        <v>1656</v>
      </c>
      <c r="B1087" t="s">
        <v>95</v>
      </c>
      <c r="C1087">
        <v>2026</v>
      </c>
      <c r="D1087" t="s">
        <v>40</v>
      </c>
      <c r="E1087" t="s">
        <v>1</v>
      </c>
      <c r="F1087">
        <v>1442611.3900000018</v>
      </c>
      <c r="G1087" t="s">
        <v>36</v>
      </c>
      <c r="H1087" t="s">
        <v>95</v>
      </c>
    </row>
    <row r="1088" spans="1:8" x14ac:dyDescent="0.3">
      <c r="A1088" t="s">
        <v>1657</v>
      </c>
      <c r="B1088" t="s">
        <v>95</v>
      </c>
      <c r="C1088">
        <v>2026</v>
      </c>
      <c r="D1088" t="s">
        <v>40</v>
      </c>
      <c r="E1088" t="s">
        <v>4</v>
      </c>
      <c r="F1088">
        <v>8711.0679948586203</v>
      </c>
      <c r="G1088" t="s">
        <v>30</v>
      </c>
      <c r="H1088" t="s">
        <v>95</v>
      </c>
    </row>
    <row r="1089" spans="1:8" x14ac:dyDescent="0.3">
      <c r="A1089" t="s">
        <v>1658</v>
      </c>
      <c r="B1089" t="s">
        <v>95</v>
      </c>
      <c r="C1089">
        <v>2026</v>
      </c>
      <c r="D1089" t="s">
        <v>40</v>
      </c>
      <c r="E1089" t="s">
        <v>4</v>
      </c>
      <c r="F1089">
        <v>389</v>
      </c>
      <c r="G1089" t="s">
        <v>54</v>
      </c>
      <c r="H1089" t="s">
        <v>95</v>
      </c>
    </row>
    <row r="1090" spans="1:8" x14ac:dyDescent="0.3">
      <c r="A1090" t="s">
        <v>1659</v>
      </c>
      <c r="B1090" t="s">
        <v>95</v>
      </c>
      <c r="C1090">
        <v>2026</v>
      </c>
      <c r="D1090" t="s">
        <v>40</v>
      </c>
      <c r="E1090" t="s">
        <v>4</v>
      </c>
      <c r="F1090">
        <v>3388605.4500000034</v>
      </c>
      <c r="G1090" t="s">
        <v>36</v>
      </c>
      <c r="H1090" t="s">
        <v>95</v>
      </c>
    </row>
    <row r="1091" spans="1:8" x14ac:dyDescent="0.3">
      <c r="A1091" t="s">
        <v>1660</v>
      </c>
      <c r="B1091" t="s">
        <v>95</v>
      </c>
      <c r="C1091">
        <v>2026</v>
      </c>
      <c r="D1091" t="s">
        <v>40</v>
      </c>
      <c r="E1091" t="s">
        <v>38</v>
      </c>
      <c r="F1091">
        <v>10384.663689839581</v>
      </c>
      <c r="G1091" t="s">
        <v>30</v>
      </c>
      <c r="H1091" t="s">
        <v>95</v>
      </c>
    </row>
    <row r="1092" spans="1:8" x14ac:dyDescent="0.3">
      <c r="A1092" t="s">
        <v>1661</v>
      </c>
      <c r="B1092" t="s">
        <v>95</v>
      </c>
      <c r="C1092">
        <v>2026</v>
      </c>
      <c r="D1092" t="s">
        <v>40</v>
      </c>
      <c r="E1092" t="s">
        <v>38</v>
      </c>
      <c r="F1092">
        <v>187</v>
      </c>
      <c r="G1092" t="s">
        <v>54</v>
      </c>
      <c r="H1092" t="s">
        <v>95</v>
      </c>
    </row>
    <row r="1093" spans="1:8" x14ac:dyDescent="0.3">
      <c r="A1093" t="s">
        <v>1662</v>
      </c>
      <c r="B1093" t="s">
        <v>95</v>
      </c>
      <c r="C1093">
        <v>2026</v>
      </c>
      <c r="D1093" t="s">
        <v>40</v>
      </c>
      <c r="E1093" t="s">
        <v>38</v>
      </c>
      <c r="F1093">
        <v>1941932.1100000017</v>
      </c>
      <c r="G1093" t="s">
        <v>36</v>
      </c>
      <c r="H1093" t="s">
        <v>95</v>
      </c>
    </row>
    <row r="1094" spans="1:8" x14ac:dyDescent="0.3">
      <c r="A1094" t="s">
        <v>1673</v>
      </c>
      <c r="B1094" t="s">
        <v>96</v>
      </c>
      <c r="C1094">
        <v>2026</v>
      </c>
      <c r="D1094" t="s">
        <v>45</v>
      </c>
      <c r="E1094" t="s">
        <v>2</v>
      </c>
      <c r="F1094">
        <v>4415.9349999999995</v>
      </c>
      <c r="G1094" t="s">
        <v>30</v>
      </c>
      <c r="H1094" t="s">
        <v>96</v>
      </c>
    </row>
    <row r="1095" spans="1:8" x14ac:dyDescent="0.3">
      <c r="A1095" t="s">
        <v>1674</v>
      </c>
      <c r="B1095" t="s">
        <v>96</v>
      </c>
      <c r="C1095">
        <v>2026</v>
      </c>
      <c r="D1095" t="s">
        <v>45</v>
      </c>
      <c r="E1095" t="s">
        <v>2</v>
      </c>
      <c r="F1095">
        <v>2</v>
      </c>
      <c r="G1095" t="s">
        <v>54</v>
      </c>
      <c r="H1095" t="s">
        <v>96</v>
      </c>
    </row>
    <row r="1096" spans="1:8" x14ac:dyDescent="0.3">
      <c r="A1096" t="s">
        <v>1675</v>
      </c>
      <c r="B1096" t="s">
        <v>96</v>
      </c>
      <c r="C1096">
        <v>2026</v>
      </c>
      <c r="D1096" t="s">
        <v>45</v>
      </c>
      <c r="E1096" t="s">
        <v>2</v>
      </c>
      <c r="F1096">
        <v>8831.869999999999</v>
      </c>
      <c r="G1096" t="s">
        <v>36</v>
      </c>
      <c r="H1096" t="s">
        <v>96</v>
      </c>
    </row>
    <row r="1097" spans="1:8" x14ac:dyDescent="0.3">
      <c r="A1097" t="s">
        <v>1676</v>
      </c>
      <c r="B1097" t="s">
        <v>96</v>
      </c>
      <c r="C1097">
        <v>2026</v>
      </c>
      <c r="D1097" t="s">
        <v>45</v>
      </c>
      <c r="E1097" t="s">
        <v>1</v>
      </c>
      <c r="F1097">
        <v>7971.0602762430999</v>
      </c>
      <c r="G1097" t="s">
        <v>30</v>
      </c>
      <c r="H1097" t="s">
        <v>96</v>
      </c>
    </row>
    <row r="1098" spans="1:8" x14ac:dyDescent="0.3">
      <c r="A1098" t="s">
        <v>1677</v>
      </c>
      <c r="B1098" t="s">
        <v>96</v>
      </c>
      <c r="C1098">
        <v>2026</v>
      </c>
      <c r="D1098" t="s">
        <v>45</v>
      </c>
      <c r="E1098" t="s">
        <v>1</v>
      </c>
      <c r="F1098">
        <v>181</v>
      </c>
      <c r="G1098" t="s">
        <v>54</v>
      </c>
      <c r="H1098" t="s">
        <v>96</v>
      </c>
    </row>
    <row r="1099" spans="1:8" x14ac:dyDescent="0.3">
      <c r="A1099" t="s">
        <v>1678</v>
      </c>
      <c r="B1099" t="s">
        <v>96</v>
      </c>
      <c r="C1099">
        <v>2026</v>
      </c>
      <c r="D1099" t="s">
        <v>45</v>
      </c>
      <c r="E1099" t="s">
        <v>1</v>
      </c>
      <c r="F1099">
        <v>1442761.9099999997</v>
      </c>
      <c r="G1099" t="s">
        <v>36</v>
      </c>
      <c r="H1099" t="s">
        <v>96</v>
      </c>
    </row>
    <row r="1100" spans="1:8" x14ac:dyDescent="0.3">
      <c r="A1100" t="s">
        <v>1679</v>
      </c>
      <c r="B1100" t="s">
        <v>96</v>
      </c>
      <c r="C1100">
        <v>2026</v>
      </c>
      <c r="D1100" t="s">
        <v>45</v>
      </c>
      <c r="E1100" t="s">
        <v>4</v>
      </c>
      <c r="F1100">
        <v>8575.7818300653616</v>
      </c>
      <c r="G1100" t="s">
        <v>30</v>
      </c>
      <c r="H1100" t="s">
        <v>96</v>
      </c>
    </row>
    <row r="1101" spans="1:8" x14ac:dyDescent="0.3">
      <c r="A1101" t="s">
        <v>1680</v>
      </c>
      <c r="B1101" t="s">
        <v>96</v>
      </c>
      <c r="C1101">
        <v>2026</v>
      </c>
      <c r="D1101" t="s">
        <v>45</v>
      </c>
      <c r="E1101" t="s">
        <v>4</v>
      </c>
      <c r="F1101">
        <v>306</v>
      </c>
      <c r="G1101" t="s">
        <v>54</v>
      </c>
      <c r="H1101" t="s">
        <v>96</v>
      </c>
    </row>
    <row r="1102" spans="1:8" x14ac:dyDescent="0.3">
      <c r="A1102" t="s">
        <v>1681</v>
      </c>
      <c r="B1102" t="s">
        <v>96</v>
      </c>
      <c r="C1102">
        <v>2026</v>
      </c>
      <c r="D1102" t="s">
        <v>45</v>
      </c>
      <c r="E1102" t="s">
        <v>4</v>
      </c>
      <c r="F1102">
        <v>2624189.2400000007</v>
      </c>
      <c r="G1102" t="s">
        <v>36</v>
      </c>
      <c r="H1102" t="s">
        <v>96</v>
      </c>
    </row>
    <row r="1103" spans="1:8" x14ac:dyDescent="0.3">
      <c r="A1103" t="s">
        <v>1682</v>
      </c>
      <c r="B1103" t="s">
        <v>96</v>
      </c>
      <c r="C1103">
        <v>2026</v>
      </c>
      <c r="D1103" t="s">
        <v>45</v>
      </c>
      <c r="E1103" t="s">
        <v>38</v>
      </c>
      <c r="F1103">
        <v>9533.2964227642351</v>
      </c>
      <c r="G1103" t="s">
        <v>30</v>
      </c>
      <c r="H1103" t="s">
        <v>96</v>
      </c>
    </row>
    <row r="1104" spans="1:8" x14ac:dyDescent="0.3">
      <c r="A1104" t="s">
        <v>1683</v>
      </c>
      <c r="B1104" t="s">
        <v>96</v>
      </c>
      <c r="C1104">
        <v>2026</v>
      </c>
      <c r="D1104" t="s">
        <v>45</v>
      </c>
      <c r="E1104" t="s">
        <v>38</v>
      </c>
      <c r="F1104">
        <v>123</v>
      </c>
      <c r="G1104" t="s">
        <v>54</v>
      </c>
      <c r="H1104" t="s">
        <v>96</v>
      </c>
    </row>
    <row r="1105" spans="1:8" x14ac:dyDescent="0.3">
      <c r="A1105" t="s">
        <v>1684</v>
      </c>
      <c r="B1105" t="s">
        <v>96</v>
      </c>
      <c r="C1105">
        <v>2026</v>
      </c>
      <c r="D1105" t="s">
        <v>45</v>
      </c>
      <c r="E1105" t="s">
        <v>38</v>
      </c>
      <c r="F1105">
        <v>1172595.4600000009</v>
      </c>
      <c r="G1105" t="s">
        <v>36</v>
      </c>
      <c r="H1105" t="s">
        <v>96</v>
      </c>
    </row>
    <row r="1106" spans="1:8" x14ac:dyDescent="0.3">
      <c r="A1106" t="s">
        <v>1698</v>
      </c>
      <c r="B1106" t="s">
        <v>97</v>
      </c>
      <c r="C1106">
        <v>2026</v>
      </c>
      <c r="D1106" t="s">
        <v>39</v>
      </c>
      <c r="E1106" t="s">
        <v>1</v>
      </c>
      <c r="F1106">
        <v>7935.623950000012</v>
      </c>
      <c r="G1106" t="s">
        <v>30</v>
      </c>
      <c r="H1106" t="s">
        <v>97</v>
      </c>
    </row>
    <row r="1107" spans="1:8" x14ac:dyDescent="0.3">
      <c r="A1107" t="s">
        <v>1699</v>
      </c>
      <c r="B1107" t="s">
        <v>97</v>
      </c>
      <c r="C1107">
        <v>2026</v>
      </c>
      <c r="D1107" t="s">
        <v>39</v>
      </c>
      <c r="E1107" t="s">
        <v>1</v>
      </c>
      <c r="F1107">
        <v>200</v>
      </c>
      <c r="G1107" t="s">
        <v>54</v>
      </c>
      <c r="H1107" t="s">
        <v>97</v>
      </c>
    </row>
    <row r="1108" spans="1:8" x14ac:dyDescent="0.3">
      <c r="A1108" t="s">
        <v>1700</v>
      </c>
      <c r="B1108" t="s">
        <v>97</v>
      </c>
      <c r="C1108">
        <v>2026</v>
      </c>
      <c r="D1108" t="s">
        <v>39</v>
      </c>
      <c r="E1108" t="s">
        <v>1</v>
      </c>
      <c r="F1108">
        <v>1587124.7900000014</v>
      </c>
      <c r="G1108" t="s">
        <v>36</v>
      </c>
      <c r="H1108" t="s">
        <v>97</v>
      </c>
    </row>
    <row r="1109" spans="1:8" x14ac:dyDescent="0.3">
      <c r="A1109" t="s">
        <v>1701</v>
      </c>
      <c r="B1109" t="s">
        <v>97</v>
      </c>
      <c r="C1109">
        <v>2026</v>
      </c>
      <c r="D1109" t="s">
        <v>39</v>
      </c>
      <c r="E1109" t="s">
        <v>4</v>
      </c>
      <c r="F1109">
        <v>8662.8976845637644</v>
      </c>
      <c r="G1109" t="s">
        <v>30</v>
      </c>
      <c r="H1109" t="s">
        <v>97</v>
      </c>
    </row>
    <row r="1110" spans="1:8" x14ac:dyDescent="0.3">
      <c r="A1110" t="s">
        <v>1702</v>
      </c>
      <c r="B1110" t="s">
        <v>97</v>
      </c>
      <c r="C1110">
        <v>2026</v>
      </c>
      <c r="D1110" t="s">
        <v>39</v>
      </c>
      <c r="E1110" t="s">
        <v>4</v>
      </c>
      <c r="F1110">
        <v>298</v>
      </c>
      <c r="G1110" t="s">
        <v>54</v>
      </c>
      <c r="H1110" t="s">
        <v>97</v>
      </c>
    </row>
    <row r="1111" spans="1:8" x14ac:dyDescent="0.3">
      <c r="A1111" t="s">
        <v>1703</v>
      </c>
      <c r="B1111" t="s">
        <v>97</v>
      </c>
      <c r="C1111">
        <v>2026</v>
      </c>
      <c r="D1111" t="s">
        <v>39</v>
      </c>
      <c r="E1111" t="s">
        <v>4</v>
      </c>
      <c r="F1111">
        <v>2581543.5100000016</v>
      </c>
      <c r="G1111" t="s">
        <v>36</v>
      </c>
      <c r="H1111" t="s">
        <v>97</v>
      </c>
    </row>
    <row r="1112" spans="1:8" x14ac:dyDescent="0.3">
      <c r="A1112" t="s">
        <v>1704</v>
      </c>
      <c r="B1112" t="s">
        <v>97</v>
      </c>
      <c r="C1112">
        <v>2026</v>
      </c>
      <c r="D1112" t="s">
        <v>39</v>
      </c>
      <c r="E1112" t="s">
        <v>38</v>
      </c>
      <c r="F1112">
        <v>10147.129795918372</v>
      </c>
      <c r="G1112" t="s">
        <v>30</v>
      </c>
      <c r="H1112" t="s">
        <v>97</v>
      </c>
    </row>
    <row r="1113" spans="1:8" x14ac:dyDescent="0.3">
      <c r="A1113" t="s">
        <v>1705</v>
      </c>
      <c r="B1113" t="s">
        <v>97</v>
      </c>
      <c r="C1113">
        <v>2026</v>
      </c>
      <c r="D1113" t="s">
        <v>39</v>
      </c>
      <c r="E1113" t="s">
        <v>38</v>
      </c>
      <c r="F1113">
        <v>98</v>
      </c>
      <c r="G1113" t="s">
        <v>54</v>
      </c>
      <c r="H1113" t="s">
        <v>97</v>
      </c>
    </row>
    <row r="1114" spans="1:8" x14ac:dyDescent="0.3">
      <c r="A1114" t="s">
        <v>1706</v>
      </c>
      <c r="B1114" t="s">
        <v>97</v>
      </c>
      <c r="C1114">
        <v>2026</v>
      </c>
      <c r="D1114" t="s">
        <v>39</v>
      </c>
      <c r="E1114" t="s">
        <v>38</v>
      </c>
      <c r="F1114">
        <v>994418.72000000032</v>
      </c>
      <c r="G1114" t="s">
        <v>36</v>
      </c>
      <c r="H1114" t="s">
        <v>97</v>
      </c>
    </row>
    <row r="1115" spans="1:8" x14ac:dyDescent="0.3">
      <c r="A1115" t="s">
        <v>1717</v>
      </c>
      <c r="B1115" t="s">
        <v>98</v>
      </c>
      <c r="C1115">
        <v>2026</v>
      </c>
      <c r="D1115" t="s">
        <v>43</v>
      </c>
      <c r="E1115" t="s">
        <v>2</v>
      </c>
      <c r="F1115">
        <v>19092.934999999998</v>
      </c>
      <c r="G1115" t="s">
        <v>30</v>
      </c>
      <c r="H1115" t="s">
        <v>98</v>
      </c>
    </row>
    <row r="1116" spans="1:8" x14ac:dyDescent="0.3">
      <c r="A1116" t="s">
        <v>1718</v>
      </c>
      <c r="B1116" t="s">
        <v>98</v>
      </c>
      <c r="C1116">
        <v>2026</v>
      </c>
      <c r="D1116" t="s">
        <v>43</v>
      </c>
      <c r="E1116" t="s">
        <v>2</v>
      </c>
      <c r="F1116">
        <v>2</v>
      </c>
      <c r="G1116" t="s">
        <v>54</v>
      </c>
      <c r="H1116" t="s">
        <v>98</v>
      </c>
    </row>
    <row r="1117" spans="1:8" x14ac:dyDescent="0.3">
      <c r="A1117" t="s">
        <v>1719</v>
      </c>
      <c r="B1117" t="s">
        <v>98</v>
      </c>
      <c r="C1117">
        <v>2026</v>
      </c>
      <c r="D1117" t="s">
        <v>43</v>
      </c>
      <c r="E1117" t="s">
        <v>2</v>
      </c>
      <c r="F1117">
        <v>38185.869999999995</v>
      </c>
      <c r="G1117" t="s">
        <v>36</v>
      </c>
      <c r="H1117" t="s">
        <v>98</v>
      </c>
    </row>
    <row r="1118" spans="1:8" x14ac:dyDescent="0.3">
      <c r="A1118" t="s">
        <v>1720</v>
      </c>
      <c r="B1118" t="s">
        <v>98</v>
      </c>
      <c r="C1118">
        <v>2026</v>
      </c>
      <c r="D1118" t="s">
        <v>43</v>
      </c>
      <c r="E1118" t="s">
        <v>1</v>
      </c>
      <c r="F1118">
        <v>7357.0370307167332</v>
      </c>
      <c r="G1118" t="s">
        <v>30</v>
      </c>
      <c r="H1118" t="s">
        <v>98</v>
      </c>
    </row>
    <row r="1119" spans="1:8" x14ac:dyDescent="0.3">
      <c r="A1119" t="s">
        <v>1721</v>
      </c>
      <c r="B1119" t="s">
        <v>98</v>
      </c>
      <c r="C1119">
        <v>2026</v>
      </c>
      <c r="D1119" t="s">
        <v>43</v>
      </c>
      <c r="E1119" t="s">
        <v>1</v>
      </c>
      <c r="F1119">
        <v>293</v>
      </c>
      <c r="G1119" t="s">
        <v>54</v>
      </c>
      <c r="H1119" t="s">
        <v>98</v>
      </c>
    </row>
    <row r="1120" spans="1:8" x14ac:dyDescent="0.3">
      <c r="A1120" t="s">
        <v>1722</v>
      </c>
      <c r="B1120" t="s">
        <v>98</v>
      </c>
      <c r="C1120">
        <v>2026</v>
      </c>
      <c r="D1120" t="s">
        <v>43</v>
      </c>
      <c r="E1120" t="s">
        <v>1</v>
      </c>
      <c r="F1120">
        <v>2155611.8500000029</v>
      </c>
      <c r="G1120" t="s">
        <v>36</v>
      </c>
      <c r="H1120" t="s">
        <v>98</v>
      </c>
    </row>
    <row r="1121" spans="1:8" x14ac:dyDescent="0.3">
      <c r="A1121" t="s">
        <v>1723</v>
      </c>
      <c r="B1121" t="s">
        <v>98</v>
      </c>
      <c r="C1121">
        <v>2026</v>
      </c>
      <c r="D1121" t="s">
        <v>43</v>
      </c>
      <c r="E1121" t="s">
        <v>4</v>
      </c>
      <c r="F1121">
        <v>8157.8386977887058</v>
      </c>
      <c r="G1121" t="s">
        <v>30</v>
      </c>
      <c r="H1121" t="s">
        <v>98</v>
      </c>
    </row>
    <row r="1122" spans="1:8" x14ac:dyDescent="0.3">
      <c r="A1122" t="s">
        <v>1724</v>
      </c>
      <c r="B1122" t="s">
        <v>98</v>
      </c>
      <c r="C1122">
        <v>2026</v>
      </c>
      <c r="D1122" t="s">
        <v>43</v>
      </c>
      <c r="E1122" t="s">
        <v>4</v>
      </c>
      <c r="F1122">
        <v>407</v>
      </c>
      <c r="G1122" t="s">
        <v>54</v>
      </c>
      <c r="H1122" t="s">
        <v>98</v>
      </c>
    </row>
    <row r="1123" spans="1:8" x14ac:dyDescent="0.3">
      <c r="A1123" t="s">
        <v>1725</v>
      </c>
      <c r="B1123" t="s">
        <v>98</v>
      </c>
      <c r="C1123">
        <v>2026</v>
      </c>
      <c r="D1123" t="s">
        <v>43</v>
      </c>
      <c r="E1123" t="s">
        <v>4</v>
      </c>
      <c r="F1123">
        <v>3320240.3500000034</v>
      </c>
      <c r="G1123" t="s">
        <v>36</v>
      </c>
      <c r="H1123" t="s">
        <v>98</v>
      </c>
    </row>
    <row r="1124" spans="1:8" x14ac:dyDescent="0.3">
      <c r="A1124" t="s">
        <v>1726</v>
      </c>
      <c r="B1124" t="s">
        <v>98</v>
      </c>
      <c r="C1124">
        <v>2026</v>
      </c>
      <c r="D1124" t="s">
        <v>43</v>
      </c>
      <c r="E1124" t="s">
        <v>38</v>
      </c>
      <c r="F1124">
        <v>10057.523482142864</v>
      </c>
      <c r="G1124" t="s">
        <v>30</v>
      </c>
      <c r="H1124" t="s">
        <v>98</v>
      </c>
    </row>
    <row r="1125" spans="1:8" x14ac:dyDescent="0.3">
      <c r="A1125" t="s">
        <v>1727</v>
      </c>
      <c r="B1125" t="s">
        <v>98</v>
      </c>
      <c r="C1125">
        <v>2026</v>
      </c>
      <c r="D1125" t="s">
        <v>43</v>
      </c>
      <c r="E1125" t="s">
        <v>38</v>
      </c>
      <c r="F1125">
        <v>112</v>
      </c>
      <c r="G1125" t="s">
        <v>54</v>
      </c>
      <c r="H1125" t="s">
        <v>98</v>
      </c>
    </row>
    <row r="1126" spans="1:8" x14ac:dyDescent="0.3">
      <c r="A1126" t="s">
        <v>1728</v>
      </c>
      <c r="B1126" t="s">
        <v>98</v>
      </c>
      <c r="C1126">
        <v>2026</v>
      </c>
      <c r="D1126" t="s">
        <v>43</v>
      </c>
      <c r="E1126" t="s">
        <v>38</v>
      </c>
      <c r="F1126">
        <v>1126442.6300000006</v>
      </c>
      <c r="G1126" t="s">
        <v>36</v>
      </c>
      <c r="H1126" t="s">
        <v>98</v>
      </c>
    </row>
    <row r="1127" spans="1:8" x14ac:dyDescent="0.3">
      <c r="A1127" t="s">
        <v>1739</v>
      </c>
      <c r="B1127" t="s">
        <v>99</v>
      </c>
      <c r="C1127">
        <v>2026</v>
      </c>
      <c r="D1127" t="s">
        <v>47</v>
      </c>
      <c r="E1127" t="s">
        <v>2</v>
      </c>
      <c r="F1127">
        <v>7918.142499999999</v>
      </c>
      <c r="G1127" t="s">
        <v>30</v>
      </c>
      <c r="H1127" t="s">
        <v>99</v>
      </c>
    </row>
    <row r="1128" spans="1:8" x14ac:dyDescent="0.3">
      <c r="A1128" t="s">
        <v>1740</v>
      </c>
      <c r="B1128" t="s">
        <v>99</v>
      </c>
      <c r="C1128">
        <v>2026</v>
      </c>
      <c r="D1128" t="s">
        <v>47</v>
      </c>
      <c r="E1128" t="s">
        <v>2</v>
      </c>
      <c r="F1128">
        <v>4</v>
      </c>
      <c r="G1128" t="s">
        <v>54</v>
      </c>
      <c r="H1128" t="s">
        <v>99</v>
      </c>
    </row>
    <row r="1129" spans="1:8" x14ac:dyDescent="0.3">
      <c r="A1129" t="s">
        <v>1741</v>
      </c>
      <c r="B1129" t="s">
        <v>99</v>
      </c>
      <c r="C1129">
        <v>2026</v>
      </c>
      <c r="D1129" t="s">
        <v>47</v>
      </c>
      <c r="E1129" t="s">
        <v>2</v>
      </c>
      <c r="F1129">
        <v>31672.57</v>
      </c>
      <c r="G1129" t="s">
        <v>36</v>
      </c>
      <c r="H1129" t="s">
        <v>99</v>
      </c>
    </row>
    <row r="1130" spans="1:8" x14ac:dyDescent="0.3">
      <c r="A1130" t="s">
        <v>1742</v>
      </c>
      <c r="B1130" t="s">
        <v>99</v>
      </c>
      <c r="C1130">
        <v>2026</v>
      </c>
      <c r="D1130" t="s">
        <v>47</v>
      </c>
      <c r="E1130" t="s">
        <v>1</v>
      </c>
      <c r="F1130">
        <v>8727.6041250000035</v>
      </c>
      <c r="G1130" t="s">
        <v>30</v>
      </c>
      <c r="H1130" t="s">
        <v>99</v>
      </c>
    </row>
    <row r="1131" spans="1:8" x14ac:dyDescent="0.3">
      <c r="A1131" t="s">
        <v>1743</v>
      </c>
      <c r="B1131" t="s">
        <v>99</v>
      </c>
      <c r="C1131">
        <v>2026</v>
      </c>
      <c r="D1131" t="s">
        <v>47</v>
      </c>
      <c r="E1131" t="s">
        <v>1</v>
      </c>
      <c r="F1131">
        <v>160</v>
      </c>
      <c r="G1131" t="s">
        <v>54</v>
      </c>
      <c r="H1131" t="s">
        <v>99</v>
      </c>
    </row>
    <row r="1132" spans="1:8" x14ac:dyDescent="0.3">
      <c r="A1132" t="s">
        <v>1744</v>
      </c>
      <c r="B1132" t="s">
        <v>99</v>
      </c>
      <c r="C1132">
        <v>2026</v>
      </c>
      <c r="D1132" t="s">
        <v>47</v>
      </c>
      <c r="E1132" t="s">
        <v>1</v>
      </c>
      <c r="F1132">
        <v>1396416.6600000008</v>
      </c>
      <c r="G1132" t="s">
        <v>36</v>
      </c>
      <c r="H1132" t="s">
        <v>99</v>
      </c>
    </row>
    <row r="1133" spans="1:8" x14ac:dyDescent="0.3">
      <c r="A1133" t="s">
        <v>1745</v>
      </c>
      <c r="B1133" t="s">
        <v>99</v>
      </c>
      <c r="C1133">
        <v>2026</v>
      </c>
      <c r="D1133" t="s">
        <v>47</v>
      </c>
      <c r="E1133" t="s">
        <v>4</v>
      </c>
      <c r="F1133">
        <v>9794.6223546511701</v>
      </c>
      <c r="G1133" t="s">
        <v>30</v>
      </c>
      <c r="H1133" t="s">
        <v>99</v>
      </c>
    </row>
    <row r="1134" spans="1:8" x14ac:dyDescent="0.3">
      <c r="A1134" t="s">
        <v>1746</v>
      </c>
      <c r="B1134" t="s">
        <v>99</v>
      </c>
      <c r="C1134">
        <v>2026</v>
      </c>
      <c r="D1134" t="s">
        <v>47</v>
      </c>
      <c r="E1134" t="s">
        <v>4</v>
      </c>
      <c r="F1134">
        <v>344</v>
      </c>
      <c r="G1134" t="s">
        <v>54</v>
      </c>
      <c r="H1134" t="s">
        <v>99</v>
      </c>
    </row>
    <row r="1135" spans="1:8" x14ac:dyDescent="0.3">
      <c r="A1135" t="s">
        <v>1747</v>
      </c>
      <c r="B1135" t="s">
        <v>99</v>
      </c>
      <c r="C1135">
        <v>2026</v>
      </c>
      <c r="D1135" t="s">
        <v>47</v>
      </c>
      <c r="E1135" t="s">
        <v>4</v>
      </c>
      <c r="F1135">
        <v>3369350.0900000026</v>
      </c>
      <c r="G1135" t="s">
        <v>36</v>
      </c>
      <c r="H1135" t="s">
        <v>99</v>
      </c>
    </row>
    <row r="1136" spans="1:8" x14ac:dyDescent="0.3">
      <c r="A1136" t="s">
        <v>1748</v>
      </c>
      <c r="B1136" t="s">
        <v>99</v>
      </c>
      <c r="C1136">
        <v>2026</v>
      </c>
      <c r="D1136" t="s">
        <v>47</v>
      </c>
      <c r="E1136" t="s">
        <v>38</v>
      </c>
      <c r="F1136">
        <v>10784.78255555557</v>
      </c>
      <c r="G1136" t="s">
        <v>30</v>
      </c>
      <c r="H1136" t="s">
        <v>99</v>
      </c>
    </row>
    <row r="1137" spans="1:8" x14ac:dyDescent="0.3">
      <c r="A1137" t="s">
        <v>1749</v>
      </c>
      <c r="B1137" t="s">
        <v>99</v>
      </c>
      <c r="C1137">
        <v>2026</v>
      </c>
      <c r="D1137" t="s">
        <v>47</v>
      </c>
      <c r="E1137" t="s">
        <v>38</v>
      </c>
      <c r="F1137">
        <v>180</v>
      </c>
      <c r="G1137" t="s">
        <v>54</v>
      </c>
      <c r="H1137" t="s">
        <v>99</v>
      </c>
    </row>
    <row r="1138" spans="1:8" x14ac:dyDescent="0.3">
      <c r="A1138" t="s">
        <v>1750</v>
      </c>
      <c r="B1138" t="s">
        <v>99</v>
      </c>
      <c r="C1138">
        <v>2026</v>
      </c>
      <c r="D1138" t="s">
        <v>47</v>
      </c>
      <c r="E1138" t="s">
        <v>38</v>
      </c>
      <c r="F1138">
        <v>1941260.860000002</v>
      </c>
      <c r="G1138" t="s">
        <v>36</v>
      </c>
      <c r="H1138" t="s">
        <v>99</v>
      </c>
    </row>
    <row r="1139" spans="1:8" x14ac:dyDescent="0.3">
      <c r="A1139" t="s">
        <v>1764</v>
      </c>
      <c r="B1139" t="s">
        <v>100</v>
      </c>
      <c r="C1139">
        <v>2026</v>
      </c>
      <c r="D1139" t="s">
        <v>41</v>
      </c>
      <c r="E1139" t="s">
        <v>1</v>
      </c>
      <c r="F1139">
        <v>7875.9117228464493</v>
      </c>
      <c r="G1139" t="s">
        <v>30</v>
      </c>
      <c r="H1139" t="s">
        <v>100</v>
      </c>
    </row>
    <row r="1140" spans="1:8" x14ac:dyDescent="0.3">
      <c r="A1140" t="s">
        <v>1765</v>
      </c>
      <c r="B1140" t="s">
        <v>100</v>
      </c>
      <c r="C1140">
        <v>2026</v>
      </c>
      <c r="D1140" t="s">
        <v>41</v>
      </c>
      <c r="E1140" t="s">
        <v>1</v>
      </c>
      <c r="F1140">
        <v>267</v>
      </c>
      <c r="G1140" t="s">
        <v>54</v>
      </c>
      <c r="H1140" t="s">
        <v>100</v>
      </c>
    </row>
    <row r="1141" spans="1:8" x14ac:dyDescent="0.3">
      <c r="A1141" t="s">
        <v>1766</v>
      </c>
      <c r="B1141" t="s">
        <v>100</v>
      </c>
      <c r="C1141">
        <v>2026</v>
      </c>
      <c r="D1141" t="s">
        <v>41</v>
      </c>
      <c r="E1141" t="s">
        <v>1</v>
      </c>
      <c r="F1141">
        <v>2102868.430000002</v>
      </c>
      <c r="G1141" t="s">
        <v>36</v>
      </c>
      <c r="H1141" t="s">
        <v>100</v>
      </c>
    </row>
    <row r="1142" spans="1:8" x14ac:dyDescent="0.3">
      <c r="A1142" t="s">
        <v>1767</v>
      </c>
      <c r="B1142" t="s">
        <v>100</v>
      </c>
      <c r="C1142">
        <v>2026</v>
      </c>
      <c r="D1142" t="s">
        <v>41</v>
      </c>
      <c r="E1142" t="s">
        <v>4</v>
      </c>
      <c r="F1142">
        <v>8845.0395869565291</v>
      </c>
      <c r="G1142" t="s">
        <v>30</v>
      </c>
      <c r="H1142" t="s">
        <v>100</v>
      </c>
    </row>
    <row r="1143" spans="1:8" x14ac:dyDescent="0.3">
      <c r="A1143" t="s">
        <v>1768</v>
      </c>
      <c r="B1143" t="s">
        <v>100</v>
      </c>
      <c r="C1143">
        <v>2026</v>
      </c>
      <c r="D1143" t="s">
        <v>41</v>
      </c>
      <c r="E1143" t="s">
        <v>4</v>
      </c>
      <c r="F1143">
        <v>460</v>
      </c>
      <c r="G1143" t="s">
        <v>54</v>
      </c>
      <c r="H1143" t="s">
        <v>100</v>
      </c>
    </row>
    <row r="1144" spans="1:8" x14ac:dyDescent="0.3">
      <c r="A1144" t="s">
        <v>1769</v>
      </c>
      <c r="B1144" t="s">
        <v>100</v>
      </c>
      <c r="C1144">
        <v>2026</v>
      </c>
      <c r="D1144" t="s">
        <v>41</v>
      </c>
      <c r="E1144" t="s">
        <v>4</v>
      </c>
      <c r="F1144">
        <v>4068718.2100000032</v>
      </c>
      <c r="G1144" t="s">
        <v>36</v>
      </c>
      <c r="H1144" t="s">
        <v>100</v>
      </c>
    </row>
    <row r="1145" spans="1:8" x14ac:dyDescent="0.3">
      <c r="A1145" t="s">
        <v>1770</v>
      </c>
      <c r="B1145" t="s">
        <v>100</v>
      </c>
      <c r="C1145">
        <v>2026</v>
      </c>
      <c r="D1145" t="s">
        <v>41</v>
      </c>
      <c r="E1145" t="s">
        <v>38</v>
      </c>
      <c r="F1145">
        <v>10185.750155440421</v>
      </c>
      <c r="G1145" t="s">
        <v>30</v>
      </c>
      <c r="H1145" t="s">
        <v>100</v>
      </c>
    </row>
    <row r="1146" spans="1:8" x14ac:dyDescent="0.3">
      <c r="A1146" t="s">
        <v>1771</v>
      </c>
      <c r="B1146" t="s">
        <v>100</v>
      </c>
      <c r="C1146">
        <v>2026</v>
      </c>
      <c r="D1146" t="s">
        <v>41</v>
      </c>
      <c r="E1146" t="s">
        <v>38</v>
      </c>
      <c r="F1146">
        <v>193</v>
      </c>
      <c r="G1146" t="s">
        <v>54</v>
      </c>
      <c r="H1146" t="s">
        <v>100</v>
      </c>
    </row>
    <row r="1147" spans="1:8" x14ac:dyDescent="0.3">
      <c r="A1147" t="s">
        <v>1772</v>
      </c>
      <c r="B1147" t="s">
        <v>100</v>
      </c>
      <c r="C1147">
        <v>2026</v>
      </c>
      <c r="D1147" t="s">
        <v>41</v>
      </c>
      <c r="E1147" t="s">
        <v>38</v>
      </c>
      <c r="F1147">
        <v>1965849.7800000012</v>
      </c>
      <c r="G1147" t="s">
        <v>36</v>
      </c>
      <c r="H1147" t="s">
        <v>100</v>
      </c>
    </row>
    <row r="1148" spans="1:8" x14ac:dyDescent="0.3">
      <c r="A1148" t="s">
        <v>1831</v>
      </c>
      <c r="B1148" t="s">
        <v>101</v>
      </c>
      <c r="C1148">
        <v>2026</v>
      </c>
      <c r="D1148" t="s">
        <v>37</v>
      </c>
      <c r="E1148" t="s">
        <v>1</v>
      </c>
      <c r="F1148">
        <v>7191.6541250000009</v>
      </c>
      <c r="G1148" t="s">
        <v>30</v>
      </c>
      <c r="H1148" t="s">
        <v>101</v>
      </c>
    </row>
    <row r="1149" spans="1:8" x14ac:dyDescent="0.3">
      <c r="A1149" t="s">
        <v>1832</v>
      </c>
      <c r="B1149" t="s">
        <v>101</v>
      </c>
      <c r="C1149">
        <v>2026</v>
      </c>
      <c r="D1149" t="s">
        <v>37</v>
      </c>
      <c r="E1149" t="s">
        <v>1</v>
      </c>
      <c r="F1149">
        <v>160</v>
      </c>
      <c r="G1149" t="s">
        <v>54</v>
      </c>
      <c r="H1149" t="s">
        <v>101</v>
      </c>
    </row>
    <row r="1150" spans="1:8" x14ac:dyDescent="0.3">
      <c r="A1150" t="s">
        <v>1833</v>
      </c>
      <c r="B1150" t="s">
        <v>101</v>
      </c>
      <c r="C1150">
        <v>2026</v>
      </c>
      <c r="D1150" t="s">
        <v>37</v>
      </c>
      <c r="E1150" t="s">
        <v>1</v>
      </c>
      <c r="F1150">
        <v>1150664.6599999999</v>
      </c>
      <c r="G1150" t="s">
        <v>36</v>
      </c>
      <c r="H1150" t="s">
        <v>101</v>
      </c>
    </row>
    <row r="1151" spans="1:8" x14ac:dyDescent="0.3">
      <c r="A1151" t="s">
        <v>1834</v>
      </c>
      <c r="B1151" t="s">
        <v>101</v>
      </c>
      <c r="C1151">
        <v>2026</v>
      </c>
      <c r="D1151" t="s">
        <v>37</v>
      </c>
      <c r="E1151" t="s">
        <v>4</v>
      </c>
      <c r="F1151">
        <v>8611.7290697674434</v>
      </c>
      <c r="G1151" t="s">
        <v>30</v>
      </c>
      <c r="H1151" t="s">
        <v>101</v>
      </c>
    </row>
    <row r="1152" spans="1:8" x14ac:dyDescent="0.3">
      <c r="A1152" t="s">
        <v>1835</v>
      </c>
      <c r="B1152" t="s">
        <v>101</v>
      </c>
      <c r="C1152">
        <v>2026</v>
      </c>
      <c r="D1152" t="s">
        <v>37</v>
      </c>
      <c r="E1152" t="s">
        <v>4</v>
      </c>
      <c r="F1152">
        <v>344</v>
      </c>
      <c r="G1152" t="s">
        <v>54</v>
      </c>
      <c r="H1152" t="s">
        <v>101</v>
      </c>
    </row>
    <row r="1153" spans="1:8" x14ac:dyDescent="0.3">
      <c r="A1153" t="s">
        <v>1836</v>
      </c>
      <c r="B1153" t="s">
        <v>101</v>
      </c>
      <c r="C1153">
        <v>2026</v>
      </c>
      <c r="D1153" t="s">
        <v>37</v>
      </c>
      <c r="E1153" t="s">
        <v>4</v>
      </c>
      <c r="F1153">
        <v>2962434.8000000003</v>
      </c>
      <c r="G1153" t="s">
        <v>36</v>
      </c>
      <c r="H1153" t="s">
        <v>101</v>
      </c>
    </row>
    <row r="1154" spans="1:8" x14ac:dyDescent="0.3">
      <c r="A1154" t="s">
        <v>1837</v>
      </c>
      <c r="B1154" t="s">
        <v>101</v>
      </c>
      <c r="C1154">
        <v>2026</v>
      </c>
      <c r="D1154" t="s">
        <v>37</v>
      </c>
      <c r="E1154" t="s">
        <v>38</v>
      </c>
      <c r="F1154">
        <v>9846.5768478260889</v>
      </c>
      <c r="G1154" t="s">
        <v>30</v>
      </c>
      <c r="H1154" t="s">
        <v>101</v>
      </c>
    </row>
    <row r="1155" spans="1:8" x14ac:dyDescent="0.3">
      <c r="A1155" t="s">
        <v>1838</v>
      </c>
      <c r="B1155" t="s">
        <v>101</v>
      </c>
      <c r="C1155">
        <v>2026</v>
      </c>
      <c r="D1155" t="s">
        <v>37</v>
      </c>
      <c r="E1155" t="s">
        <v>38</v>
      </c>
      <c r="F1155">
        <v>184</v>
      </c>
      <c r="G1155" t="s">
        <v>54</v>
      </c>
      <c r="H1155" t="s">
        <v>101</v>
      </c>
    </row>
    <row r="1156" spans="1:8" x14ac:dyDescent="0.3">
      <c r="A1156" t="s">
        <v>1839</v>
      </c>
      <c r="B1156" t="s">
        <v>101</v>
      </c>
      <c r="C1156">
        <v>2026</v>
      </c>
      <c r="D1156" t="s">
        <v>37</v>
      </c>
      <c r="E1156" t="s">
        <v>38</v>
      </c>
      <c r="F1156">
        <v>1811770.1400000004</v>
      </c>
      <c r="G1156" t="s">
        <v>36</v>
      </c>
      <c r="H1156" t="s">
        <v>101</v>
      </c>
    </row>
    <row r="1157" spans="1:8" x14ac:dyDescent="0.3">
      <c r="A1157" t="s">
        <v>1850</v>
      </c>
      <c r="B1157" t="s">
        <v>642</v>
      </c>
      <c r="C1157">
        <v>2026</v>
      </c>
      <c r="D1157" t="s">
        <v>641</v>
      </c>
      <c r="E1157" t="s">
        <v>2</v>
      </c>
      <c r="F1157">
        <v>0</v>
      </c>
      <c r="G1157" t="s">
        <v>30</v>
      </c>
      <c r="H1157" t="s">
        <v>642</v>
      </c>
    </row>
    <row r="1158" spans="1:8" x14ac:dyDescent="0.3">
      <c r="A1158" t="s">
        <v>1851</v>
      </c>
      <c r="B1158" t="s">
        <v>642</v>
      </c>
      <c r="C1158">
        <v>2026</v>
      </c>
      <c r="D1158" t="s">
        <v>641</v>
      </c>
      <c r="E1158" t="s">
        <v>2</v>
      </c>
      <c r="F1158">
        <v>1</v>
      </c>
      <c r="G1158" t="s">
        <v>54</v>
      </c>
      <c r="H1158" t="s">
        <v>642</v>
      </c>
    </row>
    <row r="1159" spans="1:8" x14ac:dyDescent="0.3">
      <c r="A1159" t="s">
        <v>1852</v>
      </c>
      <c r="B1159" t="s">
        <v>642</v>
      </c>
      <c r="C1159">
        <v>2026</v>
      </c>
      <c r="D1159" t="s">
        <v>641</v>
      </c>
      <c r="E1159" t="s">
        <v>2</v>
      </c>
      <c r="F1159">
        <v>0</v>
      </c>
      <c r="G1159" t="s">
        <v>36</v>
      </c>
      <c r="H1159" t="s">
        <v>642</v>
      </c>
    </row>
    <row r="1160" spans="1:8" x14ac:dyDescent="0.3">
      <c r="A1160" t="s">
        <v>1853</v>
      </c>
      <c r="B1160" t="s">
        <v>642</v>
      </c>
      <c r="C1160">
        <v>2026</v>
      </c>
      <c r="D1160" t="s">
        <v>641</v>
      </c>
      <c r="E1160" t="s">
        <v>1</v>
      </c>
      <c r="F1160">
        <v>8481.2813684210614</v>
      </c>
      <c r="G1160" t="s">
        <v>30</v>
      </c>
      <c r="H1160" t="s">
        <v>642</v>
      </c>
    </row>
    <row r="1161" spans="1:8" x14ac:dyDescent="0.3">
      <c r="A1161" t="s">
        <v>1854</v>
      </c>
      <c r="B1161" t="s">
        <v>642</v>
      </c>
      <c r="C1161">
        <v>2026</v>
      </c>
      <c r="D1161" t="s">
        <v>641</v>
      </c>
      <c r="E1161" t="s">
        <v>1</v>
      </c>
      <c r="F1161">
        <v>190</v>
      </c>
      <c r="G1161" t="s">
        <v>54</v>
      </c>
      <c r="H1161" t="s">
        <v>642</v>
      </c>
    </row>
    <row r="1162" spans="1:8" x14ac:dyDescent="0.3">
      <c r="A1162" t="s">
        <v>1855</v>
      </c>
      <c r="B1162" t="s">
        <v>642</v>
      </c>
      <c r="C1162">
        <v>2026</v>
      </c>
      <c r="D1162" t="s">
        <v>641</v>
      </c>
      <c r="E1162" t="s">
        <v>1</v>
      </c>
      <c r="F1162">
        <v>1611443.4600000016</v>
      </c>
      <c r="G1162" t="s">
        <v>36</v>
      </c>
      <c r="H1162" t="s">
        <v>642</v>
      </c>
    </row>
    <row r="1163" spans="1:8" x14ac:dyDescent="0.3">
      <c r="A1163" t="s">
        <v>1856</v>
      </c>
      <c r="B1163" t="s">
        <v>642</v>
      </c>
      <c r="C1163">
        <v>2026</v>
      </c>
      <c r="D1163" t="s">
        <v>641</v>
      </c>
      <c r="E1163" t="s">
        <v>4</v>
      </c>
      <c r="F1163">
        <v>8436.8767539267101</v>
      </c>
      <c r="G1163" t="s">
        <v>30</v>
      </c>
      <c r="H1163" t="s">
        <v>642</v>
      </c>
    </row>
    <row r="1164" spans="1:8" x14ac:dyDescent="0.3">
      <c r="A1164" t="s">
        <v>1857</v>
      </c>
      <c r="B1164" t="s">
        <v>642</v>
      </c>
      <c r="C1164">
        <v>2026</v>
      </c>
      <c r="D1164" t="s">
        <v>641</v>
      </c>
      <c r="E1164" t="s">
        <v>4</v>
      </c>
      <c r="F1164">
        <v>191</v>
      </c>
      <c r="G1164" t="s">
        <v>54</v>
      </c>
      <c r="H1164" t="s">
        <v>642</v>
      </c>
    </row>
    <row r="1165" spans="1:8" x14ac:dyDescent="0.3">
      <c r="A1165" t="s">
        <v>1858</v>
      </c>
      <c r="B1165" t="s">
        <v>642</v>
      </c>
      <c r="C1165">
        <v>2026</v>
      </c>
      <c r="D1165" t="s">
        <v>641</v>
      </c>
      <c r="E1165" t="s">
        <v>4</v>
      </c>
      <c r="F1165">
        <v>1611443.4600000016</v>
      </c>
      <c r="G1165" t="s">
        <v>36</v>
      </c>
      <c r="H1165" t="s">
        <v>642</v>
      </c>
    </row>
    <row r="1166" spans="1:8" x14ac:dyDescent="0.3">
      <c r="A1166" t="s">
        <v>1871</v>
      </c>
      <c r="B1166" t="s">
        <v>60</v>
      </c>
      <c r="C1166">
        <v>2026</v>
      </c>
      <c r="D1166" t="s">
        <v>60</v>
      </c>
      <c r="E1166" t="s">
        <v>2</v>
      </c>
      <c r="F1166">
        <v>7568.2735714285709</v>
      </c>
      <c r="G1166" t="s">
        <v>36</v>
      </c>
      <c r="H1166" t="s">
        <v>60</v>
      </c>
    </row>
    <row r="1167" spans="1:8" x14ac:dyDescent="0.3">
      <c r="A1167" t="s">
        <v>1872</v>
      </c>
      <c r="B1167" t="s">
        <v>60</v>
      </c>
      <c r="C1167">
        <v>2026</v>
      </c>
      <c r="D1167" t="s">
        <v>60</v>
      </c>
      <c r="E1167" t="s">
        <v>2</v>
      </c>
      <c r="F1167">
        <v>14</v>
      </c>
      <c r="G1167" t="s">
        <v>54</v>
      </c>
      <c r="H1167" t="s">
        <v>60</v>
      </c>
    </row>
    <row r="1168" spans="1:8" x14ac:dyDescent="0.3">
      <c r="A1168" t="s">
        <v>1873</v>
      </c>
      <c r="B1168" t="s">
        <v>60</v>
      </c>
      <c r="C1168">
        <v>2026</v>
      </c>
      <c r="D1168" t="s">
        <v>60</v>
      </c>
      <c r="E1168" t="s">
        <v>2</v>
      </c>
      <c r="F1168">
        <v>105955.82999999999</v>
      </c>
      <c r="G1168" t="s">
        <v>36</v>
      </c>
      <c r="H1168" t="s">
        <v>60</v>
      </c>
    </row>
    <row r="1169" spans="1:8" x14ac:dyDescent="0.3">
      <c r="A1169" t="s">
        <v>1874</v>
      </c>
      <c r="B1169" t="s">
        <v>60</v>
      </c>
      <c r="C1169">
        <v>2026</v>
      </c>
      <c r="D1169" t="s">
        <v>60</v>
      </c>
      <c r="E1169" t="s">
        <v>1</v>
      </c>
      <c r="F1169">
        <v>7831.0329090909154</v>
      </c>
      <c r="G1169" t="s">
        <v>36</v>
      </c>
      <c r="H1169" t="s">
        <v>60</v>
      </c>
    </row>
    <row r="1170" spans="1:8" x14ac:dyDescent="0.3">
      <c r="A1170" t="s">
        <v>1875</v>
      </c>
      <c r="B1170" t="s">
        <v>60</v>
      </c>
      <c r="C1170">
        <v>2026</v>
      </c>
      <c r="D1170" t="s">
        <v>60</v>
      </c>
      <c r="E1170" t="s">
        <v>1</v>
      </c>
      <c r="F1170">
        <v>2090</v>
      </c>
      <c r="G1170" t="s">
        <v>54</v>
      </c>
      <c r="H1170" t="s">
        <v>60</v>
      </c>
    </row>
    <row r="1171" spans="1:8" x14ac:dyDescent="0.3">
      <c r="A1171" t="s">
        <v>1876</v>
      </c>
      <c r="B1171" t="s">
        <v>60</v>
      </c>
      <c r="C1171">
        <v>2026</v>
      </c>
      <c r="D1171" t="s">
        <v>60</v>
      </c>
      <c r="E1171" t="s">
        <v>1</v>
      </c>
      <c r="F1171">
        <v>16366858.780000012</v>
      </c>
      <c r="G1171" t="s">
        <v>36</v>
      </c>
      <c r="H1171" t="s">
        <v>60</v>
      </c>
    </row>
    <row r="1172" spans="1:8" x14ac:dyDescent="0.3">
      <c r="A1172" t="s">
        <v>1877</v>
      </c>
      <c r="B1172" t="s">
        <v>60</v>
      </c>
      <c r="C1172">
        <v>2026</v>
      </c>
      <c r="D1172" t="s">
        <v>60</v>
      </c>
      <c r="E1172" t="s">
        <v>4</v>
      </c>
      <c r="F1172">
        <v>8829.9469641475425</v>
      </c>
      <c r="G1172" t="s">
        <v>36</v>
      </c>
      <c r="H1172" t="s">
        <v>60</v>
      </c>
    </row>
    <row r="1173" spans="1:8" x14ac:dyDescent="0.3">
      <c r="A1173" t="s">
        <v>1878</v>
      </c>
      <c r="B1173" t="s">
        <v>60</v>
      </c>
      <c r="C1173">
        <v>2026</v>
      </c>
      <c r="D1173" t="s">
        <v>60</v>
      </c>
      <c r="E1173" t="s">
        <v>4</v>
      </c>
      <c r="F1173">
        <v>3877</v>
      </c>
      <c r="G1173" t="s">
        <v>54</v>
      </c>
      <c r="H1173" t="s">
        <v>60</v>
      </c>
    </row>
    <row r="1174" spans="1:8" x14ac:dyDescent="0.3">
      <c r="A1174" t="s">
        <v>1879</v>
      </c>
      <c r="B1174" t="s">
        <v>60</v>
      </c>
      <c r="C1174">
        <v>2026</v>
      </c>
      <c r="D1174" t="s">
        <v>60</v>
      </c>
      <c r="E1174" t="s">
        <v>4</v>
      </c>
      <c r="F1174">
        <v>34233704.380000025</v>
      </c>
      <c r="G1174" t="s">
        <v>36</v>
      </c>
      <c r="H1174" t="s">
        <v>60</v>
      </c>
    </row>
    <row r="1175" spans="1:8" x14ac:dyDescent="0.3">
      <c r="A1175" t="s">
        <v>1880</v>
      </c>
      <c r="B1175" t="s">
        <v>60</v>
      </c>
      <c r="C1175">
        <v>2026</v>
      </c>
      <c r="D1175" t="s">
        <v>60</v>
      </c>
      <c r="E1175" t="s">
        <v>38</v>
      </c>
      <c r="F1175">
        <v>10017.422318104913</v>
      </c>
      <c r="G1175" t="s">
        <v>36</v>
      </c>
      <c r="H1175" t="s">
        <v>60</v>
      </c>
    </row>
    <row r="1176" spans="1:8" x14ac:dyDescent="0.3">
      <c r="A1176" t="s">
        <v>1881</v>
      </c>
      <c r="B1176" t="s">
        <v>60</v>
      </c>
      <c r="C1176">
        <v>2026</v>
      </c>
      <c r="D1176" t="s">
        <v>60</v>
      </c>
      <c r="E1176" t="s">
        <v>38</v>
      </c>
      <c r="F1176">
        <v>1773</v>
      </c>
      <c r="G1176" t="s">
        <v>54</v>
      </c>
      <c r="H1176" t="s">
        <v>60</v>
      </c>
    </row>
    <row r="1177" spans="1:8" x14ac:dyDescent="0.3">
      <c r="A1177" t="s">
        <v>1882</v>
      </c>
      <c r="B1177" t="s">
        <v>60</v>
      </c>
      <c r="C1177">
        <v>2026</v>
      </c>
      <c r="D1177" t="s">
        <v>60</v>
      </c>
      <c r="E1177" t="s">
        <v>38</v>
      </c>
      <c r="F1177">
        <v>17760889.770000011</v>
      </c>
      <c r="G1177" t="s">
        <v>36</v>
      </c>
      <c r="H1177" t="s">
        <v>60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E1368-F3E0-437E-A3F7-58C11E707209}">
  <sheetPr codeName="Hoja5"/>
  <dimension ref="A1:H1377"/>
  <sheetViews>
    <sheetView workbookViewId="0">
      <selection activeCell="A23" sqref="A23"/>
    </sheetView>
  </sheetViews>
  <sheetFormatPr baseColWidth="10" defaultRowHeight="14.4" x14ac:dyDescent="0.3"/>
  <cols>
    <col min="1" max="1" width="47.44140625" bestFit="1" customWidth="1"/>
    <col min="2" max="2" width="18.33203125" bestFit="1" customWidth="1"/>
    <col min="3" max="3" width="7.109375" bestFit="1" customWidth="1"/>
    <col min="4" max="4" width="19" bestFit="1" customWidth="1"/>
    <col min="5" max="5" width="10.88671875" bestFit="1" customWidth="1"/>
    <col min="6" max="6" width="12" bestFit="1" customWidth="1"/>
    <col min="7" max="7" width="12.5546875" bestFit="1" customWidth="1"/>
    <col min="8" max="8" width="18.33203125" bestFit="1" customWidth="1"/>
  </cols>
  <sheetData>
    <row r="1" spans="1:8" x14ac:dyDescent="0.3">
      <c r="A1" t="s">
        <v>31</v>
      </c>
      <c r="B1" t="s">
        <v>65</v>
      </c>
      <c r="C1" t="s">
        <v>32</v>
      </c>
      <c r="D1" t="s">
        <v>33</v>
      </c>
      <c r="E1" t="s">
        <v>34</v>
      </c>
      <c r="F1" t="s">
        <v>35</v>
      </c>
      <c r="G1" t="s">
        <v>29</v>
      </c>
      <c r="H1" t="s">
        <v>66</v>
      </c>
    </row>
    <row r="2" spans="1:8" x14ac:dyDescent="0.3">
      <c r="A2" t="s">
        <v>644</v>
      </c>
      <c r="B2" t="s">
        <v>64</v>
      </c>
      <c r="C2">
        <v>2026</v>
      </c>
      <c r="D2" t="s">
        <v>64</v>
      </c>
      <c r="E2" t="s">
        <v>53</v>
      </c>
      <c r="F2">
        <v>11892.020731461578</v>
      </c>
      <c r="G2" t="s">
        <v>36</v>
      </c>
      <c r="H2" t="s">
        <v>64</v>
      </c>
    </row>
    <row r="3" spans="1:8" x14ac:dyDescent="0.3">
      <c r="A3" t="s">
        <v>645</v>
      </c>
      <c r="B3" t="s">
        <v>64</v>
      </c>
      <c r="C3">
        <v>2026</v>
      </c>
      <c r="D3" t="s">
        <v>64</v>
      </c>
      <c r="E3" t="s">
        <v>53</v>
      </c>
      <c r="F3">
        <v>142</v>
      </c>
      <c r="G3" t="s">
        <v>54</v>
      </c>
      <c r="H3" t="s">
        <v>64</v>
      </c>
    </row>
    <row r="4" spans="1:8" x14ac:dyDescent="0.3">
      <c r="A4" t="s">
        <v>646</v>
      </c>
      <c r="B4" t="s">
        <v>64</v>
      </c>
      <c r="C4">
        <v>2026</v>
      </c>
      <c r="D4" t="s">
        <v>64</v>
      </c>
      <c r="E4" t="s">
        <v>53</v>
      </c>
      <c r="F4">
        <v>1688666.9438675442</v>
      </c>
      <c r="G4" t="s">
        <v>36</v>
      </c>
      <c r="H4" t="s">
        <v>64</v>
      </c>
    </row>
    <row r="5" spans="1:8" x14ac:dyDescent="0.3">
      <c r="A5" t="s">
        <v>647</v>
      </c>
      <c r="B5" t="s">
        <v>64</v>
      </c>
      <c r="C5">
        <v>2026</v>
      </c>
      <c r="D5" t="s">
        <v>64</v>
      </c>
      <c r="E5" t="s">
        <v>63</v>
      </c>
      <c r="F5">
        <v>15949.045639596297</v>
      </c>
      <c r="G5" t="s">
        <v>36</v>
      </c>
      <c r="H5" t="s">
        <v>64</v>
      </c>
    </row>
    <row r="6" spans="1:8" x14ac:dyDescent="0.3">
      <c r="A6" t="s">
        <v>648</v>
      </c>
      <c r="B6" t="s">
        <v>64</v>
      </c>
      <c r="C6">
        <v>2026</v>
      </c>
      <c r="D6" t="s">
        <v>64</v>
      </c>
      <c r="E6" t="s">
        <v>63</v>
      </c>
      <c r="F6">
        <v>58</v>
      </c>
      <c r="G6" t="s">
        <v>54</v>
      </c>
      <c r="H6" t="s">
        <v>64</v>
      </c>
    </row>
    <row r="7" spans="1:8" x14ac:dyDescent="0.3">
      <c r="A7" t="s">
        <v>649</v>
      </c>
      <c r="B7" t="s">
        <v>64</v>
      </c>
      <c r="C7">
        <v>2026</v>
      </c>
      <c r="D7" t="s">
        <v>64</v>
      </c>
      <c r="E7" t="s">
        <v>63</v>
      </c>
      <c r="F7">
        <v>925044.64709658525</v>
      </c>
      <c r="G7" t="s">
        <v>36</v>
      </c>
      <c r="H7" t="s">
        <v>64</v>
      </c>
    </row>
    <row r="8" spans="1:8" x14ac:dyDescent="0.3">
      <c r="A8" t="s">
        <v>650</v>
      </c>
      <c r="B8" t="s">
        <v>64</v>
      </c>
      <c r="C8">
        <v>2026</v>
      </c>
      <c r="D8" t="s">
        <v>64</v>
      </c>
      <c r="E8" t="s">
        <v>3</v>
      </c>
      <c r="F8">
        <v>23631.214477302387</v>
      </c>
      <c r="G8" t="s">
        <v>36</v>
      </c>
      <c r="H8" t="s">
        <v>64</v>
      </c>
    </row>
    <row r="9" spans="1:8" x14ac:dyDescent="0.3">
      <c r="A9" t="s">
        <v>651</v>
      </c>
      <c r="B9" t="s">
        <v>64</v>
      </c>
      <c r="C9">
        <v>2026</v>
      </c>
      <c r="D9" t="s">
        <v>64</v>
      </c>
      <c r="E9" t="s">
        <v>3</v>
      </c>
      <c r="F9">
        <v>471</v>
      </c>
      <c r="G9" t="s">
        <v>54</v>
      </c>
      <c r="H9" t="s">
        <v>64</v>
      </c>
    </row>
    <row r="10" spans="1:8" x14ac:dyDescent="0.3">
      <c r="A10" t="s">
        <v>652</v>
      </c>
      <c r="B10" t="s">
        <v>64</v>
      </c>
      <c r="C10">
        <v>2026</v>
      </c>
      <c r="D10" t="s">
        <v>64</v>
      </c>
      <c r="E10" t="s">
        <v>3</v>
      </c>
      <c r="F10">
        <v>11130302.018809425</v>
      </c>
      <c r="G10" t="s">
        <v>36</v>
      </c>
      <c r="H10" t="s">
        <v>64</v>
      </c>
    </row>
    <row r="11" spans="1:8" x14ac:dyDescent="0.3">
      <c r="A11" t="s">
        <v>653</v>
      </c>
      <c r="B11" t="s">
        <v>64</v>
      </c>
      <c r="C11">
        <v>2026</v>
      </c>
      <c r="D11" t="s">
        <v>64</v>
      </c>
      <c r="E11" t="s">
        <v>2</v>
      </c>
      <c r="F11">
        <v>8350.3647283100981</v>
      </c>
      <c r="G11" t="s">
        <v>36</v>
      </c>
      <c r="H11" t="s">
        <v>64</v>
      </c>
    </row>
    <row r="12" spans="1:8" x14ac:dyDescent="0.3">
      <c r="A12" t="s">
        <v>654</v>
      </c>
      <c r="B12" t="s">
        <v>64</v>
      </c>
      <c r="C12">
        <v>2026</v>
      </c>
      <c r="D12" t="s">
        <v>64</v>
      </c>
      <c r="E12" t="s">
        <v>2</v>
      </c>
      <c r="F12">
        <v>9904</v>
      </c>
      <c r="G12" t="s">
        <v>54</v>
      </c>
      <c r="H12" t="s">
        <v>64</v>
      </c>
    </row>
    <row r="13" spans="1:8" x14ac:dyDescent="0.3">
      <c r="A13" t="s">
        <v>655</v>
      </c>
      <c r="B13" t="s">
        <v>64</v>
      </c>
      <c r="C13">
        <v>2026</v>
      </c>
      <c r="D13" t="s">
        <v>64</v>
      </c>
      <c r="E13" t="s">
        <v>2</v>
      </c>
      <c r="F13">
        <v>82702012.269183218</v>
      </c>
      <c r="G13" t="s">
        <v>36</v>
      </c>
      <c r="H13" t="s">
        <v>64</v>
      </c>
    </row>
    <row r="14" spans="1:8" x14ac:dyDescent="0.3">
      <c r="A14" t="s">
        <v>656</v>
      </c>
      <c r="B14" t="s">
        <v>64</v>
      </c>
      <c r="C14">
        <v>2026</v>
      </c>
      <c r="D14" t="s">
        <v>64</v>
      </c>
      <c r="E14" t="s">
        <v>1</v>
      </c>
      <c r="F14">
        <v>12072.107568494395</v>
      </c>
      <c r="G14" t="s">
        <v>36</v>
      </c>
      <c r="H14" t="s">
        <v>64</v>
      </c>
    </row>
    <row r="15" spans="1:8" x14ac:dyDescent="0.3">
      <c r="A15" t="s">
        <v>657</v>
      </c>
      <c r="B15" t="s">
        <v>64</v>
      </c>
      <c r="C15">
        <v>2026</v>
      </c>
      <c r="D15" t="s">
        <v>64</v>
      </c>
      <c r="E15" t="s">
        <v>1</v>
      </c>
      <c r="F15">
        <v>27586</v>
      </c>
      <c r="G15" t="s">
        <v>54</v>
      </c>
      <c r="H15" t="s">
        <v>64</v>
      </c>
    </row>
    <row r="16" spans="1:8" x14ac:dyDescent="0.3">
      <c r="A16" t="s">
        <v>658</v>
      </c>
      <c r="B16" t="s">
        <v>64</v>
      </c>
      <c r="C16">
        <v>2026</v>
      </c>
      <c r="D16" t="s">
        <v>64</v>
      </c>
      <c r="E16" t="s">
        <v>1</v>
      </c>
      <c r="F16">
        <v>333021159.38448638</v>
      </c>
      <c r="G16" t="s">
        <v>36</v>
      </c>
      <c r="H16" t="s">
        <v>64</v>
      </c>
    </row>
    <row r="17" spans="1:8" x14ac:dyDescent="0.3">
      <c r="A17" t="s">
        <v>1884</v>
      </c>
      <c r="B17" t="s">
        <v>64</v>
      </c>
      <c r="C17">
        <v>2026</v>
      </c>
      <c r="D17" t="s">
        <v>64</v>
      </c>
      <c r="E17" t="s">
        <v>1885</v>
      </c>
      <c r="F17">
        <v>11299.724340440971</v>
      </c>
      <c r="G17" t="s">
        <v>36</v>
      </c>
      <c r="H17" t="s">
        <v>64</v>
      </c>
    </row>
    <row r="18" spans="1:8" x14ac:dyDescent="0.3">
      <c r="A18" t="s">
        <v>1886</v>
      </c>
      <c r="B18" t="s">
        <v>64</v>
      </c>
      <c r="C18">
        <v>2026</v>
      </c>
      <c r="D18" t="s">
        <v>64</v>
      </c>
      <c r="E18" t="s">
        <v>1885</v>
      </c>
      <c r="F18">
        <v>50518</v>
      </c>
      <c r="G18" t="s">
        <v>54</v>
      </c>
      <c r="H18" t="s">
        <v>64</v>
      </c>
    </row>
    <row r="19" spans="1:8" x14ac:dyDescent="0.3">
      <c r="A19" t="s">
        <v>1887</v>
      </c>
      <c r="B19" t="s">
        <v>64</v>
      </c>
      <c r="C19">
        <v>2026</v>
      </c>
      <c r="D19" t="s">
        <v>64</v>
      </c>
      <c r="E19" t="s">
        <v>1885</v>
      </c>
      <c r="F19">
        <v>570839474.23039699</v>
      </c>
      <c r="G19" t="s">
        <v>36</v>
      </c>
      <c r="H19" t="s">
        <v>64</v>
      </c>
    </row>
    <row r="20" spans="1:8" x14ac:dyDescent="0.3">
      <c r="A20" t="s">
        <v>659</v>
      </c>
      <c r="B20" t="s">
        <v>64</v>
      </c>
      <c r="C20">
        <v>2026</v>
      </c>
      <c r="D20" t="s">
        <v>64</v>
      </c>
      <c r="E20" t="s">
        <v>4</v>
      </c>
      <c r="F20">
        <v>11197.099949190781</v>
      </c>
      <c r="G20" t="s">
        <v>36</v>
      </c>
      <c r="H20" t="s">
        <v>64</v>
      </c>
    </row>
    <row r="21" spans="1:8" x14ac:dyDescent="0.3">
      <c r="A21" t="s">
        <v>660</v>
      </c>
      <c r="B21" t="s">
        <v>64</v>
      </c>
      <c r="C21">
        <v>2026</v>
      </c>
      <c r="D21" t="s">
        <v>64</v>
      </c>
      <c r="E21" t="s">
        <v>4</v>
      </c>
      <c r="F21">
        <v>49270</v>
      </c>
      <c r="G21" t="s">
        <v>54</v>
      </c>
      <c r="H21" t="s">
        <v>64</v>
      </c>
    </row>
    <row r="22" spans="1:8" x14ac:dyDescent="0.3">
      <c r="A22" t="s">
        <v>661</v>
      </c>
      <c r="B22" t="s">
        <v>64</v>
      </c>
      <c r="C22">
        <v>2026</v>
      </c>
      <c r="D22" t="s">
        <v>64</v>
      </c>
      <c r="E22" t="s">
        <v>4</v>
      </c>
      <c r="F22">
        <v>551681114.49662971</v>
      </c>
      <c r="G22" t="s">
        <v>36</v>
      </c>
      <c r="H22" t="s">
        <v>64</v>
      </c>
    </row>
    <row r="23" spans="1:8" x14ac:dyDescent="0.3">
      <c r="A23" t="s">
        <v>662</v>
      </c>
      <c r="B23" t="s">
        <v>64</v>
      </c>
      <c r="C23">
        <v>2026</v>
      </c>
      <c r="D23" t="s">
        <v>64</v>
      </c>
      <c r="E23" t="s">
        <v>38</v>
      </c>
      <c r="F23">
        <v>11001.343886325183</v>
      </c>
      <c r="G23" t="s">
        <v>36</v>
      </c>
      <c r="H23" t="s">
        <v>64</v>
      </c>
    </row>
    <row r="24" spans="1:8" x14ac:dyDescent="0.3">
      <c r="A24" t="s">
        <v>663</v>
      </c>
      <c r="B24" t="s">
        <v>64</v>
      </c>
      <c r="C24">
        <v>2026</v>
      </c>
      <c r="D24" t="s">
        <v>64</v>
      </c>
      <c r="E24" t="s">
        <v>38</v>
      </c>
      <c r="F24">
        <v>11109</v>
      </c>
      <c r="G24" t="s">
        <v>54</v>
      </c>
      <c r="H24" t="s">
        <v>64</v>
      </c>
    </row>
    <row r="25" spans="1:8" x14ac:dyDescent="0.3">
      <c r="A25" t="s">
        <v>664</v>
      </c>
      <c r="B25" t="s">
        <v>64</v>
      </c>
      <c r="C25">
        <v>2026</v>
      </c>
      <c r="D25" t="s">
        <v>64</v>
      </c>
      <c r="E25" t="s">
        <v>38</v>
      </c>
      <c r="F25">
        <v>122213929.23318647</v>
      </c>
      <c r="G25" t="s">
        <v>36</v>
      </c>
      <c r="H25" t="s">
        <v>64</v>
      </c>
    </row>
    <row r="26" spans="1:8" x14ac:dyDescent="0.3">
      <c r="A26" t="s">
        <v>665</v>
      </c>
      <c r="B26" t="s">
        <v>666</v>
      </c>
      <c r="C26">
        <v>2026</v>
      </c>
      <c r="D26" t="s">
        <v>64</v>
      </c>
      <c r="E26" t="s">
        <v>53</v>
      </c>
      <c r="F26">
        <v>12429.596225078829</v>
      </c>
      <c r="G26" t="s">
        <v>30</v>
      </c>
      <c r="H26" t="s">
        <v>666</v>
      </c>
    </row>
    <row r="27" spans="1:8" x14ac:dyDescent="0.3">
      <c r="A27" t="s">
        <v>667</v>
      </c>
      <c r="B27" t="s">
        <v>666</v>
      </c>
      <c r="C27">
        <v>2026</v>
      </c>
      <c r="D27" t="s">
        <v>64</v>
      </c>
      <c r="E27" t="s">
        <v>53</v>
      </c>
      <c r="F27">
        <v>133</v>
      </c>
      <c r="G27" t="s">
        <v>54</v>
      </c>
      <c r="H27" t="s">
        <v>666</v>
      </c>
    </row>
    <row r="28" spans="1:8" x14ac:dyDescent="0.3">
      <c r="A28" t="s">
        <v>668</v>
      </c>
      <c r="B28" t="s">
        <v>666</v>
      </c>
      <c r="C28">
        <v>2026</v>
      </c>
      <c r="D28" t="s">
        <v>64</v>
      </c>
      <c r="E28" t="s">
        <v>53</v>
      </c>
      <c r="F28">
        <v>1653136.2979354842</v>
      </c>
      <c r="G28" t="s">
        <v>36</v>
      </c>
      <c r="H28" t="s">
        <v>666</v>
      </c>
    </row>
    <row r="29" spans="1:8" x14ac:dyDescent="0.3">
      <c r="A29" t="s">
        <v>669</v>
      </c>
      <c r="B29" t="s">
        <v>666</v>
      </c>
      <c r="C29">
        <v>2026</v>
      </c>
      <c r="D29" t="s">
        <v>64</v>
      </c>
      <c r="E29" t="s">
        <v>63</v>
      </c>
      <c r="F29">
        <v>20074.887635842297</v>
      </c>
      <c r="G29" t="s">
        <v>30</v>
      </c>
      <c r="H29" t="s">
        <v>666</v>
      </c>
    </row>
    <row r="30" spans="1:8" x14ac:dyDescent="0.3">
      <c r="A30" t="s">
        <v>670</v>
      </c>
      <c r="B30" t="s">
        <v>666</v>
      </c>
      <c r="C30">
        <v>2026</v>
      </c>
      <c r="D30" t="s">
        <v>64</v>
      </c>
      <c r="E30" t="s">
        <v>63</v>
      </c>
      <c r="F30">
        <v>54</v>
      </c>
      <c r="G30" t="s">
        <v>54</v>
      </c>
      <c r="H30" t="s">
        <v>666</v>
      </c>
    </row>
    <row r="31" spans="1:8" x14ac:dyDescent="0.3">
      <c r="A31" t="s">
        <v>671</v>
      </c>
      <c r="B31" t="s">
        <v>666</v>
      </c>
      <c r="C31">
        <v>2026</v>
      </c>
      <c r="D31" t="s">
        <v>64</v>
      </c>
      <c r="E31" t="s">
        <v>63</v>
      </c>
      <c r="F31">
        <v>1084043.9323354841</v>
      </c>
      <c r="G31" t="s">
        <v>36</v>
      </c>
      <c r="H31" t="s">
        <v>666</v>
      </c>
    </row>
    <row r="32" spans="1:8" x14ac:dyDescent="0.3">
      <c r="A32" t="s">
        <v>672</v>
      </c>
      <c r="B32" t="s">
        <v>666</v>
      </c>
      <c r="C32">
        <v>2026</v>
      </c>
      <c r="D32" t="s">
        <v>64</v>
      </c>
      <c r="E32" t="s">
        <v>3</v>
      </c>
      <c r="F32">
        <v>22968.352565828201</v>
      </c>
      <c r="G32" t="s">
        <v>30</v>
      </c>
      <c r="H32" t="s">
        <v>666</v>
      </c>
    </row>
    <row r="33" spans="1:8" x14ac:dyDescent="0.3">
      <c r="A33" t="s">
        <v>673</v>
      </c>
      <c r="B33" t="s">
        <v>666</v>
      </c>
      <c r="C33">
        <v>2026</v>
      </c>
      <c r="D33" t="s">
        <v>64</v>
      </c>
      <c r="E33" t="s">
        <v>3</v>
      </c>
      <c r="F33">
        <v>445</v>
      </c>
      <c r="G33" t="s">
        <v>54</v>
      </c>
      <c r="H33" t="s">
        <v>666</v>
      </c>
    </row>
    <row r="34" spans="1:8" x14ac:dyDescent="0.3">
      <c r="A34" t="s">
        <v>674</v>
      </c>
      <c r="B34" t="s">
        <v>666</v>
      </c>
      <c r="C34">
        <v>2026</v>
      </c>
      <c r="D34" t="s">
        <v>64</v>
      </c>
      <c r="E34" t="s">
        <v>3</v>
      </c>
      <c r="F34">
        <v>10220916.891793549</v>
      </c>
      <c r="G34" t="s">
        <v>36</v>
      </c>
      <c r="H34" t="s">
        <v>666</v>
      </c>
    </row>
    <row r="35" spans="1:8" x14ac:dyDescent="0.3">
      <c r="A35" t="s">
        <v>675</v>
      </c>
      <c r="B35" t="s">
        <v>666</v>
      </c>
      <c r="C35">
        <v>2026</v>
      </c>
      <c r="D35" t="s">
        <v>64</v>
      </c>
      <c r="E35" t="s">
        <v>2</v>
      </c>
      <c r="F35">
        <v>8535.8455294740743</v>
      </c>
      <c r="G35" t="s">
        <v>30</v>
      </c>
      <c r="H35" t="s">
        <v>666</v>
      </c>
    </row>
    <row r="36" spans="1:8" x14ac:dyDescent="0.3">
      <c r="A36" t="s">
        <v>676</v>
      </c>
      <c r="B36" t="s">
        <v>666</v>
      </c>
      <c r="C36">
        <v>2026</v>
      </c>
      <c r="D36" t="s">
        <v>64</v>
      </c>
      <c r="E36" t="s">
        <v>2</v>
      </c>
      <c r="F36">
        <v>9265</v>
      </c>
      <c r="G36" t="s">
        <v>54</v>
      </c>
      <c r="H36" t="s">
        <v>666</v>
      </c>
    </row>
    <row r="37" spans="1:8" x14ac:dyDescent="0.3">
      <c r="A37" t="s">
        <v>677</v>
      </c>
      <c r="B37" t="s">
        <v>666</v>
      </c>
      <c r="C37">
        <v>2026</v>
      </c>
      <c r="D37" t="s">
        <v>64</v>
      </c>
      <c r="E37" t="s">
        <v>2</v>
      </c>
      <c r="F37">
        <v>79084608.830577299</v>
      </c>
      <c r="G37" t="s">
        <v>36</v>
      </c>
      <c r="H37" t="s">
        <v>666</v>
      </c>
    </row>
    <row r="38" spans="1:8" x14ac:dyDescent="0.3">
      <c r="A38" t="s">
        <v>678</v>
      </c>
      <c r="B38" t="s">
        <v>666</v>
      </c>
      <c r="C38">
        <v>2026</v>
      </c>
      <c r="D38" t="s">
        <v>64</v>
      </c>
      <c r="E38" t="s">
        <v>1</v>
      </c>
      <c r="F38">
        <v>12061.932218131289</v>
      </c>
      <c r="G38" t="s">
        <v>30</v>
      </c>
      <c r="H38" t="s">
        <v>666</v>
      </c>
    </row>
    <row r="39" spans="1:8" x14ac:dyDescent="0.3">
      <c r="A39" t="s">
        <v>679</v>
      </c>
      <c r="B39" t="s">
        <v>666</v>
      </c>
      <c r="C39">
        <v>2026</v>
      </c>
      <c r="D39" t="s">
        <v>64</v>
      </c>
      <c r="E39" t="s">
        <v>1</v>
      </c>
      <c r="F39">
        <v>27529</v>
      </c>
      <c r="G39" t="s">
        <v>54</v>
      </c>
      <c r="H39" t="s">
        <v>666</v>
      </c>
    </row>
    <row r="40" spans="1:8" x14ac:dyDescent="0.3">
      <c r="A40" t="s">
        <v>680</v>
      </c>
      <c r="B40" t="s">
        <v>666</v>
      </c>
      <c r="C40">
        <v>2026</v>
      </c>
      <c r="D40" t="s">
        <v>64</v>
      </c>
      <c r="E40" t="s">
        <v>1</v>
      </c>
      <c r="F40">
        <v>332052932.03293628</v>
      </c>
      <c r="G40" t="s">
        <v>36</v>
      </c>
      <c r="H40" t="s">
        <v>666</v>
      </c>
    </row>
    <row r="41" spans="1:8" x14ac:dyDescent="0.3">
      <c r="A41" t="s">
        <v>1888</v>
      </c>
      <c r="B41" t="s">
        <v>666</v>
      </c>
      <c r="C41">
        <v>2026</v>
      </c>
      <c r="D41" t="s">
        <v>64</v>
      </c>
      <c r="E41" t="s">
        <v>1885</v>
      </c>
      <c r="F41">
        <v>11253.345861022792</v>
      </c>
      <c r="G41" t="s">
        <v>30</v>
      </c>
      <c r="H41" t="s">
        <v>666</v>
      </c>
    </row>
    <row r="42" spans="1:8" x14ac:dyDescent="0.3">
      <c r="A42" t="s">
        <v>1889</v>
      </c>
      <c r="B42" t="s">
        <v>666</v>
      </c>
      <c r="C42">
        <v>2026</v>
      </c>
      <c r="D42" t="s">
        <v>64</v>
      </c>
      <c r="E42" t="s">
        <v>1885</v>
      </c>
      <c r="F42">
        <v>48577</v>
      </c>
      <c r="G42" t="s">
        <v>54</v>
      </c>
      <c r="H42" t="s">
        <v>666</v>
      </c>
    </row>
    <row r="43" spans="1:8" x14ac:dyDescent="0.3">
      <c r="A43" t="s">
        <v>1890</v>
      </c>
      <c r="B43" t="s">
        <v>666</v>
      </c>
      <c r="C43">
        <v>2026</v>
      </c>
      <c r="D43" t="s">
        <v>64</v>
      </c>
      <c r="E43" t="s">
        <v>1885</v>
      </c>
      <c r="F43">
        <v>546653781.89090419</v>
      </c>
      <c r="G43" t="s">
        <v>36</v>
      </c>
      <c r="H43" t="s">
        <v>666</v>
      </c>
    </row>
    <row r="44" spans="1:8" x14ac:dyDescent="0.3">
      <c r="A44" t="s">
        <v>681</v>
      </c>
      <c r="B44" t="s">
        <v>666</v>
      </c>
      <c r="C44">
        <v>2026</v>
      </c>
      <c r="D44" t="s">
        <v>64</v>
      </c>
      <c r="E44" t="s">
        <v>4</v>
      </c>
      <c r="F44">
        <v>11256.590035436524</v>
      </c>
      <c r="G44" t="s">
        <v>30</v>
      </c>
      <c r="H44" t="s">
        <v>666</v>
      </c>
    </row>
    <row r="45" spans="1:8" x14ac:dyDescent="0.3">
      <c r="A45" t="s">
        <v>682</v>
      </c>
      <c r="B45" t="s">
        <v>666</v>
      </c>
      <c r="C45">
        <v>2026</v>
      </c>
      <c r="D45" t="s">
        <v>64</v>
      </c>
      <c r="E45" t="s">
        <v>4</v>
      </c>
      <c r="F45">
        <v>48563</v>
      </c>
      <c r="G45" t="s">
        <v>54</v>
      </c>
      <c r="H45" t="s">
        <v>666</v>
      </c>
    </row>
    <row r="46" spans="1:8" x14ac:dyDescent="0.3">
      <c r="A46" t="s">
        <v>683</v>
      </c>
      <c r="B46" t="s">
        <v>666</v>
      </c>
      <c r="C46">
        <v>2026</v>
      </c>
      <c r="D46" t="s">
        <v>64</v>
      </c>
      <c r="E46" t="s">
        <v>4</v>
      </c>
      <c r="F46">
        <v>546653781.89090395</v>
      </c>
      <c r="G46" t="s">
        <v>36</v>
      </c>
      <c r="H46" t="s">
        <v>666</v>
      </c>
    </row>
    <row r="47" spans="1:8" x14ac:dyDescent="0.3">
      <c r="A47" t="s">
        <v>684</v>
      </c>
      <c r="B47" t="s">
        <v>666</v>
      </c>
      <c r="C47">
        <v>2026</v>
      </c>
      <c r="D47" t="s">
        <v>64</v>
      </c>
      <c r="E47" t="s">
        <v>38</v>
      </c>
      <c r="F47">
        <v>11004.592251533262</v>
      </c>
      <c r="G47" t="s">
        <v>30</v>
      </c>
      <c r="H47" t="s">
        <v>666</v>
      </c>
    </row>
    <row r="48" spans="1:8" x14ac:dyDescent="0.3">
      <c r="A48" t="s">
        <v>685</v>
      </c>
      <c r="B48" t="s">
        <v>666</v>
      </c>
      <c r="C48">
        <v>2026</v>
      </c>
      <c r="D48" t="s">
        <v>64</v>
      </c>
      <c r="E48" t="s">
        <v>38</v>
      </c>
      <c r="F48">
        <v>11137</v>
      </c>
      <c r="G48" t="s">
        <v>54</v>
      </c>
      <c r="H48" t="s">
        <v>666</v>
      </c>
    </row>
    <row r="49" spans="1:8" x14ac:dyDescent="0.3">
      <c r="A49" t="s">
        <v>686</v>
      </c>
      <c r="B49" t="s">
        <v>666</v>
      </c>
      <c r="C49">
        <v>2026</v>
      </c>
      <c r="D49" t="s">
        <v>64</v>
      </c>
      <c r="E49" t="s">
        <v>38</v>
      </c>
      <c r="F49">
        <v>122558143.90532595</v>
      </c>
      <c r="G49" t="s">
        <v>36</v>
      </c>
      <c r="H49" t="s">
        <v>666</v>
      </c>
    </row>
    <row r="50" spans="1:8" x14ac:dyDescent="0.3">
      <c r="A50" t="s">
        <v>687</v>
      </c>
      <c r="B50" t="s">
        <v>688</v>
      </c>
      <c r="C50">
        <v>2026</v>
      </c>
      <c r="D50" t="s">
        <v>689</v>
      </c>
      <c r="E50" t="s">
        <v>53</v>
      </c>
      <c r="F50">
        <v>12429.596225078829</v>
      </c>
      <c r="G50" t="s">
        <v>30</v>
      </c>
      <c r="H50" t="s">
        <v>688</v>
      </c>
    </row>
    <row r="51" spans="1:8" x14ac:dyDescent="0.3">
      <c r="A51" t="s">
        <v>690</v>
      </c>
      <c r="B51" t="s">
        <v>688</v>
      </c>
      <c r="C51">
        <v>2026</v>
      </c>
      <c r="D51" t="s">
        <v>689</v>
      </c>
      <c r="E51" t="s">
        <v>53</v>
      </c>
      <c r="F51">
        <v>133</v>
      </c>
      <c r="G51" t="s">
        <v>54</v>
      </c>
      <c r="H51" t="s">
        <v>688</v>
      </c>
    </row>
    <row r="52" spans="1:8" x14ac:dyDescent="0.3">
      <c r="A52" t="s">
        <v>691</v>
      </c>
      <c r="B52" t="s">
        <v>688</v>
      </c>
      <c r="C52">
        <v>2026</v>
      </c>
      <c r="D52" t="s">
        <v>689</v>
      </c>
      <c r="E52" t="s">
        <v>53</v>
      </c>
      <c r="F52">
        <v>1653136.2979354842</v>
      </c>
      <c r="G52" t="s">
        <v>36</v>
      </c>
      <c r="H52" t="s">
        <v>688</v>
      </c>
    </row>
    <row r="53" spans="1:8" x14ac:dyDescent="0.3">
      <c r="A53" t="s">
        <v>692</v>
      </c>
      <c r="B53" t="s">
        <v>688</v>
      </c>
      <c r="C53">
        <v>2026</v>
      </c>
      <c r="D53" t="s">
        <v>689</v>
      </c>
      <c r="E53" t="s">
        <v>63</v>
      </c>
      <c r="F53">
        <v>22301.871301382482</v>
      </c>
      <c r="G53" t="s">
        <v>30</v>
      </c>
      <c r="H53" t="s">
        <v>688</v>
      </c>
    </row>
    <row r="54" spans="1:8" x14ac:dyDescent="0.3">
      <c r="A54" t="s">
        <v>693</v>
      </c>
      <c r="B54" t="s">
        <v>688</v>
      </c>
      <c r="C54">
        <v>2026</v>
      </c>
      <c r="D54" t="s">
        <v>689</v>
      </c>
      <c r="E54" t="s">
        <v>63</v>
      </c>
      <c r="F54">
        <v>42</v>
      </c>
      <c r="G54" t="s">
        <v>54</v>
      </c>
      <c r="H54" t="s">
        <v>688</v>
      </c>
    </row>
    <row r="55" spans="1:8" x14ac:dyDescent="0.3">
      <c r="A55" t="s">
        <v>694</v>
      </c>
      <c r="B55" t="s">
        <v>688</v>
      </c>
      <c r="C55">
        <v>2026</v>
      </c>
      <c r="D55" t="s">
        <v>689</v>
      </c>
      <c r="E55" t="s">
        <v>63</v>
      </c>
      <c r="F55">
        <v>936678.59465806431</v>
      </c>
      <c r="G55" t="s">
        <v>36</v>
      </c>
      <c r="H55" t="s">
        <v>688</v>
      </c>
    </row>
    <row r="56" spans="1:8" x14ac:dyDescent="0.3">
      <c r="A56" t="s">
        <v>695</v>
      </c>
      <c r="B56" t="s">
        <v>688</v>
      </c>
      <c r="C56">
        <v>2026</v>
      </c>
      <c r="D56" t="s">
        <v>689</v>
      </c>
      <c r="E56" t="s">
        <v>3</v>
      </c>
      <c r="F56">
        <v>23164.76264857038</v>
      </c>
      <c r="G56" t="s">
        <v>30</v>
      </c>
      <c r="H56" t="s">
        <v>688</v>
      </c>
    </row>
    <row r="57" spans="1:8" x14ac:dyDescent="0.3">
      <c r="A57" t="s">
        <v>696</v>
      </c>
      <c r="B57" t="s">
        <v>688</v>
      </c>
      <c r="C57">
        <v>2026</v>
      </c>
      <c r="D57" t="s">
        <v>689</v>
      </c>
      <c r="E57" t="s">
        <v>3</v>
      </c>
      <c r="F57">
        <v>352</v>
      </c>
      <c r="G57" t="s">
        <v>54</v>
      </c>
      <c r="H57" t="s">
        <v>688</v>
      </c>
    </row>
    <row r="58" spans="1:8" x14ac:dyDescent="0.3">
      <c r="A58" t="s">
        <v>697</v>
      </c>
      <c r="B58" t="s">
        <v>688</v>
      </c>
      <c r="C58">
        <v>2026</v>
      </c>
      <c r="D58" t="s">
        <v>689</v>
      </c>
      <c r="E58" t="s">
        <v>3</v>
      </c>
      <c r="F58">
        <v>8153996.4522967739</v>
      </c>
      <c r="G58" t="s">
        <v>36</v>
      </c>
      <c r="H58" t="s">
        <v>688</v>
      </c>
    </row>
    <row r="59" spans="1:8" x14ac:dyDescent="0.3">
      <c r="A59" t="s">
        <v>698</v>
      </c>
      <c r="B59" t="s">
        <v>688</v>
      </c>
      <c r="C59">
        <v>2026</v>
      </c>
      <c r="D59" t="s">
        <v>689</v>
      </c>
      <c r="E59" t="s">
        <v>2</v>
      </c>
      <c r="F59">
        <v>10423.184709988438</v>
      </c>
      <c r="G59" t="s">
        <v>30</v>
      </c>
      <c r="H59" t="s">
        <v>688</v>
      </c>
    </row>
    <row r="60" spans="1:8" x14ac:dyDescent="0.3">
      <c r="A60" t="s">
        <v>699</v>
      </c>
      <c r="B60" t="s">
        <v>688</v>
      </c>
      <c r="C60">
        <v>2026</v>
      </c>
      <c r="D60" t="s">
        <v>689</v>
      </c>
      <c r="E60" t="s">
        <v>2</v>
      </c>
      <c r="F60">
        <v>1618</v>
      </c>
      <c r="G60" t="s">
        <v>54</v>
      </c>
      <c r="H60" t="s">
        <v>688</v>
      </c>
    </row>
    <row r="61" spans="1:8" x14ac:dyDescent="0.3">
      <c r="A61" t="s">
        <v>700</v>
      </c>
      <c r="B61" t="s">
        <v>688</v>
      </c>
      <c r="C61">
        <v>2026</v>
      </c>
      <c r="D61" t="s">
        <v>689</v>
      </c>
      <c r="E61" t="s">
        <v>2</v>
      </c>
      <c r="F61">
        <v>16864712.860761292</v>
      </c>
      <c r="G61" t="s">
        <v>36</v>
      </c>
      <c r="H61" t="s">
        <v>688</v>
      </c>
    </row>
    <row r="62" spans="1:8" x14ac:dyDescent="0.3">
      <c r="A62" t="s">
        <v>701</v>
      </c>
      <c r="B62" t="s">
        <v>688</v>
      </c>
      <c r="C62">
        <v>2026</v>
      </c>
      <c r="D62" t="s">
        <v>689</v>
      </c>
      <c r="E62" t="s">
        <v>1</v>
      </c>
      <c r="F62">
        <v>12492.864291591133</v>
      </c>
      <c r="G62" t="s">
        <v>30</v>
      </c>
      <c r="H62" t="s">
        <v>688</v>
      </c>
    </row>
    <row r="63" spans="1:8" x14ac:dyDescent="0.3">
      <c r="A63" t="s">
        <v>702</v>
      </c>
      <c r="B63" t="s">
        <v>688</v>
      </c>
      <c r="C63">
        <v>2026</v>
      </c>
      <c r="D63" t="s">
        <v>689</v>
      </c>
      <c r="E63" t="s">
        <v>1</v>
      </c>
      <c r="F63">
        <v>9841</v>
      </c>
      <c r="G63" t="s">
        <v>54</v>
      </c>
      <c r="H63" t="s">
        <v>688</v>
      </c>
    </row>
    <row r="64" spans="1:8" x14ac:dyDescent="0.3">
      <c r="A64" t="s">
        <v>703</v>
      </c>
      <c r="B64" t="s">
        <v>688</v>
      </c>
      <c r="C64">
        <v>2026</v>
      </c>
      <c r="D64" t="s">
        <v>689</v>
      </c>
      <c r="E64" t="s">
        <v>1</v>
      </c>
      <c r="F64">
        <v>122942277.49354833</v>
      </c>
      <c r="G64" t="s">
        <v>36</v>
      </c>
      <c r="H64" t="s">
        <v>688</v>
      </c>
    </row>
    <row r="65" spans="1:8" x14ac:dyDescent="0.3">
      <c r="A65" t="s">
        <v>1891</v>
      </c>
      <c r="B65" t="s">
        <v>688</v>
      </c>
      <c r="C65">
        <v>2026</v>
      </c>
      <c r="D65" t="s">
        <v>689</v>
      </c>
      <c r="E65" t="s">
        <v>1885</v>
      </c>
      <c r="F65">
        <v>12076.015504169794</v>
      </c>
      <c r="G65" t="s">
        <v>30</v>
      </c>
      <c r="H65" t="s">
        <v>688</v>
      </c>
    </row>
    <row r="66" spans="1:8" x14ac:dyDescent="0.3">
      <c r="A66" t="s">
        <v>1892</v>
      </c>
      <c r="B66" t="s">
        <v>688</v>
      </c>
      <c r="C66">
        <v>2026</v>
      </c>
      <c r="D66" t="s">
        <v>689</v>
      </c>
      <c r="E66" t="s">
        <v>1885</v>
      </c>
      <c r="F66">
        <v>17874</v>
      </c>
      <c r="G66" t="s">
        <v>54</v>
      </c>
      <c r="H66" t="s">
        <v>688</v>
      </c>
    </row>
    <row r="67" spans="1:8" x14ac:dyDescent="0.3">
      <c r="A67" t="s">
        <v>1893</v>
      </c>
      <c r="B67" t="s">
        <v>688</v>
      </c>
      <c r="C67">
        <v>2026</v>
      </c>
      <c r="D67" t="s">
        <v>689</v>
      </c>
      <c r="E67" t="s">
        <v>1885</v>
      </c>
      <c r="F67">
        <v>215846701.12153089</v>
      </c>
      <c r="G67" t="s">
        <v>36</v>
      </c>
      <c r="H67" t="s">
        <v>688</v>
      </c>
    </row>
    <row r="68" spans="1:8" x14ac:dyDescent="0.3">
      <c r="A68" t="s">
        <v>704</v>
      </c>
      <c r="B68" t="s">
        <v>688</v>
      </c>
      <c r="C68">
        <v>2026</v>
      </c>
      <c r="D68" t="s">
        <v>689</v>
      </c>
      <c r="E68" t="s">
        <v>4</v>
      </c>
      <c r="F68">
        <v>12081.422877058703</v>
      </c>
      <c r="G68" t="s">
        <v>30</v>
      </c>
      <c r="H68" t="s">
        <v>688</v>
      </c>
    </row>
    <row r="69" spans="1:8" x14ac:dyDescent="0.3">
      <c r="A69" t="s">
        <v>705</v>
      </c>
      <c r="B69" t="s">
        <v>688</v>
      </c>
      <c r="C69">
        <v>2026</v>
      </c>
      <c r="D69" t="s">
        <v>689</v>
      </c>
      <c r="E69" t="s">
        <v>4</v>
      </c>
      <c r="F69">
        <v>17866</v>
      </c>
      <c r="G69" t="s">
        <v>54</v>
      </c>
      <c r="H69" t="s">
        <v>688</v>
      </c>
    </row>
    <row r="70" spans="1:8" x14ac:dyDescent="0.3">
      <c r="A70" t="s">
        <v>706</v>
      </c>
      <c r="B70" t="s">
        <v>688</v>
      </c>
      <c r="C70">
        <v>2026</v>
      </c>
      <c r="D70" t="s">
        <v>689</v>
      </c>
      <c r="E70" t="s">
        <v>4</v>
      </c>
      <c r="F70">
        <v>215846701.1215308</v>
      </c>
      <c r="G70" t="s">
        <v>36</v>
      </c>
      <c r="H70" t="s">
        <v>688</v>
      </c>
    </row>
    <row r="71" spans="1:8" x14ac:dyDescent="0.3">
      <c r="A71" t="s">
        <v>707</v>
      </c>
      <c r="B71" t="s">
        <v>688</v>
      </c>
      <c r="C71">
        <v>2026</v>
      </c>
      <c r="D71" t="s">
        <v>689</v>
      </c>
      <c r="E71" t="s">
        <v>38</v>
      </c>
      <c r="F71">
        <v>11104.744799716131</v>
      </c>
      <c r="G71" t="s">
        <v>30</v>
      </c>
      <c r="H71" t="s">
        <v>688</v>
      </c>
    </row>
    <row r="72" spans="1:8" x14ac:dyDescent="0.3">
      <c r="A72" t="s">
        <v>708</v>
      </c>
      <c r="B72" t="s">
        <v>688</v>
      </c>
      <c r="C72">
        <v>2026</v>
      </c>
      <c r="D72" t="s">
        <v>689</v>
      </c>
      <c r="E72" t="s">
        <v>38</v>
      </c>
      <c r="F72">
        <v>5880</v>
      </c>
      <c r="G72" t="s">
        <v>54</v>
      </c>
      <c r="H72" t="s">
        <v>688</v>
      </c>
    </row>
    <row r="73" spans="1:8" x14ac:dyDescent="0.3">
      <c r="A73" t="s">
        <v>709</v>
      </c>
      <c r="B73" t="s">
        <v>688</v>
      </c>
      <c r="C73">
        <v>2026</v>
      </c>
      <c r="D73" t="s">
        <v>689</v>
      </c>
      <c r="E73" t="s">
        <v>38</v>
      </c>
      <c r="F73">
        <v>65295899.422330849</v>
      </c>
      <c r="G73" t="s">
        <v>36</v>
      </c>
      <c r="H73" t="s">
        <v>688</v>
      </c>
    </row>
    <row r="74" spans="1:8" x14ac:dyDescent="0.3">
      <c r="A74" t="s">
        <v>710</v>
      </c>
      <c r="B74" t="s">
        <v>711</v>
      </c>
      <c r="C74">
        <v>2026</v>
      </c>
      <c r="D74" t="s">
        <v>712</v>
      </c>
      <c r="E74" t="s">
        <v>53</v>
      </c>
      <c r="F74">
        <v>0</v>
      </c>
      <c r="G74" t="s">
        <v>30</v>
      </c>
      <c r="H74" t="s">
        <v>711</v>
      </c>
    </row>
    <row r="75" spans="1:8" x14ac:dyDescent="0.3">
      <c r="A75" t="s">
        <v>713</v>
      </c>
      <c r="B75" t="s">
        <v>711</v>
      </c>
      <c r="C75">
        <v>2026</v>
      </c>
      <c r="D75" t="s">
        <v>712</v>
      </c>
      <c r="E75" t="s">
        <v>53</v>
      </c>
      <c r="F75">
        <v>0</v>
      </c>
      <c r="G75" t="s">
        <v>54</v>
      </c>
      <c r="H75" t="s">
        <v>711</v>
      </c>
    </row>
    <row r="76" spans="1:8" x14ac:dyDescent="0.3">
      <c r="A76" t="s">
        <v>714</v>
      </c>
      <c r="B76" t="s">
        <v>711</v>
      </c>
      <c r="C76">
        <v>2026</v>
      </c>
      <c r="D76" t="s">
        <v>712</v>
      </c>
      <c r="E76" t="s">
        <v>53</v>
      </c>
      <c r="F76">
        <v>0</v>
      </c>
      <c r="G76" t="s">
        <v>36</v>
      </c>
      <c r="H76" t="s">
        <v>711</v>
      </c>
    </row>
    <row r="77" spans="1:8" x14ac:dyDescent="0.3">
      <c r="A77" t="s">
        <v>715</v>
      </c>
      <c r="B77" t="s">
        <v>711</v>
      </c>
      <c r="C77">
        <v>2026</v>
      </c>
      <c r="D77" t="s">
        <v>712</v>
      </c>
      <c r="E77" t="s">
        <v>63</v>
      </c>
      <c r="F77">
        <v>0</v>
      </c>
      <c r="G77" t="s">
        <v>30</v>
      </c>
      <c r="H77" t="s">
        <v>711</v>
      </c>
    </row>
    <row r="78" spans="1:8" x14ac:dyDescent="0.3">
      <c r="A78" t="s">
        <v>716</v>
      </c>
      <c r="B78" t="s">
        <v>711</v>
      </c>
      <c r="C78">
        <v>2026</v>
      </c>
      <c r="D78" t="s">
        <v>712</v>
      </c>
      <c r="E78" t="s">
        <v>63</v>
      </c>
      <c r="F78">
        <v>0</v>
      </c>
      <c r="G78" t="s">
        <v>54</v>
      </c>
      <c r="H78" t="s">
        <v>711</v>
      </c>
    </row>
    <row r="79" spans="1:8" x14ac:dyDescent="0.3">
      <c r="A79" t="s">
        <v>717</v>
      </c>
      <c r="B79" t="s">
        <v>711</v>
      </c>
      <c r="C79">
        <v>2026</v>
      </c>
      <c r="D79" t="s">
        <v>712</v>
      </c>
      <c r="E79" t="s">
        <v>63</v>
      </c>
      <c r="F79">
        <v>0</v>
      </c>
      <c r="G79" t="s">
        <v>36</v>
      </c>
      <c r="H79" t="s">
        <v>711</v>
      </c>
    </row>
    <row r="80" spans="1:8" x14ac:dyDescent="0.3">
      <c r="A80" t="s">
        <v>718</v>
      </c>
      <c r="B80" t="s">
        <v>711</v>
      </c>
      <c r="C80">
        <v>2026</v>
      </c>
      <c r="D80" t="s">
        <v>712</v>
      </c>
      <c r="E80" t="s">
        <v>3</v>
      </c>
      <c r="F80">
        <v>0</v>
      </c>
      <c r="G80" t="s">
        <v>30</v>
      </c>
      <c r="H80" t="s">
        <v>711</v>
      </c>
    </row>
    <row r="81" spans="1:8" x14ac:dyDescent="0.3">
      <c r="A81" t="s">
        <v>719</v>
      </c>
      <c r="B81" t="s">
        <v>711</v>
      </c>
      <c r="C81">
        <v>2026</v>
      </c>
      <c r="D81" t="s">
        <v>712</v>
      </c>
      <c r="E81" t="s">
        <v>3</v>
      </c>
      <c r="F81">
        <v>0</v>
      </c>
      <c r="G81" t="s">
        <v>54</v>
      </c>
      <c r="H81" t="s">
        <v>711</v>
      </c>
    </row>
    <row r="82" spans="1:8" x14ac:dyDescent="0.3">
      <c r="A82" t="s">
        <v>720</v>
      </c>
      <c r="B82" t="s">
        <v>711</v>
      </c>
      <c r="C82">
        <v>2026</v>
      </c>
      <c r="D82" t="s">
        <v>712</v>
      </c>
      <c r="E82" t="s">
        <v>3</v>
      </c>
      <c r="F82">
        <v>0</v>
      </c>
      <c r="G82" t="s">
        <v>36</v>
      </c>
      <c r="H82" t="s">
        <v>711</v>
      </c>
    </row>
    <row r="83" spans="1:8" x14ac:dyDescent="0.3">
      <c r="A83" t="s">
        <v>721</v>
      </c>
      <c r="B83" t="s">
        <v>711</v>
      </c>
      <c r="C83">
        <v>2026</v>
      </c>
      <c r="D83" t="s">
        <v>712</v>
      </c>
      <c r="E83" t="s">
        <v>2</v>
      </c>
      <c r="F83">
        <v>9347.5284173370965</v>
      </c>
      <c r="G83" t="s">
        <v>30</v>
      </c>
      <c r="H83" t="s">
        <v>711</v>
      </c>
    </row>
    <row r="84" spans="1:8" x14ac:dyDescent="0.3">
      <c r="A84" t="s">
        <v>722</v>
      </c>
      <c r="B84" t="s">
        <v>711</v>
      </c>
      <c r="C84">
        <v>2026</v>
      </c>
      <c r="D84" t="s">
        <v>712</v>
      </c>
      <c r="E84" t="s">
        <v>2</v>
      </c>
      <c r="F84">
        <v>720</v>
      </c>
      <c r="G84" t="s">
        <v>54</v>
      </c>
      <c r="H84" t="s">
        <v>711</v>
      </c>
    </row>
    <row r="85" spans="1:8" x14ac:dyDescent="0.3">
      <c r="A85" t="s">
        <v>723</v>
      </c>
      <c r="B85" t="s">
        <v>711</v>
      </c>
      <c r="C85">
        <v>2026</v>
      </c>
      <c r="D85" t="s">
        <v>712</v>
      </c>
      <c r="E85" t="s">
        <v>2</v>
      </c>
      <c r="F85">
        <v>6730220.4604827091</v>
      </c>
      <c r="G85" t="s">
        <v>36</v>
      </c>
      <c r="H85" t="s">
        <v>711</v>
      </c>
    </row>
    <row r="86" spans="1:8" x14ac:dyDescent="0.3">
      <c r="A86" t="s">
        <v>724</v>
      </c>
      <c r="B86" t="s">
        <v>711</v>
      </c>
      <c r="C86">
        <v>2026</v>
      </c>
      <c r="D86" t="s">
        <v>712</v>
      </c>
      <c r="E86" t="s">
        <v>1</v>
      </c>
      <c r="F86">
        <v>12438.20366773487</v>
      </c>
      <c r="G86" t="s">
        <v>30</v>
      </c>
      <c r="H86" t="s">
        <v>711</v>
      </c>
    </row>
    <row r="87" spans="1:8" x14ac:dyDescent="0.3">
      <c r="A87" t="s">
        <v>725</v>
      </c>
      <c r="B87" t="s">
        <v>711</v>
      </c>
      <c r="C87">
        <v>2026</v>
      </c>
      <c r="D87" t="s">
        <v>712</v>
      </c>
      <c r="E87" t="s">
        <v>1</v>
      </c>
      <c r="F87">
        <v>10393</v>
      </c>
      <c r="G87" t="s">
        <v>54</v>
      </c>
      <c r="H87" t="s">
        <v>711</v>
      </c>
    </row>
    <row r="88" spans="1:8" x14ac:dyDescent="0.3">
      <c r="A88" t="s">
        <v>726</v>
      </c>
      <c r="B88" t="s">
        <v>711</v>
      </c>
      <c r="C88">
        <v>2026</v>
      </c>
      <c r="D88" t="s">
        <v>712</v>
      </c>
      <c r="E88" t="s">
        <v>1</v>
      </c>
      <c r="F88">
        <v>129270250.71876849</v>
      </c>
      <c r="G88" t="s">
        <v>36</v>
      </c>
      <c r="H88" t="s">
        <v>711</v>
      </c>
    </row>
    <row r="89" spans="1:8" x14ac:dyDescent="0.3">
      <c r="A89" t="s">
        <v>1894</v>
      </c>
      <c r="B89" t="s">
        <v>711</v>
      </c>
      <c r="C89">
        <v>2026</v>
      </c>
      <c r="D89" t="s">
        <v>712</v>
      </c>
      <c r="E89" t="s">
        <v>1885</v>
      </c>
      <c r="F89">
        <v>12228.560155230587</v>
      </c>
      <c r="G89" t="s">
        <v>30</v>
      </c>
      <c r="H89" t="s">
        <v>711</v>
      </c>
    </row>
    <row r="90" spans="1:8" x14ac:dyDescent="0.3">
      <c r="A90" t="s">
        <v>1895</v>
      </c>
      <c r="B90" t="s">
        <v>711</v>
      </c>
      <c r="C90">
        <v>2026</v>
      </c>
      <c r="D90" t="s">
        <v>712</v>
      </c>
      <c r="E90" t="s">
        <v>1885</v>
      </c>
      <c r="F90">
        <v>11988</v>
      </c>
      <c r="G90" t="s">
        <v>54</v>
      </c>
      <c r="H90" t="s">
        <v>711</v>
      </c>
    </row>
    <row r="91" spans="1:8" x14ac:dyDescent="0.3">
      <c r="A91" t="s">
        <v>1896</v>
      </c>
      <c r="B91" t="s">
        <v>711</v>
      </c>
      <c r="C91">
        <v>2026</v>
      </c>
      <c r="D91" t="s">
        <v>712</v>
      </c>
      <c r="E91" t="s">
        <v>1885</v>
      </c>
      <c r="F91">
        <v>146595979.14090428</v>
      </c>
      <c r="G91" t="s">
        <v>36</v>
      </c>
      <c r="H91" t="s">
        <v>711</v>
      </c>
    </row>
    <row r="92" spans="1:8" x14ac:dyDescent="0.3">
      <c r="A92" t="s">
        <v>727</v>
      </c>
      <c r="B92" t="s">
        <v>711</v>
      </c>
      <c r="C92">
        <v>2026</v>
      </c>
      <c r="D92" t="s">
        <v>712</v>
      </c>
      <c r="E92" t="s">
        <v>4</v>
      </c>
      <c r="F92">
        <v>12233.662617116233</v>
      </c>
      <c r="G92" t="s">
        <v>30</v>
      </c>
      <c r="H92" t="s">
        <v>711</v>
      </c>
    </row>
    <row r="93" spans="1:8" x14ac:dyDescent="0.3">
      <c r="A93" t="s">
        <v>728</v>
      </c>
      <c r="B93" t="s">
        <v>711</v>
      </c>
      <c r="C93">
        <v>2026</v>
      </c>
      <c r="D93" t="s">
        <v>712</v>
      </c>
      <c r="E93" t="s">
        <v>4</v>
      </c>
      <c r="F93">
        <v>11983</v>
      </c>
      <c r="G93" t="s">
        <v>54</v>
      </c>
      <c r="H93" t="s">
        <v>711</v>
      </c>
    </row>
    <row r="94" spans="1:8" x14ac:dyDescent="0.3">
      <c r="A94" t="s">
        <v>729</v>
      </c>
      <c r="B94" t="s">
        <v>711</v>
      </c>
      <c r="C94">
        <v>2026</v>
      </c>
      <c r="D94" t="s">
        <v>712</v>
      </c>
      <c r="E94" t="s">
        <v>4</v>
      </c>
      <c r="F94">
        <v>146595979.14090383</v>
      </c>
      <c r="G94" t="s">
        <v>36</v>
      </c>
      <c r="H94" t="s">
        <v>711</v>
      </c>
    </row>
    <row r="95" spans="1:8" x14ac:dyDescent="0.3">
      <c r="A95" t="s">
        <v>730</v>
      </c>
      <c r="B95" t="s">
        <v>711</v>
      </c>
      <c r="C95">
        <v>2026</v>
      </c>
      <c r="D95" t="s">
        <v>712</v>
      </c>
      <c r="E95" t="s">
        <v>38</v>
      </c>
      <c r="F95">
        <v>12178.744783508786</v>
      </c>
      <c r="G95" t="s">
        <v>30</v>
      </c>
      <c r="H95" t="s">
        <v>711</v>
      </c>
    </row>
    <row r="96" spans="1:8" x14ac:dyDescent="0.3">
      <c r="A96" t="s">
        <v>731</v>
      </c>
      <c r="B96" t="s">
        <v>711</v>
      </c>
      <c r="C96">
        <v>2026</v>
      </c>
      <c r="D96" t="s">
        <v>712</v>
      </c>
      <c r="E96" t="s">
        <v>38</v>
      </c>
      <c r="F96">
        <v>870</v>
      </c>
      <c r="G96" t="s">
        <v>54</v>
      </c>
      <c r="H96" t="s">
        <v>711</v>
      </c>
    </row>
    <row r="97" spans="1:8" x14ac:dyDescent="0.3">
      <c r="A97" t="s">
        <v>732</v>
      </c>
      <c r="B97" t="s">
        <v>711</v>
      </c>
      <c r="C97">
        <v>2026</v>
      </c>
      <c r="D97" t="s">
        <v>712</v>
      </c>
      <c r="E97" t="s">
        <v>38</v>
      </c>
      <c r="F97">
        <v>10595507.961652644</v>
      </c>
      <c r="G97" t="s">
        <v>36</v>
      </c>
      <c r="H97" t="s">
        <v>711</v>
      </c>
    </row>
    <row r="98" spans="1:8" x14ac:dyDescent="0.3">
      <c r="A98" t="s">
        <v>733</v>
      </c>
      <c r="B98" t="s">
        <v>734</v>
      </c>
      <c r="C98">
        <v>2026</v>
      </c>
      <c r="D98" t="s">
        <v>735</v>
      </c>
      <c r="E98" t="s">
        <v>53</v>
      </c>
      <c r="F98">
        <v>0</v>
      </c>
      <c r="G98" t="s">
        <v>30</v>
      </c>
      <c r="H98" t="s">
        <v>734</v>
      </c>
    </row>
    <row r="99" spans="1:8" x14ac:dyDescent="0.3">
      <c r="A99" t="s">
        <v>736</v>
      </c>
      <c r="B99" t="s">
        <v>734</v>
      </c>
      <c r="C99">
        <v>2026</v>
      </c>
      <c r="D99" t="s">
        <v>735</v>
      </c>
      <c r="E99" t="s">
        <v>53</v>
      </c>
      <c r="F99">
        <v>0</v>
      </c>
      <c r="G99" t="s">
        <v>54</v>
      </c>
      <c r="H99" t="s">
        <v>734</v>
      </c>
    </row>
    <row r="100" spans="1:8" x14ac:dyDescent="0.3">
      <c r="A100" t="s">
        <v>737</v>
      </c>
      <c r="B100" t="s">
        <v>734</v>
      </c>
      <c r="C100">
        <v>2026</v>
      </c>
      <c r="D100" t="s">
        <v>735</v>
      </c>
      <c r="E100" t="s">
        <v>53</v>
      </c>
      <c r="F100">
        <v>0</v>
      </c>
      <c r="G100" t="s">
        <v>36</v>
      </c>
      <c r="H100" t="s">
        <v>734</v>
      </c>
    </row>
    <row r="101" spans="1:8" x14ac:dyDescent="0.3">
      <c r="A101" t="s">
        <v>738</v>
      </c>
      <c r="B101" t="s">
        <v>734</v>
      </c>
      <c r="C101">
        <v>2026</v>
      </c>
      <c r="D101" t="s">
        <v>735</v>
      </c>
      <c r="E101" t="s">
        <v>63</v>
      </c>
      <c r="F101">
        <v>12280.444806451616</v>
      </c>
      <c r="G101" t="s">
        <v>30</v>
      </c>
      <c r="H101" t="s">
        <v>734</v>
      </c>
    </row>
    <row r="102" spans="1:8" x14ac:dyDescent="0.3">
      <c r="A102" t="s">
        <v>739</v>
      </c>
      <c r="B102" t="s">
        <v>734</v>
      </c>
      <c r="C102">
        <v>2026</v>
      </c>
      <c r="D102" t="s">
        <v>735</v>
      </c>
      <c r="E102" t="s">
        <v>63</v>
      </c>
      <c r="F102">
        <v>12</v>
      </c>
      <c r="G102" t="s">
        <v>54</v>
      </c>
      <c r="H102" t="s">
        <v>734</v>
      </c>
    </row>
    <row r="103" spans="1:8" x14ac:dyDescent="0.3">
      <c r="A103" t="s">
        <v>740</v>
      </c>
      <c r="B103" t="s">
        <v>734</v>
      </c>
      <c r="C103">
        <v>2026</v>
      </c>
      <c r="D103" t="s">
        <v>735</v>
      </c>
      <c r="E103" t="s">
        <v>63</v>
      </c>
      <c r="F103">
        <v>147365.33767741939</v>
      </c>
      <c r="G103" t="s">
        <v>36</v>
      </c>
      <c r="H103" t="s">
        <v>734</v>
      </c>
    </row>
    <row r="104" spans="1:8" x14ac:dyDescent="0.3">
      <c r="A104" t="s">
        <v>741</v>
      </c>
      <c r="B104" t="s">
        <v>734</v>
      </c>
      <c r="C104">
        <v>2026</v>
      </c>
      <c r="D104" t="s">
        <v>735</v>
      </c>
      <c r="E104" t="s">
        <v>3</v>
      </c>
      <c r="F104">
        <v>22224.950962330906</v>
      </c>
      <c r="G104" t="s">
        <v>30</v>
      </c>
      <c r="H104" t="s">
        <v>734</v>
      </c>
    </row>
    <row r="105" spans="1:8" x14ac:dyDescent="0.3">
      <c r="A105" t="s">
        <v>742</v>
      </c>
      <c r="B105" t="s">
        <v>734</v>
      </c>
      <c r="C105">
        <v>2026</v>
      </c>
      <c r="D105" t="s">
        <v>735</v>
      </c>
      <c r="E105" t="s">
        <v>3</v>
      </c>
      <c r="F105">
        <v>93</v>
      </c>
      <c r="G105" t="s">
        <v>54</v>
      </c>
      <c r="H105" t="s">
        <v>734</v>
      </c>
    </row>
    <row r="106" spans="1:8" x14ac:dyDescent="0.3">
      <c r="A106" t="s">
        <v>743</v>
      </c>
      <c r="B106" t="s">
        <v>734</v>
      </c>
      <c r="C106">
        <v>2026</v>
      </c>
      <c r="D106" t="s">
        <v>735</v>
      </c>
      <c r="E106" t="s">
        <v>3</v>
      </c>
      <c r="F106">
        <v>2066920.4394967742</v>
      </c>
      <c r="G106" t="s">
        <v>36</v>
      </c>
      <c r="H106" t="s">
        <v>734</v>
      </c>
    </row>
    <row r="107" spans="1:8" x14ac:dyDescent="0.3">
      <c r="A107" t="s">
        <v>744</v>
      </c>
      <c r="B107" t="s">
        <v>734</v>
      </c>
      <c r="C107">
        <v>2026</v>
      </c>
      <c r="D107" t="s">
        <v>735</v>
      </c>
      <c r="E107" t="s">
        <v>2</v>
      </c>
      <c r="F107">
        <v>7251.8487958452188</v>
      </c>
      <c r="G107" t="s">
        <v>30</v>
      </c>
      <c r="H107" t="s">
        <v>734</v>
      </c>
    </row>
    <row r="108" spans="1:8" x14ac:dyDescent="0.3">
      <c r="A108" t="s">
        <v>745</v>
      </c>
      <c r="B108" t="s">
        <v>734</v>
      </c>
      <c r="C108">
        <v>2026</v>
      </c>
      <c r="D108" t="s">
        <v>735</v>
      </c>
      <c r="E108" t="s">
        <v>2</v>
      </c>
      <c r="F108">
        <v>1323</v>
      </c>
      <c r="G108" t="s">
        <v>54</v>
      </c>
      <c r="H108" t="s">
        <v>734</v>
      </c>
    </row>
    <row r="109" spans="1:8" x14ac:dyDescent="0.3">
      <c r="A109" t="s">
        <v>746</v>
      </c>
      <c r="B109" t="s">
        <v>734</v>
      </c>
      <c r="C109">
        <v>2026</v>
      </c>
      <c r="D109" t="s">
        <v>735</v>
      </c>
      <c r="E109" t="s">
        <v>2</v>
      </c>
      <c r="F109">
        <v>9594195.9569032248</v>
      </c>
      <c r="G109" t="s">
        <v>36</v>
      </c>
      <c r="H109" t="s">
        <v>734</v>
      </c>
    </row>
    <row r="110" spans="1:8" x14ac:dyDescent="0.3">
      <c r="A110" t="s">
        <v>747</v>
      </c>
      <c r="B110" t="s">
        <v>734</v>
      </c>
      <c r="C110">
        <v>2026</v>
      </c>
      <c r="D110" t="s">
        <v>735</v>
      </c>
      <c r="E110" t="s">
        <v>1</v>
      </c>
      <c r="F110">
        <v>10795.653997452229</v>
      </c>
      <c r="G110" t="s">
        <v>30</v>
      </c>
      <c r="H110" t="s">
        <v>734</v>
      </c>
    </row>
    <row r="111" spans="1:8" x14ac:dyDescent="0.3">
      <c r="A111" t="s">
        <v>748</v>
      </c>
      <c r="B111" t="s">
        <v>734</v>
      </c>
      <c r="C111">
        <v>2026</v>
      </c>
      <c r="D111" t="s">
        <v>735</v>
      </c>
      <c r="E111" t="s">
        <v>1</v>
      </c>
      <c r="F111">
        <v>5495</v>
      </c>
      <c r="G111" t="s">
        <v>54</v>
      </c>
      <c r="H111" t="s">
        <v>734</v>
      </c>
    </row>
    <row r="112" spans="1:8" x14ac:dyDescent="0.3">
      <c r="A112" t="s">
        <v>749</v>
      </c>
      <c r="B112" t="s">
        <v>734</v>
      </c>
      <c r="C112">
        <v>2026</v>
      </c>
      <c r="D112" t="s">
        <v>735</v>
      </c>
      <c r="E112" t="s">
        <v>1</v>
      </c>
      <c r="F112">
        <v>59322118.715999998</v>
      </c>
      <c r="G112" t="s">
        <v>36</v>
      </c>
      <c r="H112" t="s">
        <v>734</v>
      </c>
    </row>
    <row r="113" spans="1:8" x14ac:dyDescent="0.3">
      <c r="A113" t="s">
        <v>1897</v>
      </c>
      <c r="B113" t="s">
        <v>734</v>
      </c>
      <c r="C113">
        <v>2026</v>
      </c>
      <c r="D113" t="s">
        <v>735</v>
      </c>
      <c r="E113" t="s">
        <v>1885</v>
      </c>
      <c r="F113">
        <v>10428.48504444585</v>
      </c>
      <c r="G113" t="s">
        <v>30</v>
      </c>
      <c r="H113" t="s">
        <v>734</v>
      </c>
    </row>
    <row r="114" spans="1:8" x14ac:dyDescent="0.3">
      <c r="A114" t="s">
        <v>1898</v>
      </c>
      <c r="B114" t="s">
        <v>734</v>
      </c>
      <c r="C114">
        <v>2026</v>
      </c>
      <c r="D114" t="s">
        <v>735</v>
      </c>
      <c r="E114" t="s">
        <v>1885</v>
      </c>
      <c r="F114">
        <v>9672</v>
      </c>
      <c r="G114" t="s">
        <v>54</v>
      </c>
      <c r="H114" t="s">
        <v>734</v>
      </c>
    </row>
    <row r="115" spans="1:8" x14ac:dyDescent="0.3">
      <c r="A115" t="s">
        <v>1899</v>
      </c>
      <c r="B115" t="s">
        <v>734</v>
      </c>
      <c r="C115">
        <v>2026</v>
      </c>
      <c r="D115" t="s">
        <v>735</v>
      </c>
      <c r="E115" t="s">
        <v>1885</v>
      </c>
      <c r="F115">
        <v>100864307.34988026</v>
      </c>
      <c r="G115" t="s">
        <v>36</v>
      </c>
      <c r="H115" t="s">
        <v>734</v>
      </c>
    </row>
    <row r="116" spans="1:8" x14ac:dyDescent="0.3">
      <c r="A116" t="s">
        <v>750</v>
      </c>
      <c r="B116" t="s">
        <v>734</v>
      </c>
      <c r="C116">
        <v>2026</v>
      </c>
      <c r="D116" t="s">
        <v>735</v>
      </c>
      <c r="E116" t="s">
        <v>4</v>
      </c>
      <c r="F116">
        <v>10441.439684252613</v>
      </c>
      <c r="G116" t="s">
        <v>30</v>
      </c>
      <c r="H116" t="s">
        <v>734</v>
      </c>
    </row>
    <row r="117" spans="1:8" x14ac:dyDescent="0.3">
      <c r="A117" t="s">
        <v>751</v>
      </c>
      <c r="B117" t="s">
        <v>734</v>
      </c>
      <c r="C117">
        <v>2026</v>
      </c>
      <c r="D117" t="s">
        <v>735</v>
      </c>
      <c r="E117" t="s">
        <v>4</v>
      </c>
      <c r="F117">
        <v>9660</v>
      </c>
      <c r="G117" t="s">
        <v>54</v>
      </c>
      <c r="H117" t="s">
        <v>734</v>
      </c>
    </row>
    <row r="118" spans="1:8" x14ac:dyDescent="0.3">
      <c r="A118" t="s">
        <v>752</v>
      </c>
      <c r="B118" t="s">
        <v>734</v>
      </c>
      <c r="C118">
        <v>2026</v>
      </c>
      <c r="D118" t="s">
        <v>735</v>
      </c>
      <c r="E118" t="s">
        <v>4</v>
      </c>
      <c r="F118">
        <v>100864307.34988025</v>
      </c>
      <c r="G118" t="s">
        <v>36</v>
      </c>
      <c r="H118" t="s">
        <v>734</v>
      </c>
    </row>
    <row r="119" spans="1:8" x14ac:dyDescent="0.3">
      <c r="A119" t="s">
        <v>753</v>
      </c>
      <c r="B119" t="s">
        <v>734</v>
      </c>
      <c r="C119">
        <v>2026</v>
      </c>
      <c r="D119" t="s">
        <v>735</v>
      </c>
      <c r="E119" t="s">
        <v>38</v>
      </c>
      <c r="F119">
        <v>10863.61231267915</v>
      </c>
      <c r="G119" t="s">
        <v>30</v>
      </c>
      <c r="H119" t="s">
        <v>734</v>
      </c>
    </row>
    <row r="120" spans="1:8" x14ac:dyDescent="0.3">
      <c r="A120" t="s">
        <v>754</v>
      </c>
      <c r="B120" t="s">
        <v>734</v>
      </c>
      <c r="C120">
        <v>2026</v>
      </c>
      <c r="D120" t="s">
        <v>735</v>
      </c>
      <c r="E120" t="s">
        <v>38</v>
      </c>
      <c r="F120">
        <v>2737</v>
      </c>
      <c r="G120" t="s">
        <v>54</v>
      </c>
      <c r="H120" t="s">
        <v>734</v>
      </c>
    </row>
    <row r="121" spans="1:8" x14ac:dyDescent="0.3">
      <c r="A121" t="s">
        <v>755</v>
      </c>
      <c r="B121" t="s">
        <v>734</v>
      </c>
      <c r="C121">
        <v>2026</v>
      </c>
      <c r="D121" t="s">
        <v>735</v>
      </c>
      <c r="E121" t="s">
        <v>38</v>
      </c>
      <c r="F121">
        <v>29733706.899802834</v>
      </c>
      <c r="G121" t="s">
        <v>36</v>
      </c>
      <c r="H121" t="s">
        <v>734</v>
      </c>
    </row>
    <row r="122" spans="1:8" x14ac:dyDescent="0.3">
      <c r="A122" t="s">
        <v>756</v>
      </c>
      <c r="B122" t="s">
        <v>757</v>
      </c>
      <c r="C122">
        <v>2026</v>
      </c>
      <c r="D122" t="s">
        <v>0</v>
      </c>
      <c r="E122" t="s">
        <v>53</v>
      </c>
      <c r="F122">
        <v>12429.596225078829</v>
      </c>
      <c r="G122" t="s">
        <v>30</v>
      </c>
      <c r="H122" t="s">
        <v>757</v>
      </c>
    </row>
    <row r="123" spans="1:8" x14ac:dyDescent="0.3">
      <c r="A123" t="s">
        <v>758</v>
      </c>
      <c r="B123" t="s">
        <v>757</v>
      </c>
      <c r="C123">
        <v>2026</v>
      </c>
      <c r="D123" t="s">
        <v>0</v>
      </c>
      <c r="E123" t="s">
        <v>53</v>
      </c>
      <c r="F123">
        <v>133</v>
      </c>
      <c r="G123" t="s">
        <v>54</v>
      </c>
      <c r="H123" t="s">
        <v>757</v>
      </c>
    </row>
    <row r="124" spans="1:8" x14ac:dyDescent="0.3">
      <c r="A124" t="s">
        <v>759</v>
      </c>
      <c r="B124" t="s">
        <v>757</v>
      </c>
      <c r="C124">
        <v>2026</v>
      </c>
      <c r="D124" t="s">
        <v>0</v>
      </c>
      <c r="E124" t="s">
        <v>53</v>
      </c>
      <c r="F124">
        <v>1653136.2979354842</v>
      </c>
      <c r="G124" t="s">
        <v>36</v>
      </c>
      <c r="H124" t="s">
        <v>757</v>
      </c>
    </row>
    <row r="125" spans="1:8" x14ac:dyDescent="0.3">
      <c r="A125" t="s">
        <v>760</v>
      </c>
      <c r="B125" t="s">
        <v>757</v>
      </c>
      <c r="C125">
        <v>2026</v>
      </c>
      <c r="D125" t="s">
        <v>0</v>
      </c>
      <c r="E125" t="s">
        <v>63</v>
      </c>
      <c r="F125">
        <v>20074.887635842297</v>
      </c>
      <c r="G125" t="s">
        <v>30</v>
      </c>
      <c r="H125" t="s">
        <v>757</v>
      </c>
    </row>
    <row r="126" spans="1:8" x14ac:dyDescent="0.3">
      <c r="A126" t="s">
        <v>761</v>
      </c>
      <c r="B126" t="s">
        <v>757</v>
      </c>
      <c r="C126">
        <v>2026</v>
      </c>
      <c r="D126" t="s">
        <v>0</v>
      </c>
      <c r="E126" t="s">
        <v>63</v>
      </c>
      <c r="F126">
        <v>54</v>
      </c>
      <c r="G126" t="s">
        <v>54</v>
      </c>
      <c r="H126" t="s">
        <v>757</v>
      </c>
    </row>
    <row r="127" spans="1:8" x14ac:dyDescent="0.3">
      <c r="A127" t="s">
        <v>762</v>
      </c>
      <c r="B127" t="s">
        <v>757</v>
      </c>
      <c r="C127">
        <v>2026</v>
      </c>
      <c r="D127" t="s">
        <v>0</v>
      </c>
      <c r="E127" t="s">
        <v>63</v>
      </c>
      <c r="F127">
        <v>1084043.9323354841</v>
      </c>
      <c r="G127" t="s">
        <v>36</v>
      </c>
      <c r="H127" t="s">
        <v>757</v>
      </c>
    </row>
    <row r="128" spans="1:8" x14ac:dyDescent="0.3">
      <c r="A128" t="s">
        <v>763</v>
      </c>
      <c r="B128" t="s">
        <v>757</v>
      </c>
      <c r="C128">
        <v>2026</v>
      </c>
      <c r="D128" t="s">
        <v>0</v>
      </c>
      <c r="E128" t="s">
        <v>3</v>
      </c>
      <c r="F128">
        <v>22968.352565828201</v>
      </c>
      <c r="G128" t="s">
        <v>30</v>
      </c>
      <c r="H128" t="s">
        <v>757</v>
      </c>
    </row>
    <row r="129" spans="1:8" x14ac:dyDescent="0.3">
      <c r="A129" t="s">
        <v>764</v>
      </c>
      <c r="B129" t="s">
        <v>757</v>
      </c>
      <c r="C129">
        <v>2026</v>
      </c>
      <c r="D129" t="s">
        <v>0</v>
      </c>
      <c r="E129" t="s">
        <v>3</v>
      </c>
      <c r="F129">
        <v>445</v>
      </c>
      <c r="G129" t="s">
        <v>54</v>
      </c>
      <c r="H129" t="s">
        <v>757</v>
      </c>
    </row>
    <row r="130" spans="1:8" x14ac:dyDescent="0.3">
      <c r="A130" t="s">
        <v>765</v>
      </c>
      <c r="B130" t="s">
        <v>757</v>
      </c>
      <c r="C130">
        <v>2026</v>
      </c>
      <c r="D130" t="s">
        <v>0</v>
      </c>
      <c r="E130" t="s">
        <v>3</v>
      </c>
      <c r="F130">
        <v>10220916.891793549</v>
      </c>
      <c r="G130" t="s">
        <v>36</v>
      </c>
      <c r="H130" t="s">
        <v>757</v>
      </c>
    </row>
    <row r="131" spans="1:8" x14ac:dyDescent="0.3">
      <c r="A131" t="s">
        <v>766</v>
      </c>
      <c r="B131" t="s">
        <v>757</v>
      </c>
      <c r="C131">
        <v>2026</v>
      </c>
      <c r="D131" t="s">
        <v>0</v>
      </c>
      <c r="E131" t="s">
        <v>2</v>
      </c>
      <c r="F131">
        <v>8995.4090632423668</v>
      </c>
      <c r="G131" t="s">
        <v>30</v>
      </c>
      <c r="H131" t="s">
        <v>757</v>
      </c>
    </row>
    <row r="132" spans="1:8" x14ac:dyDescent="0.3">
      <c r="A132" t="s">
        <v>767</v>
      </c>
      <c r="B132" t="s">
        <v>757</v>
      </c>
      <c r="C132">
        <v>2026</v>
      </c>
      <c r="D132" t="s">
        <v>0</v>
      </c>
      <c r="E132" t="s">
        <v>2</v>
      </c>
      <c r="F132">
        <v>6241</v>
      </c>
      <c r="G132" t="s">
        <v>54</v>
      </c>
      <c r="H132" t="s">
        <v>757</v>
      </c>
    </row>
    <row r="133" spans="1:8" x14ac:dyDescent="0.3">
      <c r="A133" t="s">
        <v>768</v>
      </c>
      <c r="B133" t="s">
        <v>757</v>
      </c>
      <c r="C133">
        <v>2026</v>
      </c>
      <c r="D133" t="s">
        <v>0</v>
      </c>
      <c r="E133" t="s">
        <v>2</v>
      </c>
      <c r="F133">
        <v>56140347.963695616</v>
      </c>
      <c r="G133" t="s">
        <v>36</v>
      </c>
      <c r="H133" t="s">
        <v>757</v>
      </c>
    </row>
    <row r="134" spans="1:8" x14ac:dyDescent="0.3">
      <c r="A134" t="s">
        <v>769</v>
      </c>
      <c r="B134" t="s">
        <v>757</v>
      </c>
      <c r="C134">
        <v>2026</v>
      </c>
      <c r="D134" t="s">
        <v>0</v>
      </c>
      <c r="E134" t="s">
        <v>1</v>
      </c>
      <c r="F134">
        <v>12192.469588077183</v>
      </c>
      <c r="G134" t="s">
        <v>30</v>
      </c>
      <c r="H134" t="s">
        <v>757</v>
      </c>
    </row>
    <row r="135" spans="1:8" x14ac:dyDescent="0.3">
      <c r="A135" t="s">
        <v>770</v>
      </c>
      <c r="B135" t="s">
        <v>757</v>
      </c>
      <c r="C135">
        <v>2026</v>
      </c>
      <c r="D135" t="s">
        <v>0</v>
      </c>
      <c r="E135" t="s">
        <v>1</v>
      </c>
      <c r="F135">
        <v>27027</v>
      </c>
      <c r="G135" t="s">
        <v>54</v>
      </c>
      <c r="H135" t="s">
        <v>757</v>
      </c>
    </row>
    <row r="136" spans="1:8" x14ac:dyDescent="0.3">
      <c r="A136" t="s">
        <v>771</v>
      </c>
      <c r="B136" t="s">
        <v>757</v>
      </c>
      <c r="C136">
        <v>2026</v>
      </c>
      <c r="D136" t="s">
        <v>0</v>
      </c>
      <c r="E136" t="s">
        <v>1</v>
      </c>
      <c r="F136">
        <v>329525875.55696201</v>
      </c>
      <c r="G136" t="s">
        <v>36</v>
      </c>
      <c r="H136" t="s">
        <v>757</v>
      </c>
    </row>
    <row r="137" spans="1:8" x14ac:dyDescent="0.3">
      <c r="A137" t="s">
        <v>1900</v>
      </c>
      <c r="B137" t="s">
        <v>757</v>
      </c>
      <c r="C137">
        <v>2026</v>
      </c>
      <c r="D137" t="s">
        <v>0</v>
      </c>
      <c r="E137" t="s">
        <v>1885</v>
      </c>
      <c r="F137">
        <v>11615.553221873126</v>
      </c>
      <c r="G137" t="s">
        <v>30</v>
      </c>
      <c r="H137" t="s">
        <v>757</v>
      </c>
    </row>
    <row r="138" spans="1:8" x14ac:dyDescent="0.3">
      <c r="A138" t="s">
        <v>1901</v>
      </c>
      <c r="B138" t="s">
        <v>757</v>
      </c>
      <c r="C138">
        <v>2026</v>
      </c>
      <c r="D138" t="s">
        <v>0</v>
      </c>
      <c r="E138" t="s">
        <v>1885</v>
      </c>
      <c r="F138">
        <v>43240</v>
      </c>
      <c r="G138" t="s">
        <v>54</v>
      </c>
      <c r="H138" t="s">
        <v>757</v>
      </c>
    </row>
    <row r="139" spans="1:8" x14ac:dyDescent="0.3">
      <c r="A139" t="s">
        <v>1902</v>
      </c>
      <c r="B139" t="s">
        <v>757</v>
      </c>
      <c r="C139">
        <v>2026</v>
      </c>
      <c r="D139" t="s">
        <v>0</v>
      </c>
      <c r="E139" t="s">
        <v>1885</v>
      </c>
      <c r="F139">
        <v>502256521.31379396</v>
      </c>
      <c r="G139" t="s">
        <v>36</v>
      </c>
      <c r="H139" t="s">
        <v>757</v>
      </c>
    </row>
    <row r="140" spans="1:8" x14ac:dyDescent="0.3">
      <c r="A140" t="s">
        <v>772</v>
      </c>
      <c r="B140" t="s">
        <v>757</v>
      </c>
      <c r="C140">
        <v>2026</v>
      </c>
      <c r="D140" t="s">
        <v>0</v>
      </c>
      <c r="E140" t="s">
        <v>4</v>
      </c>
      <c r="F140">
        <v>11619.584067409916</v>
      </c>
      <c r="G140" t="s">
        <v>30</v>
      </c>
      <c r="H140" t="s">
        <v>757</v>
      </c>
    </row>
    <row r="141" spans="1:8" x14ac:dyDescent="0.3">
      <c r="A141" t="s">
        <v>773</v>
      </c>
      <c r="B141" t="s">
        <v>757</v>
      </c>
      <c r="C141">
        <v>2026</v>
      </c>
      <c r="D141" t="s">
        <v>0</v>
      </c>
      <c r="E141" t="s">
        <v>4</v>
      </c>
      <c r="F141">
        <v>43225</v>
      </c>
      <c r="G141" t="s">
        <v>54</v>
      </c>
      <c r="H141" t="s">
        <v>757</v>
      </c>
    </row>
    <row r="142" spans="1:8" x14ac:dyDescent="0.3">
      <c r="A142" t="s">
        <v>774</v>
      </c>
      <c r="B142" t="s">
        <v>757</v>
      </c>
      <c r="C142">
        <v>2026</v>
      </c>
      <c r="D142" t="s">
        <v>0</v>
      </c>
      <c r="E142" t="s">
        <v>4</v>
      </c>
      <c r="F142">
        <v>502256521.3137936</v>
      </c>
      <c r="G142" t="s">
        <v>36</v>
      </c>
      <c r="H142" t="s">
        <v>757</v>
      </c>
    </row>
    <row r="143" spans="1:8" x14ac:dyDescent="0.3">
      <c r="A143" t="s">
        <v>775</v>
      </c>
      <c r="B143" t="s">
        <v>757</v>
      </c>
      <c r="C143">
        <v>2026</v>
      </c>
      <c r="D143" t="s">
        <v>0</v>
      </c>
      <c r="E143" t="s">
        <v>38</v>
      </c>
      <c r="F143">
        <v>11113.372726120264</v>
      </c>
      <c r="G143" t="s">
        <v>30</v>
      </c>
      <c r="H143" t="s">
        <v>757</v>
      </c>
    </row>
    <row r="144" spans="1:8" x14ac:dyDescent="0.3">
      <c r="A144" t="s">
        <v>776</v>
      </c>
      <c r="B144" t="s">
        <v>757</v>
      </c>
      <c r="C144">
        <v>2026</v>
      </c>
      <c r="D144" t="s">
        <v>0</v>
      </c>
      <c r="E144" t="s">
        <v>38</v>
      </c>
      <c r="F144">
        <v>9325</v>
      </c>
      <c r="G144" t="s">
        <v>54</v>
      </c>
      <c r="H144" t="s">
        <v>757</v>
      </c>
    </row>
    <row r="145" spans="1:8" x14ac:dyDescent="0.3">
      <c r="A145" t="s">
        <v>777</v>
      </c>
      <c r="B145" t="s">
        <v>757</v>
      </c>
      <c r="C145">
        <v>2026</v>
      </c>
      <c r="D145" t="s">
        <v>0</v>
      </c>
      <c r="E145" t="s">
        <v>38</v>
      </c>
      <c r="F145">
        <v>103632200.67107145</v>
      </c>
      <c r="G145" t="s">
        <v>36</v>
      </c>
      <c r="H145" t="s">
        <v>757</v>
      </c>
    </row>
    <row r="146" spans="1:8" x14ac:dyDescent="0.3">
      <c r="A146" t="s">
        <v>778</v>
      </c>
      <c r="B146" t="s">
        <v>779</v>
      </c>
      <c r="C146">
        <v>2026</v>
      </c>
      <c r="D146" t="s">
        <v>60</v>
      </c>
      <c r="E146" t="s">
        <v>53</v>
      </c>
      <c r="F146">
        <v>0</v>
      </c>
      <c r="G146" t="s">
        <v>30</v>
      </c>
      <c r="H146" t="s">
        <v>779</v>
      </c>
    </row>
    <row r="147" spans="1:8" x14ac:dyDescent="0.3">
      <c r="A147" t="s">
        <v>780</v>
      </c>
      <c r="B147" t="s">
        <v>779</v>
      </c>
      <c r="C147">
        <v>2026</v>
      </c>
      <c r="D147" t="s">
        <v>60</v>
      </c>
      <c r="E147" t="s">
        <v>53</v>
      </c>
      <c r="F147">
        <v>0</v>
      </c>
      <c r="G147" t="s">
        <v>54</v>
      </c>
      <c r="H147" t="s">
        <v>779</v>
      </c>
    </row>
    <row r="148" spans="1:8" x14ac:dyDescent="0.3">
      <c r="A148" t="s">
        <v>781</v>
      </c>
      <c r="B148" t="s">
        <v>779</v>
      </c>
      <c r="C148">
        <v>2026</v>
      </c>
      <c r="D148" t="s">
        <v>60</v>
      </c>
      <c r="E148" t="s">
        <v>53</v>
      </c>
      <c r="F148">
        <v>0</v>
      </c>
      <c r="G148" t="s">
        <v>36</v>
      </c>
      <c r="H148" t="s">
        <v>779</v>
      </c>
    </row>
    <row r="149" spans="1:8" x14ac:dyDescent="0.3">
      <c r="A149" t="s">
        <v>782</v>
      </c>
      <c r="B149" t="s">
        <v>779</v>
      </c>
      <c r="C149">
        <v>2026</v>
      </c>
      <c r="D149" t="s">
        <v>60</v>
      </c>
      <c r="E149" t="s">
        <v>63</v>
      </c>
      <c r="F149">
        <v>0</v>
      </c>
      <c r="G149" t="s">
        <v>30</v>
      </c>
      <c r="H149" t="s">
        <v>779</v>
      </c>
    </row>
    <row r="150" spans="1:8" x14ac:dyDescent="0.3">
      <c r="A150" t="s">
        <v>783</v>
      </c>
      <c r="B150" t="s">
        <v>779</v>
      </c>
      <c r="C150">
        <v>2026</v>
      </c>
      <c r="D150" t="s">
        <v>60</v>
      </c>
      <c r="E150" t="s">
        <v>63</v>
      </c>
      <c r="F150">
        <v>0</v>
      </c>
      <c r="G150" t="s">
        <v>54</v>
      </c>
      <c r="H150" t="s">
        <v>779</v>
      </c>
    </row>
    <row r="151" spans="1:8" x14ac:dyDescent="0.3">
      <c r="A151" t="s">
        <v>784</v>
      </c>
      <c r="B151" t="s">
        <v>779</v>
      </c>
      <c r="C151">
        <v>2026</v>
      </c>
      <c r="D151" t="s">
        <v>60</v>
      </c>
      <c r="E151" t="s">
        <v>63</v>
      </c>
      <c r="F151">
        <v>0</v>
      </c>
      <c r="G151" t="s">
        <v>36</v>
      </c>
      <c r="H151" t="s">
        <v>779</v>
      </c>
    </row>
    <row r="152" spans="1:8" x14ac:dyDescent="0.3">
      <c r="A152" t="s">
        <v>785</v>
      </c>
      <c r="B152" t="s">
        <v>779</v>
      </c>
      <c r="C152">
        <v>2026</v>
      </c>
      <c r="D152" t="s">
        <v>60</v>
      </c>
      <c r="E152" t="s">
        <v>3</v>
      </c>
      <c r="F152">
        <v>0</v>
      </c>
      <c r="G152" t="s">
        <v>30</v>
      </c>
      <c r="H152" t="s">
        <v>779</v>
      </c>
    </row>
    <row r="153" spans="1:8" x14ac:dyDescent="0.3">
      <c r="A153" t="s">
        <v>786</v>
      </c>
      <c r="B153" t="s">
        <v>779</v>
      </c>
      <c r="C153">
        <v>2026</v>
      </c>
      <c r="D153" t="s">
        <v>60</v>
      </c>
      <c r="E153" t="s">
        <v>3</v>
      </c>
      <c r="F153">
        <v>0</v>
      </c>
      <c r="G153" t="s">
        <v>54</v>
      </c>
      <c r="H153" t="s">
        <v>779</v>
      </c>
    </row>
    <row r="154" spans="1:8" x14ac:dyDescent="0.3">
      <c r="A154" t="s">
        <v>787</v>
      </c>
      <c r="B154" t="s">
        <v>779</v>
      </c>
      <c r="C154">
        <v>2026</v>
      </c>
      <c r="D154" t="s">
        <v>60</v>
      </c>
      <c r="E154" t="s">
        <v>3</v>
      </c>
      <c r="F154">
        <v>0</v>
      </c>
      <c r="G154" t="s">
        <v>36</v>
      </c>
      <c r="H154" t="s">
        <v>779</v>
      </c>
    </row>
    <row r="155" spans="1:8" x14ac:dyDescent="0.3">
      <c r="A155" t="s">
        <v>788</v>
      </c>
      <c r="B155" t="s">
        <v>779</v>
      </c>
      <c r="C155">
        <v>2026</v>
      </c>
      <c r="D155" t="s">
        <v>60</v>
      </c>
      <c r="E155" t="s">
        <v>2</v>
      </c>
      <c r="F155">
        <v>7686.1980202597351</v>
      </c>
      <c r="G155" t="s">
        <v>30</v>
      </c>
      <c r="H155" t="s">
        <v>779</v>
      </c>
    </row>
    <row r="156" spans="1:8" x14ac:dyDescent="0.3">
      <c r="A156" t="s">
        <v>789</v>
      </c>
      <c r="B156" t="s">
        <v>779</v>
      </c>
      <c r="C156">
        <v>2026</v>
      </c>
      <c r="D156" t="s">
        <v>60</v>
      </c>
      <c r="E156" t="s">
        <v>2</v>
      </c>
      <c r="F156">
        <v>2935</v>
      </c>
      <c r="G156" t="s">
        <v>54</v>
      </c>
      <c r="H156" t="s">
        <v>779</v>
      </c>
    </row>
    <row r="157" spans="1:8" x14ac:dyDescent="0.3">
      <c r="A157" t="s">
        <v>790</v>
      </c>
      <c r="B157" t="s">
        <v>779</v>
      </c>
      <c r="C157">
        <v>2026</v>
      </c>
      <c r="D157" t="s">
        <v>60</v>
      </c>
      <c r="E157" t="s">
        <v>2</v>
      </c>
      <c r="F157">
        <v>22558991.189462323</v>
      </c>
      <c r="G157" t="s">
        <v>36</v>
      </c>
      <c r="H157" t="s">
        <v>779</v>
      </c>
    </row>
    <row r="158" spans="1:8" x14ac:dyDescent="0.3">
      <c r="A158" t="s">
        <v>791</v>
      </c>
      <c r="B158" t="s">
        <v>779</v>
      </c>
      <c r="C158">
        <v>2026</v>
      </c>
      <c r="D158" t="s">
        <v>60</v>
      </c>
      <c r="E158" t="s">
        <v>1</v>
      </c>
      <c r="F158">
        <v>0</v>
      </c>
      <c r="G158" t="s">
        <v>30</v>
      </c>
      <c r="H158" t="s">
        <v>779</v>
      </c>
    </row>
    <row r="159" spans="1:8" x14ac:dyDescent="0.3">
      <c r="A159" t="s">
        <v>792</v>
      </c>
      <c r="B159" t="s">
        <v>779</v>
      </c>
      <c r="C159">
        <v>2026</v>
      </c>
      <c r="D159" t="s">
        <v>60</v>
      </c>
      <c r="E159" t="s">
        <v>1</v>
      </c>
      <c r="F159">
        <v>0</v>
      </c>
      <c r="G159" t="s">
        <v>54</v>
      </c>
      <c r="H159" t="s">
        <v>779</v>
      </c>
    </row>
    <row r="160" spans="1:8" x14ac:dyDescent="0.3">
      <c r="A160" t="s">
        <v>793</v>
      </c>
      <c r="B160" t="s">
        <v>779</v>
      </c>
      <c r="C160">
        <v>2026</v>
      </c>
      <c r="D160" t="s">
        <v>60</v>
      </c>
      <c r="E160" t="s">
        <v>1</v>
      </c>
      <c r="F160">
        <v>0</v>
      </c>
      <c r="G160" t="s">
        <v>36</v>
      </c>
      <c r="H160" t="s">
        <v>779</v>
      </c>
    </row>
    <row r="161" spans="1:8" x14ac:dyDescent="0.3">
      <c r="A161" t="s">
        <v>1903</v>
      </c>
      <c r="B161" t="s">
        <v>779</v>
      </c>
      <c r="C161">
        <v>2026</v>
      </c>
      <c r="D161" t="s">
        <v>60</v>
      </c>
      <c r="E161" t="s">
        <v>1885</v>
      </c>
      <c r="F161">
        <v>8737.3492889041245</v>
      </c>
      <c r="G161" t="s">
        <v>30</v>
      </c>
      <c r="H161" t="s">
        <v>779</v>
      </c>
    </row>
    <row r="162" spans="1:8" x14ac:dyDescent="0.3">
      <c r="A162" t="s">
        <v>1904</v>
      </c>
      <c r="B162" t="s">
        <v>779</v>
      </c>
      <c r="C162">
        <v>2026</v>
      </c>
      <c r="D162" t="s">
        <v>60</v>
      </c>
      <c r="E162" t="s">
        <v>1885</v>
      </c>
      <c r="F162">
        <v>4748</v>
      </c>
      <c r="G162" t="s">
        <v>54</v>
      </c>
      <c r="H162" t="s">
        <v>779</v>
      </c>
    </row>
    <row r="163" spans="1:8" x14ac:dyDescent="0.3">
      <c r="A163" t="s">
        <v>1905</v>
      </c>
      <c r="B163" t="s">
        <v>779</v>
      </c>
      <c r="C163">
        <v>2026</v>
      </c>
      <c r="D163" t="s">
        <v>60</v>
      </c>
      <c r="E163" t="s">
        <v>1885</v>
      </c>
      <c r="F163">
        <v>41484934.423716784</v>
      </c>
      <c r="G163" t="s">
        <v>36</v>
      </c>
      <c r="H163" t="s">
        <v>779</v>
      </c>
    </row>
    <row r="164" spans="1:8" x14ac:dyDescent="0.3">
      <c r="A164" t="s">
        <v>794</v>
      </c>
      <c r="B164" t="s">
        <v>779</v>
      </c>
      <c r="C164">
        <v>2026</v>
      </c>
      <c r="D164" t="s">
        <v>60</v>
      </c>
      <c r="E164" t="s">
        <v>4</v>
      </c>
      <c r="F164">
        <v>8739.1898933466982</v>
      </c>
      <c r="G164" t="s">
        <v>30</v>
      </c>
      <c r="H164" t="s">
        <v>779</v>
      </c>
    </row>
    <row r="165" spans="1:8" x14ac:dyDescent="0.3">
      <c r="A165" t="s">
        <v>795</v>
      </c>
      <c r="B165" t="s">
        <v>779</v>
      </c>
      <c r="C165">
        <v>2026</v>
      </c>
      <c r="D165" t="s">
        <v>60</v>
      </c>
      <c r="E165" t="s">
        <v>4</v>
      </c>
      <c r="F165">
        <v>4747</v>
      </c>
      <c r="G165" t="s">
        <v>54</v>
      </c>
      <c r="H165" t="s">
        <v>779</v>
      </c>
    </row>
    <row r="166" spans="1:8" x14ac:dyDescent="0.3">
      <c r="A166" t="s">
        <v>796</v>
      </c>
      <c r="B166" t="s">
        <v>779</v>
      </c>
      <c r="C166">
        <v>2026</v>
      </c>
      <c r="D166" t="s">
        <v>60</v>
      </c>
      <c r="E166" t="s">
        <v>4</v>
      </c>
      <c r="F166">
        <v>41484934.423716776</v>
      </c>
      <c r="G166" t="s">
        <v>36</v>
      </c>
      <c r="H166" t="s">
        <v>779</v>
      </c>
    </row>
    <row r="167" spans="1:8" x14ac:dyDescent="0.3">
      <c r="A167" t="s">
        <v>797</v>
      </c>
      <c r="B167" t="s">
        <v>779</v>
      </c>
      <c r="C167">
        <v>2026</v>
      </c>
      <c r="D167" t="s">
        <v>60</v>
      </c>
      <c r="E167" t="s">
        <v>38</v>
      </c>
      <c r="F167">
        <v>10444.781034356762</v>
      </c>
      <c r="G167" t="s">
        <v>30</v>
      </c>
      <c r="H167" t="s">
        <v>779</v>
      </c>
    </row>
    <row r="168" spans="1:8" x14ac:dyDescent="0.3">
      <c r="A168" t="s">
        <v>798</v>
      </c>
      <c r="B168" t="s">
        <v>779</v>
      </c>
      <c r="C168">
        <v>2026</v>
      </c>
      <c r="D168" t="s">
        <v>60</v>
      </c>
      <c r="E168" t="s">
        <v>38</v>
      </c>
      <c r="F168">
        <v>1812</v>
      </c>
      <c r="G168" t="s">
        <v>54</v>
      </c>
      <c r="H168" t="s">
        <v>779</v>
      </c>
    </row>
    <row r="169" spans="1:8" x14ac:dyDescent="0.3">
      <c r="A169" t="s">
        <v>799</v>
      </c>
      <c r="B169" t="s">
        <v>779</v>
      </c>
      <c r="C169">
        <v>2026</v>
      </c>
      <c r="D169" t="s">
        <v>60</v>
      </c>
      <c r="E169" t="s">
        <v>38</v>
      </c>
      <c r="F169">
        <v>18925943.234254453</v>
      </c>
      <c r="G169" t="s">
        <v>36</v>
      </c>
      <c r="H169" t="s">
        <v>779</v>
      </c>
    </row>
    <row r="170" spans="1:8" x14ac:dyDescent="0.3">
      <c r="A170" t="s">
        <v>800</v>
      </c>
      <c r="B170" t="s">
        <v>801</v>
      </c>
      <c r="C170">
        <v>2026</v>
      </c>
      <c r="D170" t="s">
        <v>802</v>
      </c>
      <c r="E170" t="s">
        <v>53</v>
      </c>
      <c r="F170">
        <v>12429.596225078829</v>
      </c>
      <c r="G170" t="s">
        <v>30</v>
      </c>
      <c r="H170" t="s">
        <v>801</v>
      </c>
    </row>
    <row r="171" spans="1:8" x14ac:dyDescent="0.3">
      <c r="A171" t="s">
        <v>803</v>
      </c>
      <c r="B171" t="s">
        <v>801</v>
      </c>
      <c r="C171">
        <v>2026</v>
      </c>
      <c r="D171" t="s">
        <v>802</v>
      </c>
      <c r="E171" t="s">
        <v>53</v>
      </c>
      <c r="F171">
        <v>133</v>
      </c>
      <c r="G171" t="s">
        <v>54</v>
      </c>
      <c r="H171" t="s">
        <v>801</v>
      </c>
    </row>
    <row r="172" spans="1:8" x14ac:dyDescent="0.3">
      <c r="A172" t="s">
        <v>804</v>
      </c>
      <c r="B172" t="s">
        <v>801</v>
      </c>
      <c r="C172">
        <v>2026</v>
      </c>
      <c r="D172" t="s">
        <v>802</v>
      </c>
      <c r="E172" t="s">
        <v>53</v>
      </c>
      <c r="F172">
        <v>1653136.2979354842</v>
      </c>
      <c r="G172" t="s">
        <v>36</v>
      </c>
      <c r="H172" t="s">
        <v>801</v>
      </c>
    </row>
    <row r="173" spans="1:8" x14ac:dyDescent="0.3">
      <c r="A173" t="s">
        <v>805</v>
      </c>
      <c r="B173" t="s">
        <v>801</v>
      </c>
      <c r="C173">
        <v>2026</v>
      </c>
      <c r="D173" t="s">
        <v>802</v>
      </c>
      <c r="E173" t="s">
        <v>63</v>
      </c>
      <c r="F173">
        <v>23906.957698064507</v>
      </c>
      <c r="G173" t="s">
        <v>30</v>
      </c>
      <c r="H173" t="s">
        <v>801</v>
      </c>
    </row>
    <row r="174" spans="1:8" x14ac:dyDescent="0.3">
      <c r="A174" t="s">
        <v>806</v>
      </c>
      <c r="B174" t="s">
        <v>801</v>
      </c>
      <c r="C174">
        <v>2026</v>
      </c>
      <c r="D174" t="s">
        <v>802</v>
      </c>
      <c r="E174" t="s">
        <v>63</v>
      </c>
      <c r="F174">
        <v>25</v>
      </c>
      <c r="G174" t="s">
        <v>54</v>
      </c>
      <c r="H174" t="s">
        <v>801</v>
      </c>
    </row>
    <row r="175" spans="1:8" x14ac:dyDescent="0.3">
      <c r="A175" t="s">
        <v>807</v>
      </c>
      <c r="B175" t="s">
        <v>801</v>
      </c>
      <c r="C175">
        <v>2026</v>
      </c>
      <c r="D175" t="s">
        <v>802</v>
      </c>
      <c r="E175" t="s">
        <v>63</v>
      </c>
      <c r="F175">
        <v>597673.94245161267</v>
      </c>
      <c r="G175" t="s">
        <v>36</v>
      </c>
      <c r="H175" t="s">
        <v>801</v>
      </c>
    </row>
    <row r="176" spans="1:8" x14ac:dyDescent="0.3">
      <c r="A176" t="s">
        <v>808</v>
      </c>
      <c r="B176" t="s">
        <v>801</v>
      </c>
      <c r="C176">
        <v>2026</v>
      </c>
      <c r="D176" t="s">
        <v>802</v>
      </c>
      <c r="E176" t="s">
        <v>3</v>
      </c>
      <c r="F176">
        <v>25739.994429909322</v>
      </c>
      <c r="G176" t="s">
        <v>30</v>
      </c>
      <c r="H176" t="s">
        <v>801</v>
      </c>
    </row>
    <row r="177" spans="1:8" x14ac:dyDescent="0.3">
      <c r="A177" t="s">
        <v>809</v>
      </c>
      <c r="B177" t="s">
        <v>801</v>
      </c>
      <c r="C177">
        <v>2026</v>
      </c>
      <c r="D177" t="s">
        <v>802</v>
      </c>
      <c r="E177" t="s">
        <v>3</v>
      </c>
      <c r="F177">
        <v>217</v>
      </c>
      <c r="G177" t="s">
        <v>54</v>
      </c>
      <c r="H177" t="s">
        <v>801</v>
      </c>
    </row>
    <row r="178" spans="1:8" x14ac:dyDescent="0.3">
      <c r="A178" t="s">
        <v>810</v>
      </c>
      <c r="B178" t="s">
        <v>801</v>
      </c>
      <c r="C178">
        <v>2026</v>
      </c>
      <c r="D178" t="s">
        <v>802</v>
      </c>
      <c r="E178" t="s">
        <v>3</v>
      </c>
      <c r="F178">
        <v>5585578.7912903232</v>
      </c>
      <c r="G178" t="s">
        <v>36</v>
      </c>
      <c r="H178" t="s">
        <v>801</v>
      </c>
    </row>
    <row r="179" spans="1:8" x14ac:dyDescent="0.3">
      <c r="A179" t="s">
        <v>811</v>
      </c>
      <c r="B179" t="s">
        <v>801</v>
      </c>
      <c r="C179">
        <v>2026</v>
      </c>
      <c r="D179" t="s">
        <v>802</v>
      </c>
      <c r="E179" t="s">
        <v>2</v>
      </c>
      <c r="F179">
        <v>8464.9848222622277</v>
      </c>
      <c r="G179" t="s">
        <v>30</v>
      </c>
      <c r="H179" t="s">
        <v>801</v>
      </c>
    </row>
    <row r="180" spans="1:8" x14ac:dyDescent="0.3">
      <c r="A180" t="s">
        <v>812</v>
      </c>
      <c r="B180" t="s">
        <v>801</v>
      </c>
      <c r="C180">
        <v>2026</v>
      </c>
      <c r="D180" t="s">
        <v>802</v>
      </c>
      <c r="E180" t="s">
        <v>2</v>
      </c>
      <c r="F180">
        <v>4417</v>
      </c>
      <c r="G180" t="s">
        <v>54</v>
      </c>
      <c r="H180" t="s">
        <v>801</v>
      </c>
    </row>
    <row r="181" spans="1:8" x14ac:dyDescent="0.3">
      <c r="A181" t="s">
        <v>813</v>
      </c>
      <c r="B181" t="s">
        <v>801</v>
      </c>
      <c r="C181">
        <v>2026</v>
      </c>
      <c r="D181" t="s">
        <v>802</v>
      </c>
      <c r="E181" t="s">
        <v>2</v>
      </c>
      <c r="F181">
        <v>37389837.95993226</v>
      </c>
      <c r="G181" t="s">
        <v>36</v>
      </c>
      <c r="H181" t="s">
        <v>801</v>
      </c>
    </row>
    <row r="182" spans="1:8" x14ac:dyDescent="0.3">
      <c r="A182" t="s">
        <v>814</v>
      </c>
      <c r="B182" t="s">
        <v>801</v>
      </c>
      <c r="C182">
        <v>2026</v>
      </c>
      <c r="D182" t="s">
        <v>802</v>
      </c>
      <c r="E182" t="s">
        <v>1</v>
      </c>
      <c r="F182">
        <v>12313.181104536769</v>
      </c>
      <c r="G182" t="s">
        <v>30</v>
      </c>
      <c r="H182" t="s">
        <v>801</v>
      </c>
    </row>
    <row r="183" spans="1:8" x14ac:dyDescent="0.3">
      <c r="A183" t="s">
        <v>815</v>
      </c>
      <c r="B183" t="s">
        <v>801</v>
      </c>
      <c r="C183">
        <v>2026</v>
      </c>
      <c r="D183" t="s">
        <v>802</v>
      </c>
      <c r="E183" t="s">
        <v>1</v>
      </c>
      <c r="F183">
        <v>13189</v>
      </c>
      <c r="G183" t="s">
        <v>54</v>
      </c>
      <c r="H183" t="s">
        <v>801</v>
      </c>
    </row>
    <row r="184" spans="1:8" x14ac:dyDescent="0.3">
      <c r="A184" t="s">
        <v>816</v>
      </c>
      <c r="B184" t="s">
        <v>801</v>
      </c>
      <c r="C184">
        <v>2026</v>
      </c>
      <c r="D184" t="s">
        <v>802</v>
      </c>
      <c r="E184" t="s">
        <v>1</v>
      </c>
      <c r="F184">
        <v>162398545.58773544</v>
      </c>
      <c r="G184" t="s">
        <v>36</v>
      </c>
      <c r="H184" t="s">
        <v>801</v>
      </c>
    </row>
    <row r="185" spans="1:8" x14ac:dyDescent="0.3">
      <c r="A185" t="s">
        <v>1906</v>
      </c>
      <c r="B185" t="s">
        <v>801</v>
      </c>
      <c r="C185">
        <v>2026</v>
      </c>
      <c r="D185" t="s">
        <v>802</v>
      </c>
      <c r="E185" t="s">
        <v>1885</v>
      </c>
      <c r="F185">
        <v>11435.145480815399</v>
      </c>
      <c r="G185" t="s">
        <v>30</v>
      </c>
      <c r="H185" t="s">
        <v>801</v>
      </c>
    </row>
    <row r="186" spans="1:8" x14ac:dyDescent="0.3">
      <c r="A186" t="s">
        <v>1907</v>
      </c>
      <c r="B186" t="s">
        <v>801</v>
      </c>
      <c r="C186">
        <v>2026</v>
      </c>
      <c r="D186" t="s">
        <v>802</v>
      </c>
      <c r="E186" t="s">
        <v>1885</v>
      </c>
      <c r="F186">
        <v>22837</v>
      </c>
      <c r="G186" t="s">
        <v>54</v>
      </c>
      <c r="H186" t="s">
        <v>801</v>
      </c>
    </row>
    <row r="187" spans="1:8" x14ac:dyDescent="0.3">
      <c r="A187" t="s">
        <v>1908</v>
      </c>
      <c r="B187" t="s">
        <v>801</v>
      </c>
      <c r="C187">
        <v>2026</v>
      </c>
      <c r="D187" t="s">
        <v>802</v>
      </c>
      <c r="E187" t="s">
        <v>1885</v>
      </c>
      <c r="F187">
        <v>261144417.34538129</v>
      </c>
      <c r="G187" t="s">
        <v>36</v>
      </c>
      <c r="H187" t="s">
        <v>801</v>
      </c>
    </row>
    <row r="188" spans="1:8" x14ac:dyDescent="0.3">
      <c r="A188" t="s">
        <v>817</v>
      </c>
      <c r="B188" t="s">
        <v>801</v>
      </c>
      <c r="C188">
        <v>2026</v>
      </c>
      <c r="D188" t="s">
        <v>802</v>
      </c>
      <c r="E188" t="s">
        <v>4</v>
      </c>
      <c r="F188">
        <v>11441.658663923119</v>
      </c>
      <c r="G188" t="s">
        <v>30</v>
      </c>
      <c r="H188" t="s">
        <v>801</v>
      </c>
    </row>
    <row r="189" spans="1:8" x14ac:dyDescent="0.3">
      <c r="A189" t="s">
        <v>818</v>
      </c>
      <c r="B189" t="s">
        <v>801</v>
      </c>
      <c r="C189">
        <v>2026</v>
      </c>
      <c r="D189" t="s">
        <v>802</v>
      </c>
      <c r="E189" t="s">
        <v>4</v>
      </c>
      <c r="F189">
        <v>22824</v>
      </c>
      <c r="G189" t="s">
        <v>54</v>
      </c>
      <c r="H189" t="s">
        <v>801</v>
      </c>
    </row>
    <row r="190" spans="1:8" x14ac:dyDescent="0.3">
      <c r="A190" t="s">
        <v>819</v>
      </c>
      <c r="B190" t="s">
        <v>801</v>
      </c>
      <c r="C190">
        <v>2026</v>
      </c>
      <c r="D190" t="s">
        <v>802</v>
      </c>
      <c r="E190" t="s">
        <v>4</v>
      </c>
      <c r="F190">
        <v>261144417.34538126</v>
      </c>
      <c r="G190" t="s">
        <v>36</v>
      </c>
      <c r="H190" t="s">
        <v>801</v>
      </c>
    </row>
    <row r="191" spans="1:8" x14ac:dyDescent="0.3">
      <c r="A191" t="s">
        <v>820</v>
      </c>
      <c r="B191" t="s">
        <v>801</v>
      </c>
      <c r="C191">
        <v>2026</v>
      </c>
      <c r="D191" t="s">
        <v>802</v>
      </c>
      <c r="E191" t="s">
        <v>38</v>
      </c>
      <c r="F191">
        <v>11050.92809540288</v>
      </c>
      <c r="G191" t="s">
        <v>30</v>
      </c>
      <c r="H191" t="s">
        <v>801</v>
      </c>
    </row>
    <row r="192" spans="1:8" x14ac:dyDescent="0.3">
      <c r="A192" t="s">
        <v>821</v>
      </c>
      <c r="B192" t="s">
        <v>801</v>
      </c>
      <c r="C192">
        <v>2026</v>
      </c>
      <c r="D192" t="s">
        <v>802</v>
      </c>
      <c r="E192" t="s">
        <v>38</v>
      </c>
      <c r="F192">
        <v>4843</v>
      </c>
      <c r="G192" t="s">
        <v>54</v>
      </c>
      <c r="H192" t="s">
        <v>801</v>
      </c>
    </row>
    <row r="193" spans="1:8" x14ac:dyDescent="0.3">
      <c r="A193" t="s">
        <v>822</v>
      </c>
      <c r="B193" t="s">
        <v>801</v>
      </c>
      <c r="C193">
        <v>2026</v>
      </c>
      <c r="D193" t="s">
        <v>802</v>
      </c>
      <c r="E193" t="s">
        <v>38</v>
      </c>
      <c r="F193">
        <v>53519644.766036145</v>
      </c>
      <c r="G193" t="s">
        <v>36</v>
      </c>
      <c r="H193" t="s">
        <v>801</v>
      </c>
    </row>
    <row r="194" spans="1:8" x14ac:dyDescent="0.3">
      <c r="A194" t="s">
        <v>823</v>
      </c>
      <c r="B194" t="s">
        <v>824</v>
      </c>
      <c r="C194">
        <v>2026</v>
      </c>
      <c r="D194" t="s">
        <v>825</v>
      </c>
      <c r="E194" t="s">
        <v>53</v>
      </c>
      <c r="F194">
        <v>0</v>
      </c>
      <c r="G194" t="s">
        <v>30</v>
      </c>
      <c r="H194" t="s">
        <v>824</v>
      </c>
    </row>
    <row r="195" spans="1:8" x14ac:dyDescent="0.3">
      <c r="A195" t="s">
        <v>826</v>
      </c>
      <c r="B195" t="s">
        <v>824</v>
      </c>
      <c r="C195">
        <v>2026</v>
      </c>
      <c r="D195" t="s">
        <v>825</v>
      </c>
      <c r="E195" t="s">
        <v>53</v>
      </c>
      <c r="F195">
        <v>0</v>
      </c>
      <c r="G195" t="s">
        <v>54</v>
      </c>
      <c r="H195" t="s">
        <v>824</v>
      </c>
    </row>
    <row r="196" spans="1:8" x14ac:dyDescent="0.3">
      <c r="A196" t="s">
        <v>827</v>
      </c>
      <c r="B196" t="s">
        <v>824</v>
      </c>
      <c r="C196">
        <v>2026</v>
      </c>
      <c r="D196" t="s">
        <v>825</v>
      </c>
      <c r="E196" t="s">
        <v>53</v>
      </c>
      <c r="F196">
        <v>0</v>
      </c>
      <c r="G196" t="s">
        <v>36</v>
      </c>
      <c r="H196" t="s">
        <v>824</v>
      </c>
    </row>
    <row r="197" spans="1:8" x14ac:dyDescent="0.3">
      <c r="A197" t="s">
        <v>828</v>
      </c>
      <c r="B197" t="s">
        <v>824</v>
      </c>
      <c r="C197">
        <v>2026</v>
      </c>
      <c r="D197" t="s">
        <v>825</v>
      </c>
      <c r="E197" t="s">
        <v>63</v>
      </c>
      <c r="F197">
        <v>19454.799595354838</v>
      </c>
      <c r="G197" t="s">
        <v>30</v>
      </c>
      <c r="H197" t="s">
        <v>824</v>
      </c>
    </row>
    <row r="198" spans="1:8" x14ac:dyDescent="0.3">
      <c r="A198" t="s">
        <v>829</v>
      </c>
      <c r="B198" t="s">
        <v>824</v>
      </c>
      <c r="C198">
        <v>2026</v>
      </c>
      <c r="D198" t="s">
        <v>825</v>
      </c>
      <c r="E198" t="s">
        <v>63</v>
      </c>
      <c r="F198">
        <v>25</v>
      </c>
      <c r="G198" t="s">
        <v>54</v>
      </c>
      <c r="H198" t="s">
        <v>824</v>
      </c>
    </row>
    <row r="199" spans="1:8" x14ac:dyDescent="0.3">
      <c r="A199" t="s">
        <v>830</v>
      </c>
      <c r="B199" t="s">
        <v>824</v>
      </c>
      <c r="C199">
        <v>2026</v>
      </c>
      <c r="D199" t="s">
        <v>825</v>
      </c>
      <c r="E199" t="s">
        <v>63</v>
      </c>
      <c r="F199">
        <v>486369.98988387099</v>
      </c>
      <c r="G199" t="s">
        <v>36</v>
      </c>
      <c r="H199" t="s">
        <v>824</v>
      </c>
    </row>
    <row r="200" spans="1:8" x14ac:dyDescent="0.3">
      <c r="A200" t="s">
        <v>831</v>
      </c>
      <c r="B200" t="s">
        <v>824</v>
      </c>
      <c r="C200">
        <v>2026</v>
      </c>
      <c r="D200" t="s">
        <v>825</v>
      </c>
      <c r="E200" t="s">
        <v>3</v>
      </c>
      <c r="F200">
        <v>20330.430265365027</v>
      </c>
      <c r="G200" t="s">
        <v>30</v>
      </c>
      <c r="H200" t="s">
        <v>824</v>
      </c>
    </row>
    <row r="201" spans="1:8" x14ac:dyDescent="0.3">
      <c r="A201" t="s">
        <v>832</v>
      </c>
      <c r="B201" t="s">
        <v>824</v>
      </c>
      <c r="C201">
        <v>2026</v>
      </c>
      <c r="D201" t="s">
        <v>825</v>
      </c>
      <c r="E201" t="s">
        <v>3</v>
      </c>
      <c r="F201">
        <v>228</v>
      </c>
      <c r="G201" t="s">
        <v>54</v>
      </c>
      <c r="H201" t="s">
        <v>824</v>
      </c>
    </row>
    <row r="202" spans="1:8" x14ac:dyDescent="0.3">
      <c r="A202" t="s">
        <v>833</v>
      </c>
      <c r="B202" t="s">
        <v>824</v>
      </c>
      <c r="C202">
        <v>2026</v>
      </c>
      <c r="D202" t="s">
        <v>825</v>
      </c>
      <c r="E202" t="s">
        <v>3</v>
      </c>
      <c r="F202">
        <v>4635338.1005032258</v>
      </c>
      <c r="G202" t="s">
        <v>36</v>
      </c>
      <c r="H202" t="s">
        <v>824</v>
      </c>
    </row>
    <row r="203" spans="1:8" x14ac:dyDescent="0.3">
      <c r="A203" t="s">
        <v>834</v>
      </c>
      <c r="B203" t="s">
        <v>824</v>
      </c>
      <c r="C203">
        <v>2026</v>
      </c>
      <c r="D203" t="s">
        <v>825</v>
      </c>
      <c r="E203" t="s">
        <v>2</v>
      </c>
      <c r="F203">
        <v>10492.775596088055</v>
      </c>
      <c r="G203" t="s">
        <v>30</v>
      </c>
      <c r="H203" t="s">
        <v>824</v>
      </c>
    </row>
    <row r="204" spans="1:8" x14ac:dyDescent="0.3">
      <c r="A204" t="s">
        <v>835</v>
      </c>
      <c r="B204" t="s">
        <v>824</v>
      </c>
      <c r="C204">
        <v>2026</v>
      </c>
      <c r="D204" t="s">
        <v>825</v>
      </c>
      <c r="E204" t="s">
        <v>2</v>
      </c>
      <c r="F204">
        <v>1669</v>
      </c>
      <c r="G204" t="s">
        <v>54</v>
      </c>
      <c r="H204" t="s">
        <v>824</v>
      </c>
    </row>
    <row r="205" spans="1:8" x14ac:dyDescent="0.3">
      <c r="A205" t="s">
        <v>836</v>
      </c>
      <c r="B205" t="s">
        <v>824</v>
      </c>
      <c r="C205">
        <v>2026</v>
      </c>
      <c r="D205" t="s">
        <v>825</v>
      </c>
      <c r="E205" t="s">
        <v>2</v>
      </c>
      <c r="F205">
        <v>17512442.469870962</v>
      </c>
      <c r="G205" t="s">
        <v>36</v>
      </c>
      <c r="H205" t="s">
        <v>824</v>
      </c>
    </row>
    <row r="206" spans="1:8" x14ac:dyDescent="0.3">
      <c r="A206" t="s">
        <v>837</v>
      </c>
      <c r="B206" t="s">
        <v>824</v>
      </c>
      <c r="C206">
        <v>2026</v>
      </c>
      <c r="D206" t="s">
        <v>825</v>
      </c>
      <c r="E206" t="s">
        <v>1</v>
      </c>
      <c r="F206">
        <v>12098.178621493149</v>
      </c>
      <c r="G206" t="s">
        <v>30</v>
      </c>
      <c r="H206" t="s">
        <v>824</v>
      </c>
    </row>
    <row r="207" spans="1:8" x14ac:dyDescent="0.3">
      <c r="A207" t="s">
        <v>838</v>
      </c>
      <c r="B207" t="s">
        <v>824</v>
      </c>
      <c r="C207">
        <v>2026</v>
      </c>
      <c r="D207" t="s">
        <v>825</v>
      </c>
      <c r="E207" t="s">
        <v>1</v>
      </c>
      <c r="F207">
        <v>11785</v>
      </c>
      <c r="G207" t="s">
        <v>54</v>
      </c>
      <c r="H207" t="s">
        <v>824</v>
      </c>
    </row>
    <row r="208" spans="1:8" x14ac:dyDescent="0.3">
      <c r="A208" t="s">
        <v>839</v>
      </c>
      <c r="B208" t="s">
        <v>824</v>
      </c>
      <c r="C208">
        <v>2026</v>
      </c>
      <c r="D208" t="s">
        <v>825</v>
      </c>
      <c r="E208" t="s">
        <v>1</v>
      </c>
      <c r="F208">
        <v>142577035.05429676</v>
      </c>
      <c r="G208" t="s">
        <v>36</v>
      </c>
      <c r="H208" t="s">
        <v>824</v>
      </c>
    </row>
    <row r="209" spans="1:8" x14ac:dyDescent="0.3">
      <c r="A209" t="s">
        <v>1909</v>
      </c>
      <c r="B209" t="s">
        <v>824</v>
      </c>
      <c r="C209">
        <v>2026</v>
      </c>
      <c r="D209" t="s">
        <v>825</v>
      </c>
      <c r="E209" t="s">
        <v>1885</v>
      </c>
      <c r="F209">
        <v>11835.526934512734</v>
      </c>
      <c r="G209" t="s">
        <v>30</v>
      </c>
      <c r="H209" t="s">
        <v>824</v>
      </c>
    </row>
    <row r="210" spans="1:8" x14ac:dyDescent="0.3">
      <c r="A210" t="s">
        <v>1910</v>
      </c>
      <c r="B210" t="s">
        <v>824</v>
      </c>
      <c r="C210">
        <v>2026</v>
      </c>
      <c r="D210" t="s">
        <v>825</v>
      </c>
      <c r="E210" t="s">
        <v>1885</v>
      </c>
      <c r="F210">
        <v>18193</v>
      </c>
      <c r="G210" t="s">
        <v>54</v>
      </c>
      <c r="H210" t="s">
        <v>824</v>
      </c>
    </row>
    <row r="211" spans="1:8" x14ac:dyDescent="0.3">
      <c r="A211" t="s">
        <v>1911</v>
      </c>
      <c r="B211" t="s">
        <v>824</v>
      </c>
      <c r="C211">
        <v>2026</v>
      </c>
      <c r="D211" t="s">
        <v>825</v>
      </c>
      <c r="E211" t="s">
        <v>1885</v>
      </c>
      <c r="F211">
        <v>215323741.51959017</v>
      </c>
      <c r="G211" t="s">
        <v>36</v>
      </c>
      <c r="H211" t="s">
        <v>824</v>
      </c>
    </row>
    <row r="212" spans="1:8" x14ac:dyDescent="0.3">
      <c r="A212" t="s">
        <v>840</v>
      </c>
      <c r="B212" t="s">
        <v>824</v>
      </c>
      <c r="C212">
        <v>2026</v>
      </c>
      <c r="D212" t="s">
        <v>825</v>
      </c>
      <c r="E212" t="s">
        <v>4</v>
      </c>
      <c r="F212">
        <v>11841.384817399372</v>
      </c>
      <c r="G212" t="s">
        <v>30</v>
      </c>
      <c r="H212" t="s">
        <v>824</v>
      </c>
    </row>
    <row r="213" spans="1:8" x14ac:dyDescent="0.3">
      <c r="A213" t="s">
        <v>841</v>
      </c>
      <c r="B213" t="s">
        <v>824</v>
      </c>
      <c r="C213">
        <v>2026</v>
      </c>
      <c r="D213" t="s">
        <v>825</v>
      </c>
      <c r="E213" t="s">
        <v>4</v>
      </c>
      <c r="F213">
        <v>18184</v>
      </c>
      <c r="G213" t="s">
        <v>54</v>
      </c>
      <c r="H213" t="s">
        <v>824</v>
      </c>
    </row>
    <row r="214" spans="1:8" x14ac:dyDescent="0.3">
      <c r="A214" t="s">
        <v>842</v>
      </c>
      <c r="B214" t="s">
        <v>824</v>
      </c>
      <c r="C214">
        <v>2026</v>
      </c>
      <c r="D214" t="s">
        <v>825</v>
      </c>
      <c r="E214" t="s">
        <v>4</v>
      </c>
      <c r="F214">
        <v>215323741.51959017</v>
      </c>
      <c r="G214" t="s">
        <v>36</v>
      </c>
      <c r="H214" t="s">
        <v>824</v>
      </c>
    </row>
    <row r="215" spans="1:8" x14ac:dyDescent="0.3">
      <c r="A215" t="s">
        <v>843</v>
      </c>
      <c r="B215" t="s">
        <v>824</v>
      </c>
      <c r="C215">
        <v>2026</v>
      </c>
      <c r="D215" t="s">
        <v>825</v>
      </c>
      <c r="E215" t="s">
        <v>38</v>
      </c>
      <c r="F215">
        <v>11193.333907758622</v>
      </c>
      <c r="G215" t="s">
        <v>30</v>
      </c>
      <c r="H215" t="s">
        <v>824</v>
      </c>
    </row>
    <row r="216" spans="1:8" x14ac:dyDescent="0.3">
      <c r="A216" t="s">
        <v>844</v>
      </c>
      <c r="B216" t="s">
        <v>824</v>
      </c>
      <c r="C216">
        <v>2026</v>
      </c>
      <c r="D216" t="s">
        <v>825</v>
      </c>
      <c r="E216" t="s">
        <v>38</v>
      </c>
      <c r="F216">
        <v>4477</v>
      </c>
      <c r="G216" t="s">
        <v>54</v>
      </c>
      <c r="H216" t="s">
        <v>824</v>
      </c>
    </row>
    <row r="217" spans="1:8" x14ac:dyDescent="0.3">
      <c r="A217" t="s">
        <v>845</v>
      </c>
      <c r="B217" t="s">
        <v>824</v>
      </c>
      <c r="C217">
        <v>2026</v>
      </c>
      <c r="D217" t="s">
        <v>825</v>
      </c>
      <c r="E217" t="s">
        <v>38</v>
      </c>
      <c r="F217">
        <v>50112555.905035354</v>
      </c>
      <c r="G217" t="s">
        <v>36</v>
      </c>
      <c r="H217" t="s">
        <v>824</v>
      </c>
    </row>
    <row r="218" spans="1:8" x14ac:dyDescent="0.3">
      <c r="A218" t="s">
        <v>846</v>
      </c>
      <c r="B218" t="s">
        <v>847</v>
      </c>
      <c r="C218">
        <v>2026</v>
      </c>
      <c r="D218" t="s">
        <v>848</v>
      </c>
      <c r="E218" t="s">
        <v>53</v>
      </c>
      <c r="F218">
        <v>0</v>
      </c>
      <c r="G218" t="s">
        <v>30</v>
      </c>
      <c r="H218" t="s">
        <v>847</v>
      </c>
    </row>
    <row r="219" spans="1:8" x14ac:dyDescent="0.3">
      <c r="A219" t="s">
        <v>849</v>
      </c>
      <c r="B219" t="s">
        <v>847</v>
      </c>
      <c r="C219">
        <v>2026</v>
      </c>
      <c r="D219" t="s">
        <v>848</v>
      </c>
      <c r="E219" t="s">
        <v>53</v>
      </c>
      <c r="F219">
        <v>0</v>
      </c>
      <c r="G219" t="s">
        <v>54</v>
      </c>
      <c r="H219" t="s">
        <v>847</v>
      </c>
    </row>
    <row r="220" spans="1:8" x14ac:dyDescent="0.3">
      <c r="A220" t="s">
        <v>850</v>
      </c>
      <c r="B220" t="s">
        <v>847</v>
      </c>
      <c r="C220">
        <v>2026</v>
      </c>
      <c r="D220" t="s">
        <v>848</v>
      </c>
      <c r="E220" t="s">
        <v>53</v>
      </c>
      <c r="F220">
        <v>0</v>
      </c>
      <c r="G220" t="s">
        <v>36</v>
      </c>
      <c r="H220" t="s">
        <v>847</v>
      </c>
    </row>
    <row r="221" spans="1:8" x14ac:dyDescent="0.3">
      <c r="A221" t="s">
        <v>851</v>
      </c>
      <c r="B221" t="s">
        <v>847</v>
      </c>
      <c r="C221">
        <v>2026</v>
      </c>
      <c r="D221" t="s">
        <v>848</v>
      </c>
      <c r="E221" t="s">
        <v>63</v>
      </c>
      <c r="F221">
        <v>0</v>
      </c>
      <c r="G221" t="s">
        <v>30</v>
      </c>
      <c r="H221" t="s">
        <v>847</v>
      </c>
    </row>
    <row r="222" spans="1:8" x14ac:dyDescent="0.3">
      <c r="A222" t="s">
        <v>852</v>
      </c>
      <c r="B222" t="s">
        <v>847</v>
      </c>
      <c r="C222">
        <v>2026</v>
      </c>
      <c r="D222" t="s">
        <v>848</v>
      </c>
      <c r="E222" t="s">
        <v>63</v>
      </c>
      <c r="F222">
        <v>0</v>
      </c>
      <c r="G222" t="s">
        <v>54</v>
      </c>
      <c r="H222" t="s">
        <v>847</v>
      </c>
    </row>
    <row r="223" spans="1:8" x14ac:dyDescent="0.3">
      <c r="A223" t="s">
        <v>853</v>
      </c>
      <c r="B223" t="s">
        <v>847</v>
      </c>
      <c r="C223">
        <v>2026</v>
      </c>
      <c r="D223" t="s">
        <v>848</v>
      </c>
      <c r="E223" t="s">
        <v>63</v>
      </c>
      <c r="F223">
        <v>0</v>
      </c>
      <c r="G223" t="s">
        <v>36</v>
      </c>
      <c r="H223" t="s">
        <v>847</v>
      </c>
    </row>
    <row r="224" spans="1:8" x14ac:dyDescent="0.3">
      <c r="A224" t="s">
        <v>854</v>
      </c>
      <c r="B224" t="s">
        <v>847</v>
      </c>
      <c r="C224">
        <v>2026</v>
      </c>
      <c r="D224" t="s">
        <v>848</v>
      </c>
      <c r="E224" t="s">
        <v>3</v>
      </c>
      <c r="F224">
        <v>0</v>
      </c>
      <c r="G224" t="s">
        <v>30</v>
      </c>
      <c r="H224" t="s">
        <v>847</v>
      </c>
    </row>
    <row r="225" spans="1:8" x14ac:dyDescent="0.3">
      <c r="A225" t="s">
        <v>855</v>
      </c>
      <c r="B225" t="s">
        <v>847</v>
      </c>
      <c r="C225">
        <v>2026</v>
      </c>
      <c r="D225" t="s">
        <v>848</v>
      </c>
      <c r="E225" t="s">
        <v>3</v>
      </c>
      <c r="F225">
        <v>0</v>
      </c>
      <c r="G225" t="s">
        <v>54</v>
      </c>
      <c r="H225" t="s">
        <v>847</v>
      </c>
    </row>
    <row r="226" spans="1:8" x14ac:dyDescent="0.3">
      <c r="A226" t="s">
        <v>856</v>
      </c>
      <c r="B226" t="s">
        <v>847</v>
      </c>
      <c r="C226">
        <v>2026</v>
      </c>
      <c r="D226" t="s">
        <v>848</v>
      </c>
      <c r="E226" t="s">
        <v>3</v>
      </c>
      <c r="F226">
        <v>0</v>
      </c>
      <c r="G226" t="s">
        <v>36</v>
      </c>
      <c r="H226" t="s">
        <v>847</v>
      </c>
    </row>
    <row r="227" spans="1:8" x14ac:dyDescent="0.3">
      <c r="A227" t="s">
        <v>857</v>
      </c>
      <c r="B227" t="s">
        <v>847</v>
      </c>
      <c r="C227">
        <v>2026</v>
      </c>
      <c r="D227" t="s">
        <v>848</v>
      </c>
      <c r="E227" t="s">
        <v>2</v>
      </c>
      <c r="F227">
        <v>7885.7804706521465</v>
      </c>
      <c r="G227" t="s">
        <v>30</v>
      </c>
      <c r="H227" t="s">
        <v>847</v>
      </c>
    </row>
    <row r="228" spans="1:8" x14ac:dyDescent="0.3">
      <c r="A228" t="s">
        <v>858</v>
      </c>
      <c r="B228" t="s">
        <v>847</v>
      </c>
      <c r="C228">
        <v>2026</v>
      </c>
      <c r="D228" t="s">
        <v>848</v>
      </c>
      <c r="E228" t="s">
        <v>2</v>
      </c>
      <c r="F228">
        <v>157</v>
      </c>
      <c r="G228" t="s">
        <v>54</v>
      </c>
      <c r="H228" t="s">
        <v>847</v>
      </c>
    </row>
    <row r="229" spans="1:8" x14ac:dyDescent="0.3">
      <c r="A229" t="s">
        <v>859</v>
      </c>
      <c r="B229" t="s">
        <v>847</v>
      </c>
      <c r="C229">
        <v>2026</v>
      </c>
      <c r="D229" t="s">
        <v>848</v>
      </c>
      <c r="E229" t="s">
        <v>2</v>
      </c>
      <c r="F229">
        <v>1238067.5338923871</v>
      </c>
      <c r="G229" t="s">
        <v>36</v>
      </c>
      <c r="H229" t="s">
        <v>847</v>
      </c>
    </row>
    <row r="230" spans="1:8" x14ac:dyDescent="0.3">
      <c r="A230" t="s">
        <v>860</v>
      </c>
      <c r="B230" t="s">
        <v>847</v>
      </c>
      <c r="C230">
        <v>2026</v>
      </c>
      <c r="D230" t="s">
        <v>848</v>
      </c>
      <c r="E230" t="s">
        <v>1</v>
      </c>
      <c r="F230">
        <v>11958.253733526455</v>
      </c>
      <c r="G230" t="s">
        <v>30</v>
      </c>
      <c r="H230" t="s">
        <v>847</v>
      </c>
    </row>
    <row r="231" spans="1:8" x14ac:dyDescent="0.3">
      <c r="A231" t="s">
        <v>861</v>
      </c>
      <c r="B231" t="s">
        <v>847</v>
      </c>
      <c r="C231">
        <v>2026</v>
      </c>
      <c r="D231" t="s">
        <v>848</v>
      </c>
      <c r="E231" t="s">
        <v>1</v>
      </c>
      <c r="F231">
        <v>2053</v>
      </c>
      <c r="G231" t="s">
        <v>54</v>
      </c>
      <c r="H231" t="s">
        <v>847</v>
      </c>
    </row>
    <row r="232" spans="1:8" x14ac:dyDescent="0.3">
      <c r="A232" t="s">
        <v>862</v>
      </c>
      <c r="B232" t="s">
        <v>847</v>
      </c>
      <c r="C232">
        <v>2026</v>
      </c>
      <c r="D232" t="s">
        <v>848</v>
      </c>
      <c r="E232" t="s">
        <v>1</v>
      </c>
      <c r="F232">
        <v>24550294.914929811</v>
      </c>
      <c r="G232" t="s">
        <v>36</v>
      </c>
      <c r="H232" t="s">
        <v>847</v>
      </c>
    </row>
    <row r="233" spans="1:8" x14ac:dyDescent="0.3">
      <c r="A233" t="s">
        <v>1912</v>
      </c>
      <c r="B233" t="s">
        <v>847</v>
      </c>
      <c r="C233">
        <v>2026</v>
      </c>
      <c r="D233" t="s">
        <v>848</v>
      </c>
      <c r="E233" t="s">
        <v>1885</v>
      </c>
      <c r="F233">
        <v>11674.224739168214</v>
      </c>
      <c r="G233" t="s">
        <v>30</v>
      </c>
      <c r="H233" t="s">
        <v>847</v>
      </c>
    </row>
    <row r="234" spans="1:8" x14ac:dyDescent="0.3">
      <c r="A234" t="s">
        <v>1913</v>
      </c>
      <c r="B234" t="s">
        <v>847</v>
      </c>
      <c r="C234">
        <v>2026</v>
      </c>
      <c r="D234" t="s">
        <v>848</v>
      </c>
      <c r="E234" t="s">
        <v>1885</v>
      </c>
      <c r="F234">
        <v>2209</v>
      </c>
      <c r="G234" t="s">
        <v>54</v>
      </c>
      <c r="H234" t="s">
        <v>847</v>
      </c>
    </row>
    <row r="235" spans="1:8" x14ac:dyDescent="0.3">
      <c r="A235" t="s">
        <v>1914</v>
      </c>
      <c r="B235" t="s">
        <v>847</v>
      </c>
      <c r="C235">
        <v>2026</v>
      </c>
      <c r="D235" t="s">
        <v>848</v>
      </c>
      <c r="E235" t="s">
        <v>1885</v>
      </c>
      <c r="F235">
        <v>25788362.448822584</v>
      </c>
      <c r="G235" t="s">
        <v>36</v>
      </c>
      <c r="H235" t="s">
        <v>847</v>
      </c>
    </row>
    <row r="236" spans="1:8" x14ac:dyDescent="0.3">
      <c r="A236" t="s">
        <v>863</v>
      </c>
      <c r="B236" t="s">
        <v>847</v>
      </c>
      <c r="C236">
        <v>2026</v>
      </c>
      <c r="D236" t="s">
        <v>848</v>
      </c>
      <c r="E236" t="s">
        <v>4</v>
      </c>
      <c r="F236">
        <v>11668.942284534931</v>
      </c>
      <c r="G236" t="s">
        <v>30</v>
      </c>
      <c r="H236" t="s">
        <v>847</v>
      </c>
    </row>
    <row r="237" spans="1:8" x14ac:dyDescent="0.3">
      <c r="A237" t="s">
        <v>864</v>
      </c>
      <c r="B237" t="s">
        <v>847</v>
      </c>
      <c r="C237">
        <v>2026</v>
      </c>
      <c r="D237" t="s">
        <v>848</v>
      </c>
      <c r="E237" t="s">
        <v>4</v>
      </c>
      <c r="F237">
        <v>2210</v>
      </c>
      <c r="G237" t="s">
        <v>54</v>
      </c>
      <c r="H237" t="s">
        <v>847</v>
      </c>
    </row>
    <row r="238" spans="1:8" x14ac:dyDescent="0.3">
      <c r="A238" t="s">
        <v>865</v>
      </c>
      <c r="B238" t="s">
        <v>847</v>
      </c>
      <c r="C238">
        <v>2026</v>
      </c>
      <c r="D238" t="s">
        <v>848</v>
      </c>
      <c r="E238" t="s">
        <v>4</v>
      </c>
      <c r="F238">
        <v>25788362.448822197</v>
      </c>
      <c r="G238" t="s">
        <v>36</v>
      </c>
      <c r="H238" t="s">
        <v>847</v>
      </c>
    </row>
    <row r="239" spans="1:8" x14ac:dyDescent="0.3">
      <c r="A239" t="s">
        <v>866</v>
      </c>
      <c r="B239" t="s">
        <v>847</v>
      </c>
      <c r="C239">
        <v>2026</v>
      </c>
      <c r="D239" t="s">
        <v>848</v>
      </c>
      <c r="E239" t="s">
        <v>38</v>
      </c>
      <c r="F239">
        <v>0</v>
      </c>
      <c r="G239" t="s">
        <v>30</v>
      </c>
      <c r="H239" t="s">
        <v>847</v>
      </c>
    </row>
    <row r="240" spans="1:8" x14ac:dyDescent="0.3">
      <c r="A240" t="s">
        <v>867</v>
      </c>
      <c r="B240" t="s">
        <v>847</v>
      </c>
      <c r="C240">
        <v>2026</v>
      </c>
      <c r="D240" t="s">
        <v>848</v>
      </c>
      <c r="E240" t="s">
        <v>38</v>
      </c>
      <c r="F240">
        <v>0</v>
      </c>
      <c r="G240" t="s">
        <v>54</v>
      </c>
      <c r="H240" t="s">
        <v>847</v>
      </c>
    </row>
    <row r="241" spans="1:8" x14ac:dyDescent="0.3">
      <c r="A241" t="s">
        <v>868</v>
      </c>
      <c r="B241" t="s">
        <v>847</v>
      </c>
      <c r="C241">
        <v>2026</v>
      </c>
      <c r="D241" t="s">
        <v>848</v>
      </c>
      <c r="E241" t="s">
        <v>38</v>
      </c>
      <c r="F241">
        <v>0</v>
      </c>
      <c r="G241" t="s">
        <v>36</v>
      </c>
      <c r="H241" t="s">
        <v>847</v>
      </c>
    </row>
    <row r="242" spans="1:8" x14ac:dyDescent="0.3">
      <c r="A242" t="s">
        <v>869</v>
      </c>
      <c r="B242" t="s">
        <v>870</v>
      </c>
      <c r="C242">
        <v>2026</v>
      </c>
      <c r="D242" t="s">
        <v>871</v>
      </c>
      <c r="E242" t="s">
        <v>53</v>
      </c>
      <c r="F242">
        <v>0</v>
      </c>
      <c r="G242" t="s">
        <v>30</v>
      </c>
      <c r="H242" t="s">
        <v>870</v>
      </c>
    </row>
    <row r="243" spans="1:8" x14ac:dyDescent="0.3">
      <c r="A243" t="s">
        <v>872</v>
      </c>
      <c r="B243" t="s">
        <v>870</v>
      </c>
      <c r="C243">
        <v>2026</v>
      </c>
      <c r="D243" t="s">
        <v>871</v>
      </c>
      <c r="E243" t="s">
        <v>53</v>
      </c>
      <c r="F243">
        <v>0</v>
      </c>
      <c r="G243" t="s">
        <v>54</v>
      </c>
      <c r="H243" t="s">
        <v>870</v>
      </c>
    </row>
    <row r="244" spans="1:8" x14ac:dyDescent="0.3">
      <c r="A244" t="s">
        <v>873</v>
      </c>
      <c r="B244" t="s">
        <v>870</v>
      </c>
      <c r="C244">
        <v>2026</v>
      </c>
      <c r="D244" t="s">
        <v>871</v>
      </c>
      <c r="E244" t="s">
        <v>53</v>
      </c>
      <c r="F244">
        <v>0</v>
      </c>
      <c r="G244" t="s">
        <v>36</v>
      </c>
      <c r="H244" t="s">
        <v>870</v>
      </c>
    </row>
    <row r="245" spans="1:8" x14ac:dyDescent="0.3">
      <c r="A245" t="s">
        <v>874</v>
      </c>
      <c r="B245" t="s">
        <v>870</v>
      </c>
      <c r="C245">
        <v>2026</v>
      </c>
      <c r="D245" t="s">
        <v>871</v>
      </c>
      <c r="E245" t="s">
        <v>63</v>
      </c>
      <c r="F245">
        <v>0</v>
      </c>
      <c r="G245" t="s">
        <v>30</v>
      </c>
      <c r="H245" t="s">
        <v>870</v>
      </c>
    </row>
    <row r="246" spans="1:8" x14ac:dyDescent="0.3">
      <c r="A246" t="s">
        <v>875</v>
      </c>
      <c r="B246" t="s">
        <v>870</v>
      </c>
      <c r="C246">
        <v>2026</v>
      </c>
      <c r="D246" t="s">
        <v>871</v>
      </c>
      <c r="E246" t="s">
        <v>63</v>
      </c>
      <c r="F246">
        <v>0</v>
      </c>
      <c r="G246" t="s">
        <v>54</v>
      </c>
      <c r="H246" t="s">
        <v>870</v>
      </c>
    </row>
    <row r="247" spans="1:8" x14ac:dyDescent="0.3">
      <c r="A247" t="s">
        <v>876</v>
      </c>
      <c r="B247" t="s">
        <v>870</v>
      </c>
      <c r="C247">
        <v>2026</v>
      </c>
      <c r="D247" t="s">
        <v>871</v>
      </c>
      <c r="E247" t="s">
        <v>63</v>
      </c>
      <c r="F247">
        <v>0</v>
      </c>
      <c r="G247" t="s">
        <v>36</v>
      </c>
      <c r="H247" t="s">
        <v>870</v>
      </c>
    </row>
    <row r="248" spans="1:8" x14ac:dyDescent="0.3">
      <c r="A248" t="s">
        <v>877</v>
      </c>
      <c r="B248" t="s">
        <v>870</v>
      </c>
      <c r="C248">
        <v>2026</v>
      </c>
      <c r="D248" t="s">
        <v>871</v>
      </c>
      <c r="E248" t="s">
        <v>3</v>
      </c>
      <c r="F248">
        <v>0</v>
      </c>
      <c r="G248" t="s">
        <v>30</v>
      </c>
      <c r="H248" t="s">
        <v>870</v>
      </c>
    </row>
    <row r="249" spans="1:8" x14ac:dyDescent="0.3">
      <c r="A249" t="s">
        <v>878</v>
      </c>
      <c r="B249" t="s">
        <v>870</v>
      </c>
      <c r="C249">
        <v>2026</v>
      </c>
      <c r="D249" t="s">
        <v>871</v>
      </c>
      <c r="E249" t="s">
        <v>3</v>
      </c>
      <c r="F249">
        <v>0</v>
      </c>
      <c r="G249" t="s">
        <v>54</v>
      </c>
      <c r="H249" t="s">
        <v>870</v>
      </c>
    </row>
    <row r="250" spans="1:8" x14ac:dyDescent="0.3">
      <c r="A250" t="s">
        <v>879</v>
      </c>
      <c r="B250" t="s">
        <v>870</v>
      </c>
      <c r="C250">
        <v>2026</v>
      </c>
      <c r="D250" t="s">
        <v>871</v>
      </c>
      <c r="E250" t="s">
        <v>3</v>
      </c>
      <c r="F250">
        <v>0</v>
      </c>
      <c r="G250" t="s">
        <v>36</v>
      </c>
      <c r="H250" t="s">
        <v>870</v>
      </c>
    </row>
    <row r="251" spans="1:8" x14ac:dyDescent="0.3">
      <c r="A251" t="s">
        <v>880</v>
      </c>
      <c r="B251" t="s">
        <v>870</v>
      </c>
      <c r="C251">
        <v>2026</v>
      </c>
      <c r="D251" t="s">
        <v>871</v>
      </c>
      <c r="E251" t="s">
        <v>2</v>
      </c>
      <c r="F251">
        <v>8636.3939365521965</v>
      </c>
      <c r="G251" t="s">
        <v>30</v>
      </c>
      <c r="H251" t="s">
        <v>870</v>
      </c>
    </row>
    <row r="252" spans="1:8" x14ac:dyDescent="0.3">
      <c r="A252" t="s">
        <v>881</v>
      </c>
      <c r="B252" t="s">
        <v>870</v>
      </c>
      <c r="C252">
        <v>2026</v>
      </c>
      <c r="D252" t="s">
        <v>871</v>
      </c>
      <c r="E252" t="s">
        <v>2</v>
      </c>
      <c r="F252">
        <v>483</v>
      </c>
      <c r="G252" t="s">
        <v>54</v>
      </c>
      <c r="H252" t="s">
        <v>870</v>
      </c>
    </row>
    <row r="253" spans="1:8" x14ac:dyDescent="0.3">
      <c r="A253" t="s">
        <v>882</v>
      </c>
      <c r="B253" t="s">
        <v>870</v>
      </c>
      <c r="C253">
        <v>2026</v>
      </c>
      <c r="D253" t="s">
        <v>871</v>
      </c>
      <c r="E253" t="s">
        <v>2</v>
      </c>
      <c r="F253">
        <v>4171378.2713547107</v>
      </c>
      <c r="G253" t="s">
        <v>36</v>
      </c>
      <c r="H253" t="s">
        <v>870</v>
      </c>
    </row>
    <row r="254" spans="1:8" x14ac:dyDescent="0.3">
      <c r="A254" t="s">
        <v>883</v>
      </c>
      <c r="B254" t="s">
        <v>870</v>
      </c>
      <c r="C254">
        <v>2026</v>
      </c>
      <c r="D254" t="s">
        <v>871</v>
      </c>
      <c r="E254" t="s">
        <v>1</v>
      </c>
      <c r="F254">
        <v>11958.253733526455</v>
      </c>
      <c r="G254" t="s">
        <v>30</v>
      </c>
      <c r="H254" t="s">
        <v>870</v>
      </c>
    </row>
    <row r="255" spans="1:8" x14ac:dyDescent="0.3">
      <c r="A255" t="s">
        <v>884</v>
      </c>
      <c r="B255" t="s">
        <v>870</v>
      </c>
      <c r="C255">
        <v>2026</v>
      </c>
      <c r="D255" t="s">
        <v>871</v>
      </c>
      <c r="E255" t="s">
        <v>1</v>
      </c>
      <c r="F255">
        <v>2053</v>
      </c>
      <c r="G255" t="s">
        <v>54</v>
      </c>
      <c r="H255" t="s">
        <v>870</v>
      </c>
    </row>
    <row r="256" spans="1:8" x14ac:dyDescent="0.3">
      <c r="A256" t="s">
        <v>885</v>
      </c>
      <c r="B256" t="s">
        <v>870</v>
      </c>
      <c r="C256">
        <v>2026</v>
      </c>
      <c r="D256" t="s">
        <v>871</v>
      </c>
      <c r="E256" t="s">
        <v>1</v>
      </c>
      <c r="F256">
        <v>24550294.914929811</v>
      </c>
      <c r="G256" t="s">
        <v>36</v>
      </c>
      <c r="H256" t="s">
        <v>870</v>
      </c>
    </row>
    <row r="257" spans="1:8" x14ac:dyDescent="0.3">
      <c r="A257" t="s">
        <v>1915</v>
      </c>
      <c r="B257" t="s">
        <v>870</v>
      </c>
      <c r="C257">
        <v>2026</v>
      </c>
      <c r="D257" t="s">
        <v>871</v>
      </c>
      <c r="E257" t="s">
        <v>1885</v>
      </c>
      <c r="F257">
        <v>11316.656101767105</v>
      </c>
      <c r="G257" t="s">
        <v>30</v>
      </c>
      <c r="H257" t="s">
        <v>870</v>
      </c>
    </row>
    <row r="258" spans="1:8" x14ac:dyDescent="0.3">
      <c r="A258" t="s">
        <v>1916</v>
      </c>
      <c r="B258" t="s">
        <v>870</v>
      </c>
      <c r="C258">
        <v>2026</v>
      </c>
      <c r="D258" t="s">
        <v>871</v>
      </c>
      <c r="E258" t="s">
        <v>1885</v>
      </c>
      <c r="F258">
        <v>2538</v>
      </c>
      <c r="G258" t="s">
        <v>54</v>
      </c>
      <c r="H258" t="s">
        <v>870</v>
      </c>
    </row>
    <row r="259" spans="1:8" x14ac:dyDescent="0.3">
      <c r="A259" t="s">
        <v>1917</v>
      </c>
      <c r="B259" t="s">
        <v>870</v>
      </c>
      <c r="C259">
        <v>2026</v>
      </c>
      <c r="D259" t="s">
        <v>871</v>
      </c>
      <c r="E259" t="s">
        <v>1885</v>
      </c>
      <c r="F259">
        <v>28721673.186284911</v>
      </c>
      <c r="G259" t="s">
        <v>36</v>
      </c>
      <c r="H259" t="s">
        <v>870</v>
      </c>
    </row>
    <row r="260" spans="1:8" x14ac:dyDescent="0.3">
      <c r="A260" t="s">
        <v>886</v>
      </c>
      <c r="B260" t="s">
        <v>870</v>
      </c>
      <c r="C260">
        <v>2026</v>
      </c>
      <c r="D260" t="s">
        <v>871</v>
      </c>
      <c r="E260" t="s">
        <v>4</v>
      </c>
      <c r="F260">
        <v>11325.580909418186</v>
      </c>
      <c r="G260" t="s">
        <v>30</v>
      </c>
      <c r="H260" t="s">
        <v>870</v>
      </c>
    </row>
    <row r="261" spans="1:8" x14ac:dyDescent="0.3">
      <c r="A261" t="s">
        <v>887</v>
      </c>
      <c r="B261" t="s">
        <v>870</v>
      </c>
      <c r="C261">
        <v>2026</v>
      </c>
      <c r="D261" t="s">
        <v>871</v>
      </c>
      <c r="E261" t="s">
        <v>4</v>
      </c>
      <c r="F261">
        <v>2536</v>
      </c>
      <c r="G261" t="s">
        <v>54</v>
      </c>
      <c r="H261" t="s">
        <v>870</v>
      </c>
    </row>
    <row r="262" spans="1:8" x14ac:dyDescent="0.3">
      <c r="A262" t="s">
        <v>888</v>
      </c>
      <c r="B262" t="s">
        <v>870</v>
      </c>
      <c r="C262">
        <v>2026</v>
      </c>
      <c r="D262" t="s">
        <v>871</v>
      </c>
      <c r="E262" t="s">
        <v>4</v>
      </c>
      <c r="F262">
        <v>28721673.18628452</v>
      </c>
      <c r="G262" t="s">
        <v>36</v>
      </c>
      <c r="H262" t="s">
        <v>870</v>
      </c>
    </row>
    <row r="263" spans="1:8" x14ac:dyDescent="0.3">
      <c r="A263" t="s">
        <v>889</v>
      </c>
      <c r="B263" t="s">
        <v>870</v>
      </c>
      <c r="C263">
        <v>2026</v>
      </c>
      <c r="D263" t="s">
        <v>871</v>
      </c>
      <c r="E263" t="s">
        <v>38</v>
      </c>
      <c r="F263">
        <v>0</v>
      </c>
      <c r="G263" t="s">
        <v>30</v>
      </c>
      <c r="H263" t="s">
        <v>870</v>
      </c>
    </row>
    <row r="264" spans="1:8" x14ac:dyDescent="0.3">
      <c r="A264" t="s">
        <v>890</v>
      </c>
      <c r="B264" t="s">
        <v>870</v>
      </c>
      <c r="C264">
        <v>2026</v>
      </c>
      <c r="D264" t="s">
        <v>871</v>
      </c>
      <c r="E264" t="s">
        <v>38</v>
      </c>
      <c r="F264">
        <v>0</v>
      </c>
      <c r="G264" t="s">
        <v>54</v>
      </c>
      <c r="H264" t="s">
        <v>870</v>
      </c>
    </row>
    <row r="265" spans="1:8" x14ac:dyDescent="0.3">
      <c r="A265" t="s">
        <v>891</v>
      </c>
      <c r="B265" t="s">
        <v>870</v>
      </c>
      <c r="C265">
        <v>2026</v>
      </c>
      <c r="D265" t="s">
        <v>871</v>
      </c>
      <c r="E265" t="s">
        <v>38</v>
      </c>
      <c r="F265">
        <v>0</v>
      </c>
      <c r="G265" t="s">
        <v>36</v>
      </c>
      <c r="H265" t="s">
        <v>870</v>
      </c>
    </row>
    <row r="266" spans="1:8" x14ac:dyDescent="0.3">
      <c r="A266" t="s">
        <v>2060</v>
      </c>
      <c r="B266" t="s">
        <v>2054</v>
      </c>
      <c r="C266">
        <v>2026</v>
      </c>
      <c r="D266" t="s">
        <v>1359</v>
      </c>
      <c r="E266" t="s">
        <v>53</v>
      </c>
      <c r="F266">
        <v>0</v>
      </c>
      <c r="G266" t="s">
        <v>30</v>
      </c>
      <c r="H266" t="s">
        <v>2054</v>
      </c>
    </row>
    <row r="267" spans="1:8" x14ac:dyDescent="0.3">
      <c r="A267" t="s">
        <v>2061</v>
      </c>
      <c r="B267" t="s">
        <v>2054</v>
      </c>
      <c r="C267">
        <v>2026</v>
      </c>
      <c r="D267" t="s">
        <v>1359</v>
      </c>
      <c r="E267" t="s">
        <v>53</v>
      </c>
      <c r="F267">
        <v>0</v>
      </c>
      <c r="G267" t="s">
        <v>54</v>
      </c>
      <c r="H267" t="s">
        <v>2054</v>
      </c>
    </row>
    <row r="268" spans="1:8" x14ac:dyDescent="0.3">
      <c r="A268" t="s">
        <v>2062</v>
      </c>
      <c r="B268" t="s">
        <v>2054</v>
      </c>
      <c r="C268">
        <v>2026</v>
      </c>
      <c r="D268" t="s">
        <v>1359</v>
      </c>
      <c r="E268" t="s">
        <v>53</v>
      </c>
      <c r="F268">
        <v>0</v>
      </c>
      <c r="G268" t="s">
        <v>36</v>
      </c>
      <c r="H268" t="s">
        <v>2054</v>
      </c>
    </row>
    <row r="269" spans="1:8" x14ac:dyDescent="0.3">
      <c r="A269" t="s">
        <v>2063</v>
      </c>
      <c r="B269" t="s">
        <v>2054</v>
      </c>
      <c r="C269">
        <v>2026</v>
      </c>
      <c r="D269" t="s">
        <v>1359</v>
      </c>
      <c r="E269" t="s">
        <v>63</v>
      </c>
      <c r="F269">
        <v>0</v>
      </c>
      <c r="G269" t="s">
        <v>30</v>
      </c>
      <c r="H269" t="s">
        <v>2054</v>
      </c>
    </row>
    <row r="270" spans="1:8" x14ac:dyDescent="0.3">
      <c r="A270" t="s">
        <v>2064</v>
      </c>
      <c r="B270" t="s">
        <v>2054</v>
      </c>
      <c r="C270">
        <v>2026</v>
      </c>
      <c r="D270" t="s">
        <v>1359</v>
      </c>
      <c r="E270" t="s">
        <v>63</v>
      </c>
      <c r="F270">
        <v>0</v>
      </c>
      <c r="G270" t="s">
        <v>54</v>
      </c>
      <c r="H270" t="s">
        <v>2054</v>
      </c>
    </row>
    <row r="271" spans="1:8" x14ac:dyDescent="0.3">
      <c r="A271" t="s">
        <v>2065</v>
      </c>
      <c r="B271" t="s">
        <v>2054</v>
      </c>
      <c r="C271">
        <v>2026</v>
      </c>
      <c r="D271" t="s">
        <v>1359</v>
      </c>
      <c r="E271" t="s">
        <v>63</v>
      </c>
      <c r="F271">
        <v>0</v>
      </c>
      <c r="G271" t="s">
        <v>36</v>
      </c>
      <c r="H271" t="s">
        <v>2054</v>
      </c>
    </row>
    <row r="272" spans="1:8" x14ac:dyDescent="0.3">
      <c r="A272" t="s">
        <v>2066</v>
      </c>
      <c r="B272" t="s">
        <v>2054</v>
      </c>
      <c r="C272">
        <v>2026</v>
      </c>
      <c r="D272" t="s">
        <v>1359</v>
      </c>
      <c r="E272" t="s">
        <v>3</v>
      </c>
      <c r="F272">
        <v>0</v>
      </c>
      <c r="G272" t="s">
        <v>30</v>
      </c>
      <c r="H272" t="s">
        <v>2054</v>
      </c>
    </row>
    <row r="273" spans="1:8" x14ac:dyDescent="0.3">
      <c r="A273" t="s">
        <v>2067</v>
      </c>
      <c r="B273" t="s">
        <v>2054</v>
      </c>
      <c r="C273">
        <v>2026</v>
      </c>
      <c r="D273" t="s">
        <v>1359</v>
      </c>
      <c r="E273" t="s">
        <v>3</v>
      </c>
      <c r="F273">
        <v>0</v>
      </c>
      <c r="G273" t="s">
        <v>54</v>
      </c>
      <c r="H273" t="s">
        <v>2054</v>
      </c>
    </row>
    <row r="274" spans="1:8" x14ac:dyDescent="0.3">
      <c r="A274" t="s">
        <v>2068</v>
      </c>
      <c r="B274" t="s">
        <v>2054</v>
      </c>
      <c r="C274">
        <v>2026</v>
      </c>
      <c r="D274" t="s">
        <v>1359</v>
      </c>
      <c r="E274" t="s">
        <v>3</v>
      </c>
      <c r="F274">
        <v>0</v>
      </c>
      <c r="G274" t="s">
        <v>36</v>
      </c>
      <c r="H274" t="s">
        <v>2054</v>
      </c>
    </row>
    <row r="275" spans="1:8" x14ac:dyDescent="0.3">
      <c r="A275" t="s">
        <v>2069</v>
      </c>
      <c r="B275" t="s">
        <v>2054</v>
      </c>
      <c r="C275">
        <v>2026</v>
      </c>
      <c r="D275" t="s">
        <v>1359</v>
      </c>
      <c r="E275" t="s">
        <v>2</v>
      </c>
      <c r="F275">
        <v>4586.5437788018435</v>
      </c>
      <c r="G275" t="s">
        <v>30</v>
      </c>
      <c r="H275" t="s">
        <v>2054</v>
      </c>
    </row>
    <row r="276" spans="1:8" x14ac:dyDescent="0.3">
      <c r="A276" t="s">
        <v>2070</v>
      </c>
      <c r="B276" t="s">
        <v>2054</v>
      </c>
      <c r="C276">
        <v>2026</v>
      </c>
      <c r="D276" t="s">
        <v>1359</v>
      </c>
      <c r="E276" t="s">
        <v>2</v>
      </c>
      <c r="F276">
        <v>84</v>
      </c>
      <c r="G276" t="s">
        <v>54</v>
      </c>
      <c r="H276" t="s">
        <v>2054</v>
      </c>
    </row>
    <row r="277" spans="1:8" x14ac:dyDescent="0.3">
      <c r="A277" t="s">
        <v>2071</v>
      </c>
      <c r="B277" t="s">
        <v>2054</v>
      </c>
      <c r="C277">
        <v>2026</v>
      </c>
      <c r="D277" t="s">
        <v>1359</v>
      </c>
      <c r="E277" t="s">
        <v>2</v>
      </c>
      <c r="F277">
        <v>385269.67741935485</v>
      </c>
      <c r="G277" t="s">
        <v>36</v>
      </c>
      <c r="H277" t="s">
        <v>2054</v>
      </c>
    </row>
    <row r="278" spans="1:8" x14ac:dyDescent="0.3">
      <c r="A278" t="s">
        <v>2072</v>
      </c>
      <c r="B278" t="s">
        <v>2054</v>
      </c>
      <c r="C278">
        <v>2026</v>
      </c>
      <c r="D278" t="s">
        <v>1359</v>
      </c>
      <c r="E278" t="s">
        <v>1</v>
      </c>
      <c r="F278">
        <v>5033.977043773295</v>
      </c>
      <c r="G278" t="s">
        <v>30</v>
      </c>
      <c r="H278" t="s">
        <v>2054</v>
      </c>
    </row>
    <row r="279" spans="1:8" x14ac:dyDescent="0.3">
      <c r="A279" t="s">
        <v>2073</v>
      </c>
      <c r="B279" t="s">
        <v>2054</v>
      </c>
      <c r="C279">
        <v>2026</v>
      </c>
      <c r="D279" t="s">
        <v>1359</v>
      </c>
      <c r="E279" t="s">
        <v>1</v>
      </c>
      <c r="F279">
        <v>502</v>
      </c>
      <c r="G279" t="s">
        <v>54</v>
      </c>
      <c r="H279" t="s">
        <v>2054</v>
      </c>
    </row>
    <row r="280" spans="1:8" x14ac:dyDescent="0.3">
      <c r="A280" t="s">
        <v>2074</v>
      </c>
      <c r="B280" t="s">
        <v>2054</v>
      </c>
      <c r="C280">
        <v>2026</v>
      </c>
      <c r="D280" t="s">
        <v>1359</v>
      </c>
      <c r="E280" t="s">
        <v>1</v>
      </c>
      <c r="F280">
        <v>2527056.4759741942</v>
      </c>
      <c r="G280" t="s">
        <v>36</v>
      </c>
      <c r="H280" t="s">
        <v>2054</v>
      </c>
    </row>
    <row r="281" spans="1:8" x14ac:dyDescent="0.3">
      <c r="A281" t="s">
        <v>2075</v>
      </c>
      <c r="B281" t="s">
        <v>2054</v>
      </c>
      <c r="C281">
        <v>2026</v>
      </c>
      <c r="D281" t="s">
        <v>1359</v>
      </c>
      <c r="E281" t="s">
        <v>1885</v>
      </c>
      <c r="F281">
        <v>4969.8398522074194</v>
      </c>
      <c r="G281" t="s">
        <v>30</v>
      </c>
      <c r="H281" t="s">
        <v>2054</v>
      </c>
    </row>
    <row r="282" spans="1:8" x14ac:dyDescent="0.3">
      <c r="A282" t="s">
        <v>2076</v>
      </c>
      <c r="B282" t="s">
        <v>2054</v>
      </c>
      <c r="C282">
        <v>2026</v>
      </c>
      <c r="D282" t="s">
        <v>1359</v>
      </c>
      <c r="E282" t="s">
        <v>1885</v>
      </c>
      <c r="F282">
        <v>586</v>
      </c>
      <c r="G282" t="s">
        <v>54</v>
      </c>
      <c r="H282" t="s">
        <v>2054</v>
      </c>
    </row>
    <row r="283" spans="1:8" x14ac:dyDescent="0.3">
      <c r="A283" t="s">
        <v>2077</v>
      </c>
      <c r="B283" t="s">
        <v>2054</v>
      </c>
      <c r="C283">
        <v>2026</v>
      </c>
      <c r="D283" t="s">
        <v>1359</v>
      </c>
      <c r="E283" t="s">
        <v>1885</v>
      </c>
      <c r="F283">
        <v>2912326.153393548</v>
      </c>
      <c r="G283" t="s">
        <v>36</v>
      </c>
      <c r="H283" t="s">
        <v>2054</v>
      </c>
    </row>
    <row r="284" spans="1:8" x14ac:dyDescent="0.3">
      <c r="A284" t="s">
        <v>2055</v>
      </c>
      <c r="B284" t="s">
        <v>2054</v>
      </c>
      <c r="C284">
        <v>2026</v>
      </c>
      <c r="D284" t="s">
        <v>1359</v>
      </c>
      <c r="E284" t="s">
        <v>4</v>
      </c>
      <c r="F284">
        <v>4969.8398522074212</v>
      </c>
      <c r="G284" t="s">
        <v>30</v>
      </c>
      <c r="H284" t="s">
        <v>2054</v>
      </c>
    </row>
    <row r="285" spans="1:8" x14ac:dyDescent="0.3">
      <c r="A285" t="s">
        <v>2056</v>
      </c>
      <c r="B285" t="s">
        <v>2054</v>
      </c>
      <c r="C285">
        <v>2026</v>
      </c>
      <c r="D285" t="s">
        <v>1359</v>
      </c>
      <c r="E285" t="s">
        <v>4</v>
      </c>
      <c r="F285">
        <v>586</v>
      </c>
      <c r="G285" t="s">
        <v>54</v>
      </c>
      <c r="H285" t="s">
        <v>2054</v>
      </c>
    </row>
    <row r="286" spans="1:8" x14ac:dyDescent="0.3">
      <c r="A286" t="s">
        <v>2057</v>
      </c>
      <c r="B286" t="s">
        <v>2054</v>
      </c>
      <c r="C286">
        <v>2026</v>
      </c>
      <c r="D286" t="s">
        <v>1359</v>
      </c>
      <c r="E286" t="s">
        <v>4</v>
      </c>
      <c r="F286">
        <v>2912326.1533935489</v>
      </c>
      <c r="G286" t="s">
        <v>36</v>
      </c>
      <c r="H286" t="s">
        <v>2054</v>
      </c>
    </row>
    <row r="287" spans="1:8" x14ac:dyDescent="0.3">
      <c r="A287" t="s">
        <v>2078</v>
      </c>
      <c r="B287" t="s">
        <v>2054</v>
      </c>
      <c r="C287">
        <v>2026</v>
      </c>
      <c r="D287" t="s">
        <v>1359</v>
      </c>
      <c r="E287" t="s">
        <v>38</v>
      </c>
      <c r="F287">
        <v>0</v>
      </c>
      <c r="G287" t="s">
        <v>30</v>
      </c>
      <c r="H287" t="s">
        <v>2054</v>
      </c>
    </row>
    <row r="288" spans="1:8" x14ac:dyDescent="0.3">
      <c r="A288" t="s">
        <v>2079</v>
      </c>
      <c r="B288" t="s">
        <v>2054</v>
      </c>
      <c r="C288">
        <v>2026</v>
      </c>
      <c r="D288" t="s">
        <v>1359</v>
      </c>
      <c r="E288" t="s">
        <v>38</v>
      </c>
      <c r="F288">
        <v>0</v>
      </c>
      <c r="G288" t="s">
        <v>54</v>
      </c>
      <c r="H288" t="s">
        <v>2054</v>
      </c>
    </row>
    <row r="289" spans="1:8" x14ac:dyDescent="0.3">
      <c r="A289" t="s">
        <v>2080</v>
      </c>
      <c r="B289" t="s">
        <v>2054</v>
      </c>
      <c r="C289">
        <v>2026</v>
      </c>
      <c r="D289" t="s">
        <v>1359</v>
      </c>
      <c r="E289" t="s">
        <v>38</v>
      </c>
      <c r="F289">
        <v>0</v>
      </c>
      <c r="G289" t="s">
        <v>36</v>
      </c>
      <c r="H289" t="s">
        <v>2054</v>
      </c>
    </row>
    <row r="290" spans="1:8" x14ac:dyDescent="0.3">
      <c r="A290" t="s">
        <v>892</v>
      </c>
      <c r="B290" t="s">
        <v>102</v>
      </c>
      <c r="C290">
        <v>2026</v>
      </c>
      <c r="D290" t="s">
        <v>102</v>
      </c>
      <c r="E290" t="s">
        <v>53</v>
      </c>
      <c r="G290" t="s">
        <v>36</v>
      </c>
      <c r="H290" t="s">
        <v>102</v>
      </c>
    </row>
    <row r="291" spans="1:8" x14ac:dyDescent="0.3">
      <c r="A291" t="s">
        <v>893</v>
      </c>
      <c r="B291" t="s">
        <v>102</v>
      </c>
      <c r="C291">
        <v>2026</v>
      </c>
      <c r="D291" t="s">
        <v>102</v>
      </c>
      <c r="E291" t="s">
        <v>53</v>
      </c>
      <c r="F291">
        <v>0</v>
      </c>
      <c r="G291" t="s">
        <v>54</v>
      </c>
      <c r="H291" t="s">
        <v>102</v>
      </c>
    </row>
    <row r="292" spans="1:8" x14ac:dyDescent="0.3">
      <c r="A292" t="s">
        <v>894</v>
      </c>
      <c r="B292" t="s">
        <v>102</v>
      </c>
      <c r="C292">
        <v>2026</v>
      </c>
      <c r="D292" t="s">
        <v>102</v>
      </c>
      <c r="E292" t="s">
        <v>53</v>
      </c>
      <c r="F292">
        <v>0</v>
      </c>
      <c r="G292" t="s">
        <v>36</v>
      </c>
      <c r="H292" t="s">
        <v>102</v>
      </c>
    </row>
    <row r="293" spans="1:8" x14ac:dyDescent="0.3">
      <c r="A293" t="s">
        <v>895</v>
      </c>
      <c r="B293" t="s">
        <v>102</v>
      </c>
      <c r="C293">
        <v>2026</v>
      </c>
      <c r="D293" t="s">
        <v>102</v>
      </c>
      <c r="E293" t="s">
        <v>63</v>
      </c>
      <c r="G293" t="s">
        <v>36</v>
      </c>
      <c r="H293" t="s">
        <v>102</v>
      </c>
    </row>
    <row r="294" spans="1:8" x14ac:dyDescent="0.3">
      <c r="A294" t="s">
        <v>896</v>
      </c>
      <c r="B294" t="s">
        <v>102</v>
      </c>
      <c r="C294">
        <v>2026</v>
      </c>
      <c r="D294" t="s">
        <v>102</v>
      </c>
      <c r="E294" t="s">
        <v>63</v>
      </c>
      <c r="F294">
        <v>0</v>
      </c>
      <c r="G294" t="s">
        <v>54</v>
      </c>
      <c r="H294" t="s">
        <v>102</v>
      </c>
    </row>
    <row r="295" spans="1:8" x14ac:dyDescent="0.3">
      <c r="A295" t="s">
        <v>897</v>
      </c>
      <c r="B295" t="s">
        <v>102</v>
      </c>
      <c r="C295">
        <v>2026</v>
      </c>
      <c r="D295" t="s">
        <v>102</v>
      </c>
      <c r="E295" t="s">
        <v>63</v>
      </c>
      <c r="F295">
        <v>0</v>
      </c>
      <c r="G295" t="s">
        <v>36</v>
      </c>
      <c r="H295" t="s">
        <v>102</v>
      </c>
    </row>
    <row r="296" spans="1:8" x14ac:dyDescent="0.3">
      <c r="A296" t="s">
        <v>898</v>
      </c>
      <c r="B296" t="s">
        <v>102</v>
      </c>
      <c r="C296">
        <v>2026</v>
      </c>
      <c r="D296" t="s">
        <v>102</v>
      </c>
      <c r="E296" t="s">
        <v>3</v>
      </c>
      <c r="G296" t="s">
        <v>36</v>
      </c>
      <c r="H296" t="s">
        <v>102</v>
      </c>
    </row>
    <row r="297" spans="1:8" x14ac:dyDescent="0.3">
      <c r="A297" t="s">
        <v>899</v>
      </c>
      <c r="B297" t="s">
        <v>102</v>
      </c>
      <c r="C297">
        <v>2026</v>
      </c>
      <c r="D297" t="s">
        <v>102</v>
      </c>
      <c r="E297" t="s">
        <v>3</v>
      </c>
      <c r="F297">
        <v>0</v>
      </c>
      <c r="G297" t="s">
        <v>54</v>
      </c>
      <c r="H297" t="s">
        <v>102</v>
      </c>
    </row>
    <row r="298" spans="1:8" x14ac:dyDescent="0.3">
      <c r="A298" t="s">
        <v>900</v>
      </c>
      <c r="B298" t="s">
        <v>102</v>
      </c>
      <c r="C298">
        <v>2026</v>
      </c>
      <c r="D298" t="s">
        <v>102</v>
      </c>
      <c r="E298" t="s">
        <v>3</v>
      </c>
      <c r="F298">
        <v>0</v>
      </c>
      <c r="G298" t="s">
        <v>36</v>
      </c>
      <c r="H298" t="s">
        <v>102</v>
      </c>
    </row>
    <row r="299" spans="1:8" x14ac:dyDescent="0.3">
      <c r="A299" t="s">
        <v>901</v>
      </c>
      <c r="B299" t="s">
        <v>102</v>
      </c>
      <c r="C299">
        <v>2026</v>
      </c>
      <c r="D299" t="s">
        <v>102</v>
      </c>
      <c r="E299" t="s">
        <v>2</v>
      </c>
      <c r="F299">
        <v>8368.4279565359739</v>
      </c>
      <c r="G299" t="s">
        <v>36</v>
      </c>
      <c r="H299" t="s">
        <v>102</v>
      </c>
    </row>
    <row r="300" spans="1:8" x14ac:dyDescent="0.3">
      <c r="A300" t="s">
        <v>902</v>
      </c>
      <c r="B300" t="s">
        <v>102</v>
      </c>
      <c r="C300">
        <v>2026</v>
      </c>
      <c r="D300" t="s">
        <v>102</v>
      </c>
      <c r="E300" t="s">
        <v>2</v>
      </c>
      <c r="F300">
        <v>513</v>
      </c>
      <c r="G300" t="s">
        <v>54</v>
      </c>
      <c r="H300" t="s">
        <v>102</v>
      </c>
    </row>
    <row r="301" spans="1:8" x14ac:dyDescent="0.3">
      <c r="A301" t="s">
        <v>903</v>
      </c>
      <c r="B301" t="s">
        <v>102</v>
      </c>
      <c r="C301">
        <v>2026</v>
      </c>
      <c r="D301" t="s">
        <v>102</v>
      </c>
      <c r="E301" t="s">
        <v>2</v>
      </c>
      <c r="F301">
        <v>4293003.541702955</v>
      </c>
      <c r="G301" t="s">
        <v>36</v>
      </c>
      <c r="H301" t="s">
        <v>102</v>
      </c>
    </row>
    <row r="302" spans="1:8" x14ac:dyDescent="0.3">
      <c r="A302" t="s">
        <v>904</v>
      </c>
      <c r="B302" t="s">
        <v>102</v>
      </c>
      <c r="C302">
        <v>2026</v>
      </c>
      <c r="D302" t="s">
        <v>102</v>
      </c>
      <c r="E302" t="s">
        <v>1</v>
      </c>
      <c r="F302">
        <v>11964.784675959043</v>
      </c>
      <c r="G302" t="s">
        <v>36</v>
      </c>
      <c r="H302" t="s">
        <v>102</v>
      </c>
    </row>
    <row r="303" spans="1:8" x14ac:dyDescent="0.3">
      <c r="A303" t="s">
        <v>905</v>
      </c>
      <c r="B303" t="s">
        <v>102</v>
      </c>
      <c r="C303">
        <v>2026</v>
      </c>
      <c r="D303" t="s">
        <v>102</v>
      </c>
      <c r="E303" t="s">
        <v>1</v>
      </c>
      <c r="F303">
        <v>1987</v>
      </c>
      <c r="G303" t="s">
        <v>54</v>
      </c>
      <c r="H303" t="s">
        <v>102</v>
      </c>
    </row>
    <row r="304" spans="1:8" x14ac:dyDescent="0.3">
      <c r="A304" t="s">
        <v>906</v>
      </c>
      <c r="B304" t="s">
        <v>102</v>
      </c>
      <c r="C304">
        <v>2026</v>
      </c>
      <c r="D304" t="s">
        <v>102</v>
      </c>
      <c r="E304" t="s">
        <v>1</v>
      </c>
      <c r="F304">
        <v>23774027.151130617</v>
      </c>
      <c r="G304" t="s">
        <v>36</v>
      </c>
      <c r="H304" t="s">
        <v>102</v>
      </c>
    </row>
    <row r="305" spans="1:8" x14ac:dyDescent="0.3">
      <c r="A305" t="s">
        <v>1918</v>
      </c>
      <c r="B305" t="s">
        <v>102</v>
      </c>
      <c r="C305">
        <v>2026</v>
      </c>
      <c r="D305" t="s">
        <v>102</v>
      </c>
      <c r="E305" t="s">
        <v>1885</v>
      </c>
      <c r="F305">
        <v>11306.787927369658</v>
      </c>
      <c r="G305" t="s">
        <v>36</v>
      </c>
      <c r="H305" t="s">
        <v>102</v>
      </c>
    </row>
    <row r="306" spans="1:8" x14ac:dyDescent="0.3">
      <c r="A306" t="s">
        <v>1919</v>
      </c>
      <c r="B306" t="s">
        <v>102</v>
      </c>
      <c r="C306">
        <v>2026</v>
      </c>
      <c r="D306" t="s">
        <v>102</v>
      </c>
      <c r="E306" t="s">
        <v>1885</v>
      </c>
      <c r="F306">
        <v>2596</v>
      </c>
      <c r="G306" t="s">
        <v>54</v>
      </c>
      <c r="H306" t="s">
        <v>102</v>
      </c>
    </row>
    <row r="307" spans="1:8" x14ac:dyDescent="0.3">
      <c r="A307" t="s">
        <v>1920</v>
      </c>
      <c r="B307" t="s">
        <v>102</v>
      </c>
      <c r="C307">
        <v>2026</v>
      </c>
      <c r="D307" t="s">
        <v>102</v>
      </c>
      <c r="E307" t="s">
        <v>1885</v>
      </c>
      <c r="F307">
        <v>29352421.459451634</v>
      </c>
      <c r="G307" t="s">
        <v>36</v>
      </c>
      <c r="H307" t="s">
        <v>102</v>
      </c>
    </row>
    <row r="308" spans="1:8" x14ac:dyDescent="0.3">
      <c r="A308" t="s">
        <v>907</v>
      </c>
      <c r="B308" t="s">
        <v>102</v>
      </c>
      <c r="C308">
        <v>2026</v>
      </c>
      <c r="D308" t="s">
        <v>102</v>
      </c>
      <c r="E308" t="s">
        <v>4</v>
      </c>
      <c r="F308">
        <v>11226.812277133429</v>
      </c>
      <c r="G308" t="s">
        <v>36</v>
      </c>
      <c r="H308" t="s">
        <v>102</v>
      </c>
    </row>
    <row r="309" spans="1:8" x14ac:dyDescent="0.3">
      <c r="A309" t="s">
        <v>908</v>
      </c>
      <c r="B309" t="s">
        <v>102</v>
      </c>
      <c r="C309">
        <v>2026</v>
      </c>
      <c r="D309" t="s">
        <v>102</v>
      </c>
      <c r="E309" t="s">
        <v>4</v>
      </c>
      <c r="F309">
        <v>2500</v>
      </c>
      <c r="G309" t="s">
        <v>54</v>
      </c>
      <c r="H309" t="s">
        <v>102</v>
      </c>
    </row>
    <row r="310" spans="1:8" x14ac:dyDescent="0.3">
      <c r="A310" t="s">
        <v>909</v>
      </c>
      <c r="B310" t="s">
        <v>102</v>
      </c>
      <c r="C310">
        <v>2026</v>
      </c>
      <c r="D310" t="s">
        <v>102</v>
      </c>
      <c r="E310" t="s">
        <v>4</v>
      </c>
      <c r="F310">
        <v>28067030.692833573</v>
      </c>
      <c r="G310" t="s">
        <v>36</v>
      </c>
      <c r="H310" t="s">
        <v>102</v>
      </c>
    </row>
    <row r="311" spans="1:8" x14ac:dyDescent="0.3">
      <c r="A311" t="s">
        <v>910</v>
      </c>
      <c r="B311" t="s">
        <v>102</v>
      </c>
      <c r="C311">
        <v>2026</v>
      </c>
      <c r="D311" t="s">
        <v>102</v>
      </c>
      <c r="E311" t="s">
        <v>38</v>
      </c>
      <c r="G311" t="s">
        <v>36</v>
      </c>
      <c r="H311" t="s">
        <v>102</v>
      </c>
    </row>
    <row r="312" spans="1:8" x14ac:dyDescent="0.3">
      <c r="A312" t="s">
        <v>911</v>
      </c>
      <c r="B312" t="s">
        <v>102</v>
      </c>
      <c r="C312">
        <v>2026</v>
      </c>
      <c r="D312" t="s">
        <v>102</v>
      </c>
      <c r="E312" t="s">
        <v>38</v>
      </c>
      <c r="F312">
        <v>0</v>
      </c>
      <c r="G312" t="s">
        <v>54</v>
      </c>
      <c r="H312" t="s">
        <v>102</v>
      </c>
    </row>
    <row r="313" spans="1:8" x14ac:dyDescent="0.3">
      <c r="A313" t="s">
        <v>912</v>
      </c>
      <c r="B313" t="s">
        <v>102</v>
      </c>
      <c r="C313">
        <v>2026</v>
      </c>
      <c r="D313" t="s">
        <v>102</v>
      </c>
      <c r="E313" t="s">
        <v>38</v>
      </c>
      <c r="F313">
        <v>0</v>
      </c>
      <c r="G313" t="s">
        <v>36</v>
      </c>
      <c r="H313" t="s">
        <v>102</v>
      </c>
    </row>
    <row r="314" spans="1:8" x14ac:dyDescent="0.3">
      <c r="A314" t="s">
        <v>915</v>
      </c>
      <c r="B314" t="s">
        <v>0</v>
      </c>
      <c r="C314">
        <v>2026</v>
      </c>
      <c r="D314" t="s">
        <v>0</v>
      </c>
      <c r="E314" t="s">
        <v>53</v>
      </c>
      <c r="F314">
        <v>1688666.9438675442</v>
      </c>
      <c r="G314" t="s">
        <v>36</v>
      </c>
      <c r="H314" t="s">
        <v>0</v>
      </c>
    </row>
    <row r="315" spans="1:8" x14ac:dyDescent="0.3">
      <c r="A315" t="s">
        <v>916</v>
      </c>
      <c r="B315" t="s">
        <v>0</v>
      </c>
      <c r="C315">
        <v>2026</v>
      </c>
      <c r="D315" t="s">
        <v>0</v>
      </c>
      <c r="E315" t="s">
        <v>63</v>
      </c>
      <c r="F315">
        <v>925044.64709658525</v>
      </c>
      <c r="G315" t="s">
        <v>36</v>
      </c>
      <c r="H315" t="s">
        <v>0</v>
      </c>
    </row>
    <row r="316" spans="1:8" x14ac:dyDescent="0.3">
      <c r="A316" t="s">
        <v>919</v>
      </c>
      <c r="B316" t="s">
        <v>0</v>
      </c>
      <c r="C316">
        <v>2026</v>
      </c>
      <c r="D316" t="s">
        <v>0</v>
      </c>
      <c r="E316" t="s">
        <v>3</v>
      </c>
      <c r="F316">
        <v>11130302.018809425</v>
      </c>
      <c r="G316" t="s">
        <v>36</v>
      </c>
      <c r="H316" t="s">
        <v>0</v>
      </c>
    </row>
    <row r="317" spans="1:8" x14ac:dyDescent="0.3">
      <c r="A317" t="s">
        <v>922</v>
      </c>
      <c r="B317" t="s">
        <v>0</v>
      </c>
      <c r="C317">
        <v>2026</v>
      </c>
      <c r="D317" t="s">
        <v>0</v>
      </c>
      <c r="E317" t="s">
        <v>2</v>
      </c>
      <c r="F317">
        <v>52928980.809337102</v>
      </c>
      <c r="G317" t="s">
        <v>36</v>
      </c>
      <c r="H317" t="s">
        <v>0</v>
      </c>
    </row>
    <row r="318" spans="1:8" x14ac:dyDescent="0.3">
      <c r="A318" t="s">
        <v>925</v>
      </c>
      <c r="B318" t="s">
        <v>0</v>
      </c>
      <c r="C318">
        <v>2026</v>
      </c>
      <c r="D318" t="s">
        <v>0</v>
      </c>
      <c r="E318" t="s">
        <v>1</v>
      </c>
      <c r="F318">
        <v>306720075.75738156</v>
      </c>
      <c r="G318" t="s">
        <v>36</v>
      </c>
      <c r="H318" t="s">
        <v>0</v>
      </c>
    </row>
    <row r="319" spans="1:8" x14ac:dyDescent="0.3">
      <c r="A319" t="s">
        <v>1921</v>
      </c>
      <c r="B319" t="s">
        <v>0</v>
      </c>
      <c r="C319">
        <v>2026</v>
      </c>
      <c r="D319" t="s">
        <v>0</v>
      </c>
      <c r="E319" t="s">
        <v>1885</v>
      </c>
      <c r="F319">
        <v>500105421.48221749</v>
      </c>
      <c r="G319" t="s">
        <v>36</v>
      </c>
      <c r="H319" t="s">
        <v>0</v>
      </c>
    </row>
    <row r="320" spans="1:8" x14ac:dyDescent="0.3">
      <c r="A320" t="s">
        <v>928</v>
      </c>
      <c r="B320" t="s">
        <v>0</v>
      </c>
      <c r="C320">
        <v>2026</v>
      </c>
      <c r="D320" t="s">
        <v>0</v>
      </c>
      <c r="E320" t="s">
        <v>4</v>
      </c>
      <c r="F320">
        <v>476181578.96580994</v>
      </c>
      <c r="G320" t="s">
        <v>36</v>
      </c>
      <c r="H320" t="s">
        <v>0</v>
      </c>
    </row>
    <row r="321" spans="1:8" x14ac:dyDescent="0.3">
      <c r="A321" t="s">
        <v>931</v>
      </c>
      <c r="B321" t="s">
        <v>0</v>
      </c>
      <c r="C321">
        <v>2026</v>
      </c>
      <c r="D321" t="s">
        <v>0</v>
      </c>
      <c r="E321" t="s">
        <v>38</v>
      </c>
      <c r="F321">
        <v>102788508.78931764</v>
      </c>
      <c r="G321" t="s">
        <v>36</v>
      </c>
      <c r="H321" t="s">
        <v>0</v>
      </c>
    </row>
    <row r="322" spans="1:8" x14ac:dyDescent="0.3">
      <c r="A322" t="s">
        <v>932</v>
      </c>
      <c r="B322" t="s">
        <v>67</v>
      </c>
      <c r="C322">
        <v>2026</v>
      </c>
      <c r="D322" t="s">
        <v>12</v>
      </c>
      <c r="E322" t="s">
        <v>53</v>
      </c>
      <c r="F322">
        <v>10604.669192624942</v>
      </c>
      <c r="G322" t="s">
        <v>30</v>
      </c>
      <c r="H322" t="s">
        <v>67</v>
      </c>
    </row>
    <row r="323" spans="1:8" x14ac:dyDescent="0.3">
      <c r="A323" t="s">
        <v>933</v>
      </c>
      <c r="B323" t="s">
        <v>67</v>
      </c>
      <c r="C323">
        <v>2026</v>
      </c>
      <c r="D323" t="s">
        <v>12</v>
      </c>
      <c r="E323" t="s">
        <v>53</v>
      </c>
      <c r="F323">
        <v>73</v>
      </c>
      <c r="G323" t="s">
        <v>54</v>
      </c>
      <c r="H323" t="s">
        <v>67</v>
      </c>
    </row>
    <row r="324" spans="1:8" x14ac:dyDescent="0.3">
      <c r="A324" t="s">
        <v>934</v>
      </c>
      <c r="B324" t="s">
        <v>67</v>
      </c>
      <c r="C324">
        <v>2026</v>
      </c>
      <c r="D324" t="s">
        <v>12</v>
      </c>
      <c r="E324" t="s">
        <v>53</v>
      </c>
      <c r="F324">
        <v>774140.85106162075</v>
      </c>
      <c r="G324" t="s">
        <v>36</v>
      </c>
      <c r="H324" t="s">
        <v>67</v>
      </c>
    </row>
    <row r="325" spans="1:8" x14ac:dyDescent="0.3">
      <c r="A325" t="s">
        <v>935</v>
      </c>
      <c r="B325" t="s">
        <v>67</v>
      </c>
      <c r="C325">
        <v>2026</v>
      </c>
      <c r="D325" t="s">
        <v>12</v>
      </c>
      <c r="E325" t="s">
        <v>63</v>
      </c>
      <c r="F325">
        <v>42915.005434684026</v>
      </c>
      <c r="G325" t="s">
        <v>30</v>
      </c>
      <c r="H325" t="s">
        <v>67</v>
      </c>
    </row>
    <row r="326" spans="1:8" x14ac:dyDescent="0.3">
      <c r="A326" t="s">
        <v>936</v>
      </c>
      <c r="B326" t="s">
        <v>67</v>
      </c>
      <c r="C326">
        <v>2026</v>
      </c>
      <c r="D326" t="s">
        <v>12</v>
      </c>
      <c r="E326" t="s">
        <v>63</v>
      </c>
      <c r="F326">
        <v>3</v>
      </c>
      <c r="G326" t="s">
        <v>54</v>
      </c>
      <c r="H326" t="s">
        <v>67</v>
      </c>
    </row>
    <row r="327" spans="1:8" x14ac:dyDescent="0.3">
      <c r="A327" t="s">
        <v>937</v>
      </c>
      <c r="B327" t="s">
        <v>67</v>
      </c>
      <c r="C327">
        <v>2026</v>
      </c>
      <c r="D327" t="s">
        <v>12</v>
      </c>
      <c r="E327" t="s">
        <v>63</v>
      </c>
      <c r="F327">
        <v>128745.01630405209</v>
      </c>
      <c r="G327" t="s">
        <v>36</v>
      </c>
      <c r="H327" t="s">
        <v>67</v>
      </c>
    </row>
    <row r="328" spans="1:8" x14ac:dyDescent="0.3">
      <c r="A328" t="s">
        <v>938</v>
      </c>
      <c r="B328" t="s">
        <v>67</v>
      </c>
      <c r="C328">
        <v>2026</v>
      </c>
      <c r="D328" t="s">
        <v>12</v>
      </c>
      <c r="E328" t="s">
        <v>3</v>
      </c>
      <c r="F328">
        <v>22207.774467784599</v>
      </c>
      <c r="G328" t="s">
        <v>30</v>
      </c>
      <c r="H328" t="s">
        <v>67</v>
      </c>
    </row>
    <row r="329" spans="1:8" x14ac:dyDescent="0.3">
      <c r="A329" t="s">
        <v>939</v>
      </c>
      <c r="B329" t="s">
        <v>67</v>
      </c>
      <c r="C329">
        <v>2026</v>
      </c>
      <c r="D329" t="s">
        <v>12</v>
      </c>
      <c r="E329" t="s">
        <v>3</v>
      </c>
      <c r="F329">
        <v>60</v>
      </c>
      <c r="G329" t="s">
        <v>54</v>
      </c>
      <c r="H329" t="s">
        <v>67</v>
      </c>
    </row>
    <row r="330" spans="1:8" x14ac:dyDescent="0.3">
      <c r="A330" t="s">
        <v>940</v>
      </c>
      <c r="B330" t="s">
        <v>67</v>
      </c>
      <c r="C330">
        <v>2026</v>
      </c>
      <c r="D330" t="s">
        <v>12</v>
      </c>
      <c r="E330" t="s">
        <v>3</v>
      </c>
      <c r="F330">
        <v>1332466.4680670758</v>
      </c>
      <c r="G330" t="s">
        <v>36</v>
      </c>
      <c r="H330" t="s">
        <v>67</v>
      </c>
    </row>
    <row r="331" spans="1:8" x14ac:dyDescent="0.3">
      <c r="A331" t="s">
        <v>941</v>
      </c>
      <c r="B331" t="s">
        <v>67</v>
      </c>
      <c r="C331">
        <v>2026</v>
      </c>
      <c r="D331" t="s">
        <v>12</v>
      </c>
      <c r="E331" t="s">
        <v>2</v>
      </c>
      <c r="F331">
        <v>7334.644851826497</v>
      </c>
      <c r="G331" t="s">
        <v>30</v>
      </c>
      <c r="H331" t="s">
        <v>67</v>
      </c>
    </row>
    <row r="332" spans="1:8" x14ac:dyDescent="0.3">
      <c r="A332" t="s">
        <v>942</v>
      </c>
      <c r="B332" t="s">
        <v>67</v>
      </c>
      <c r="C332">
        <v>2026</v>
      </c>
      <c r="D332" t="s">
        <v>12</v>
      </c>
      <c r="E332" t="s">
        <v>2</v>
      </c>
      <c r="F332">
        <v>118</v>
      </c>
      <c r="G332" t="s">
        <v>54</v>
      </c>
      <c r="H332" t="s">
        <v>67</v>
      </c>
    </row>
    <row r="333" spans="1:8" x14ac:dyDescent="0.3">
      <c r="A333" t="s">
        <v>943</v>
      </c>
      <c r="B333" t="s">
        <v>67</v>
      </c>
      <c r="C333">
        <v>2026</v>
      </c>
      <c r="D333" t="s">
        <v>12</v>
      </c>
      <c r="E333" t="s">
        <v>2</v>
      </c>
      <c r="F333">
        <v>865488.09251552669</v>
      </c>
      <c r="G333" t="s">
        <v>36</v>
      </c>
      <c r="H333" t="s">
        <v>67</v>
      </c>
    </row>
    <row r="334" spans="1:8" x14ac:dyDescent="0.3">
      <c r="A334" t="s">
        <v>944</v>
      </c>
      <c r="B334" t="s">
        <v>67</v>
      </c>
      <c r="C334">
        <v>2026</v>
      </c>
      <c r="D334" t="s">
        <v>12</v>
      </c>
      <c r="E334" t="s">
        <v>1</v>
      </c>
      <c r="F334">
        <v>11444.947440245078</v>
      </c>
      <c r="G334" t="s">
        <v>30</v>
      </c>
      <c r="H334" t="s">
        <v>67</v>
      </c>
    </row>
    <row r="335" spans="1:8" x14ac:dyDescent="0.3">
      <c r="A335" t="s">
        <v>945</v>
      </c>
      <c r="B335" t="s">
        <v>67</v>
      </c>
      <c r="C335">
        <v>2026</v>
      </c>
      <c r="D335" t="s">
        <v>12</v>
      </c>
      <c r="E335" t="s">
        <v>1</v>
      </c>
      <c r="F335">
        <v>515</v>
      </c>
      <c r="G335" t="s">
        <v>54</v>
      </c>
      <c r="H335" t="s">
        <v>67</v>
      </c>
    </row>
    <row r="336" spans="1:8" x14ac:dyDescent="0.3">
      <c r="A336" t="s">
        <v>946</v>
      </c>
      <c r="B336" t="s">
        <v>67</v>
      </c>
      <c r="C336">
        <v>2026</v>
      </c>
      <c r="D336" t="s">
        <v>12</v>
      </c>
      <c r="E336" t="s">
        <v>1</v>
      </c>
      <c r="F336">
        <v>5894147.9317262154</v>
      </c>
      <c r="G336" t="s">
        <v>36</v>
      </c>
      <c r="H336" t="s">
        <v>67</v>
      </c>
    </row>
    <row r="337" spans="1:8" x14ac:dyDescent="0.3">
      <c r="A337" t="s">
        <v>1922</v>
      </c>
      <c r="B337" t="s">
        <v>67</v>
      </c>
      <c r="C337">
        <v>2026</v>
      </c>
      <c r="D337" t="s">
        <v>12</v>
      </c>
      <c r="E337" t="s">
        <v>1885</v>
      </c>
      <c r="F337">
        <v>11123.5575360401</v>
      </c>
      <c r="G337" t="s">
        <v>30</v>
      </c>
      <c r="H337" t="s">
        <v>67</v>
      </c>
    </row>
    <row r="338" spans="1:8" x14ac:dyDescent="0.3">
      <c r="A338" t="s">
        <v>1923</v>
      </c>
      <c r="B338" t="s">
        <v>67</v>
      </c>
      <c r="C338">
        <v>2026</v>
      </c>
      <c r="D338" t="s">
        <v>12</v>
      </c>
      <c r="E338" t="s">
        <v>1885</v>
      </c>
      <c r="F338">
        <v>1137</v>
      </c>
      <c r="G338" t="s">
        <v>54</v>
      </c>
      <c r="H338" t="s">
        <v>67</v>
      </c>
    </row>
    <row r="339" spans="1:8" x14ac:dyDescent="0.3">
      <c r="A339" t="s">
        <v>1924</v>
      </c>
      <c r="B339" t="s">
        <v>67</v>
      </c>
      <c r="C339">
        <v>2026</v>
      </c>
      <c r="D339" t="s">
        <v>12</v>
      </c>
      <c r="E339" t="s">
        <v>1885</v>
      </c>
      <c r="F339">
        <v>12647484.918477593</v>
      </c>
      <c r="G339" t="s">
        <v>36</v>
      </c>
      <c r="H339" t="s">
        <v>67</v>
      </c>
    </row>
    <row r="340" spans="1:8" x14ac:dyDescent="0.3">
      <c r="A340" t="s">
        <v>947</v>
      </c>
      <c r="B340" t="s">
        <v>67</v>
      </c>
      <c r="C340">
        <v>2026</v>
      </c>
      <c r="D340" t="s">
        <v>12</v>
      </c>
      <c r="E340" t="s">
        <v>4</v>
      </c>
      <c r="F340">
        <v>11206.308546824097</v>
      </c>
      <c r="G340" t="s">
        <v>30</v>
      </c>
      <c r="H340" t="s">
        <v>67</v>
      </c>
    </row>
    <row r="341" spans="1:8" x14ac:dyDescent="0.3">
      <c r="A341" t="s">
        <v>948</v>
      </c>
      <c r="B341" t="s">
        <v>67</v>
      </c>
      <c r="C341">
        <v>2026</v>
      </c>
      <c r="D341" t="s">
        <v>12</v>
      </c>
      <c r="E341" t="s">
        <v>4</v>
      </c>
      <c r="F341">
        <v>1222</v>
      </c>
      <c r="G341" t="s">
        <v>54</v>
      </c>
      <c r="H341" t="s">
        <v>67</v>
      </c>
    </row>
    <row r="342" spans="1:8" x14ac:dyDescent="0.3">
      <c r="A342" t="s">
        <v>949</v>
      </c>
      <c r="B342" t="s">
        <v>67</v>
      </c>
      <c r="C342">
        <v>2026</v>
      </c>
      <c r="D342" t="s">
        <v>12</v>
      </c>
      <c r="E342" t="s">
        <v>4</v>
      </c>
      <c r="F342">
        <v>13694109.044219047</v>
      </c>
      <c r="G342" t="s">
        <v>36</v>
      </c>
      <c r="H342" t="s">
        <v>67</v>
      </c>
    </row>
    <row r="343" spans="1:8" x14ac:dyDescent="0.3">
      <c r="A343" t="s">
        <v>950</v>
      </c>
      <c r="B343" t="s">
        <v>67</v>
      </c>
      <c r="C343">
        <v>2026</v>
      </c>
      <c r="D343" t="s">
        <v>12</v>
      </c>
      <c r="E343" t="s">
        <v>38</v>
      </c>
      <c r="F343">
        <v>10373.33484446922</v>
      </c>
      <c r="G343" t="s">
        <v>30</v>
      </c>
      <c r="H343" t="s">
        <v>67</v>
      </c>
    </row>
    <row r="344" spans="1:8" x14ac:dyDescent="0.3">
      <c r="A344" t="s">
        <v>951</v>
      </c>
      <c r="B344" t="s">
        <v>67</v>
      </c>
      <c r="C344">
        <v>2026</v>
      </c>
      <c r="D344" t="s">
        <v>12</v>
      </c>
      <c r="E344" t="s">
        <v>38</v>
      </c>
      <c r="F344">
        <v>453</v>
      </c>
      <c r="G344" t="s">
        <v>54</v>
      </c>
      <c r="H344" t="s">
        <v>67</v>
      </c>
    </row>
    <row r="345" spans="1:8" x14ac:dyDescent="0.3">
      <c r="A345" t="s">
        <v>952</v>
      </c>
      <c r="B345" t="s">
        <v>67</v>
      </c>
      <c r="C345">
        <v>2026</v>
      </c>
      <c r="D345" t="s">
        <v>12</v>
      </c>
      <c r="E345" t="s">
        <v>38</v>
      </c>
      <c r="F345">
        <v>4699120.6845445568</v>
      </c>
      <c r="G345" t="s">
        <v>36</v>
      </c>
      <c r="H345" t="s">
        <v>67</v>
      </c>
    </row>
    <row r="346" spans="1:8" x14ac:dyDescent="0.3">
      <c r="A346" t="s">
        <v>953</v>
      </c>
      <c r="B346" t="s">
        <v>68</v>
      </c>
      <c r="C346">
        <v>2026</v>
      </c>
      <c r="D346" t="s">
        <v>10</v>
      </c>
      <c r="E346" t="s">
        <v>53</v>
      </c>
      <c r="F346">
        <v>0</v>
      </c>
      <c r="G346" t="s">
        <v>30</v>
      </c>
      <c r="H346" t="s">
        <v>68</v>
      </c>
    </row>
    <row r="347" spans="1:8" x14ac:dyDescent="0.3">
      <c r="A347" t="s">
        <v>954</v>
      </c>
      <c r="B347" t="s">
        <v>68</v>
      </c>
      <c r="C347">
        <v>2026</v>
      </c>
      <c r="D347" t="s">
        <v>10</v>
      </c>
      <c r="E347" t="s">
        <v>53</v>
      </c>
      <c r="F347">
        <v>0</v>
      </c>
      <c r="G347" t="s">
        <v>54</v>
      </c>
      <c r="H347" t="s">
        <v>68</v>
      </c>
    </row>
    <row r="348" spans="1:8" x14ac:dyDescent="0.3">
      <c r="A348" t="s">
        <v>955</v>
      </c>
      <c r="B348" t="s">
        <v>68</v>
      </c>
      <c r="C348">
        <v>2026</v>
      </c>
      <c r="D348" t="s">
        <v>10</v>
      </c>
      <c r="E348" t="s">
        <v>53</v>
      </c>
      <c r="F348">
        <v>0</v>
      </c>
      <c r="G348" t="s">
        <v>36</v>
      </c>
      <c r="H348" t="s">
        <v>68</v>
      </c>
    </row>
    <row r="349" spans="1:8" x14ac:dyDescent="0.3">
      <c r="A349" t="s">
        <v>956</v>
      </c>
      <c r="B349" t="s">
        <v>68</v>
      </c>
      <c r="C349">
        <v>2026</v>
      </c>
      <c r="D349" t="s">
        <v>10</v>
      </c>
      <c r="E349" t="s">
        <v>63</v>
      </c>
      <c r="F349">
        <v>14890.033223337976</v>
      </c>
      <c r="G349" t="s">
        <v>30</v>
      </c>
      <c r="H349" t="s">
        <v>68</v>
      </c>
    </row>
    <row r="350" spans="1:8" x14ac:dyDescent="0.3">
      <c r="A350" t="s">
        <v>957</v>
      </c>
      <c r="B350" t="s">
        <v>68</v>
      </c>
      <c r="C350">
        <v>2026</v>
      </c>
      <c r="D350" t="s">
        <v>10</v>
      </c>
      <c r="E350" t="s">
        <v>63</v>
      </c>
      <c r="F350">
        <v>9</v>
      </c>
      <c r="G350" t="s">
        <v>54</v>
      </c>
      <c r="H350" t="s">
        <v>68</v>
      </c>
    </row>
    <row r="351" spans="1:8" x14ac:dyDescent="0.3">
      <c r="A351" t="s">
        <v>958</v>
      </c>
      <c r="B351" t="s">
        <v>68</v>
      </c>
      <c r="C351">
        <v>2026</v>
      </c>
      <c r="D351" t="s">
        <v>10</v>
      </c>
      <c r="E351" t="s">
        <v>63</v>
      </c>
      <c r="F351">
        <v>134010.29901004178</v>
      </c>
      <c r="G351" t="s">
        <v>36</v>
      </c>
      <c r="H351" t="s">
        <v>68</v>
      </c>
    </row>
    <row r="352" spans="1:8" x14ac:dyDescent="0.3">
      <c r="A352" t="s">
        <v>959</v>
      </c>
      <c r="B352" t="s">
        <v>68</v>
      </c>
      <c r="C352">
        <v>2026</v>
      </c>
      <c r="D352" t="s">
        <v>10</v>
      </c>
      <c r="E352" t="s">
        <v>3</v>
      </c>
      <c r="F352">
        <v>18809.991698735117</v>
      </c>
      <c r="G352" t="s">
        <v>30</v>
      </c>
      <c r="H352" t="s">
        <v>68</v>
      </c>
    </row>
    <row r="353" spans="1:8" x14ac:dyDescent="0.3">
      <c r="A353" t="s">
        <v>960</v>
      </c>
      <c r="B353" t="s">
        <v>68</v>
      </c>
      <c r="C353">
        <v>2026</v>
      </c>
      <c r="D353" t="s">
        <v>10</v>
      </c>
      <c r="E353" t="s">
        <v>3</v>
      </c>
      <c r="F353">
        <v>55</v>
      </c>
      <c r="G353" t="s">
        <v>54</v>
      </c>
      <c r="H353" t="s">
        <v>68</v>
      </c>
    </row>
    <row r="354" spans="1:8" x14ac:dyDescent="0.3">
      <c r="A354" t="s">
        <v>961</v>
      </c>
      <c r="B354" t="s">
        <v>68</v>
      </c>
      <c r="C354">
        <v>2026</v>
      </c>
      <c r="D354" t="s">
        <v>10</v>
      </c>
      <c r="E354" t="s">
        <v>3</v>
      </c>
      <c r="F354">
        <v>1034549.5434304314</v>
      </c>
      <c r="G354" t="s">
        <v>36</v>
      </c>
      <c r="H354" t="s">
        <v>68</v>
      </c>
    </row>
    <row r="355" spans="1:8" x14ac:dyDescent="0.3">
      <c r="A355" t="s">
        <v>962</v>
      </c>
      <c r="B355" t="s">
        <v>68</v>
      </c>
      <c r="C355">
        <v>2026</v>
      </c>
      <c r="D355" t="s">
        <v>10</v>
      </c>
      <c r="E355" t="s">
        <v>2</v>
      </c>
      <c r="F355">
        <v>9663.7015703179495</v>
      </c>
      <c r="G355" t="s">
        <v>30</v>
      </c>
      <c r="H355" t="s">
        <v>68</v>
      </c>
    </row>
    <row r="356" spans="1:8" x14ac:dyDescent="0.3">
      <c r="A356" t="s">
        <v>963</v>
      </c>
      <c r="B356" t="s">
        <v>68</v>
      </c>
      <c r="C356">
        <v>2026</v>
      </c>
      <c r="D356" t="s">
        <v>10</v>
      </c>
      <c r="E356" t="s">
        <v>2</v>
      </c>
      <c r="F356">
        <v>242</v>
      </c>
      <c r="G356" t="s">
        <v>54</v>
      </c>
      <c r="H356" t="s">
        <v>68</v>
      </c>
    </row>
    <row r="357" spans="1:8" x14ac:dyDescent="0.3">
      <c r="A357" t="s">
        <v>964</v>
      </c>
      <c r="B357" t="s">
        <v>68</v>
      </c>
      <c r="C357">
        <v>2026</v>
      </c>
      <c r="D357" t="s">
        <v>10</v>
      </c>
      <c r="E357" t="s">
        <v>2</v>
      </c>
      <c r="F357">
        <v>2338615.7800169438</v>
      </c>
      <c r="G357" t="s">
        <v>36</v>
      </c>
      <c r="H357" t="s">
        <v>68</v>
      </c>
    </row>
    <row r="358" spans="1:8" x14ac:dyDescent="0.3">
      <c r="A358" t="s">
        <v>965</v>
      </c>
      <c r="B358" t="s">
        <v>68</v>
      </c>
      <c r="C358">
        <v>2026</v>
      </c>
      <c r="D358" t="s">
        <v>10</v>
      </c>
      <c r="E358" t="s">
        <v>1</v>
      </c>
      <c r="F358">
        <v>12201.853261192611</v>
      </c>
      <c r="G358" t="s">
        <v>30</v>
      </c>
      <c r="H358" t="s">
        <v>68</v>
      </c>
    </row>
    <row r="359" spans="1:8" x14ac:dyDescent="0.3">
      <c r="A359" t="s">
        <v>966</v>
      </c>
      <c r="B359" t="s">
        <v>68</v>
      </c>
      <c r="C359">
        <v>2026</v>
      </c>
      <c r="D359" t="s">
        <v>10</v>
      </c>
      <c r="E359" t="s">
        <v>1</v>
      </c>
      <c r="F359">
        <v>726</v>
      </c>
      <c r="G359" t="s">
        <v>54</v>
      </c>
      <c r="H359" t="s">
        <v>68</v>
      </c>
    </row>
    <row r="360" spans="1:8" x14ac:dyDescent="0.3">
      <c r="A360" t="s">
        <v>967</v>
      </c>
      <c r="B360" t="s">
        <v>68</v>
      </c>
      <c r="C360">
        <v>2026</v>
      </c>
      <c r="D360" t="s">
        <v>10</v>
      </c>
      <c r="E360" t="s">
        <v>1</v>
      </c>
      <c r="F360">
        <v>8858545.4676258359</v>
      </c>
      <c r="G360" t="s">
        <v>36</v>
      </c>
      <c r="H360" t="s">
        <v>68</v>
      </c>
    </row>
    <row r="361" spans="1:8" x14ac:dyDescent="0.3">
      <c r="A361" t="s">
        <v>1925</v>
      </c>
      <c r="B361" t="s">
        <v>68</v>
      </c>
      <c r="C361">
        <v>2026</v>
      </c>
      <c r="D361" t="s">
        <v>10</v>
      </c>
      <c r="E361" t="s">
        <v>1885</v>
      </c>
      <c r="F361">
        <v>11570.133592483091</v>
      </c>
      <c r="G361" t="s">
        <v>30</v>
      </c>
      <c r="H361" t="s">
        <v>68</v>
      </c>
    </row>
    <row r="362" spans="1:8" x14ac:dyDescent="0.3">
      <c r="A362" t="s">
        <v>1926</v>
      </c>
      <c r="B362" t="s">
        <v>68</v>
      </c>
      <c r="C362">
        <v>2026</v>
      </c>
      <c r="D362" t="s">
        <v>10</v>
      </c>
      <c r="E362" t="s">
        <v>1885</v>
      </c>
      <c r="F362">
        <v>1944</v>
      </c>
      <c r="G362" t="s">
        <v>54</v>
      </c>
      <c r="H362" t="s">
        <v>68</v>
      </c>
    </row>
    <row r="363" spans="1:8" x14ac:dyDescent="0.3">
      <c r="A363" t="s">
        <v>1927</v>
      </c>
      <c r="B363" t="s">
        <v>68</v>
      </c>
      <c r="C363">
        <v>2026</v>
      </c>
      <c r="D363" t="s">
        <v>10</v>
      </c>
      <c r="E363" t="s">
        <v>1885</v>
      </c>
      <c r="F363">
        <v>22492339.703787129</v>
      </c>
      <c r="G363" t="s">
        <v>36</v>
      </c>
      <c r="H363" t="s">
        <v>68</v>
      </c>
    </row>
    <row r="364" spans="1:8" x14ac:dyDescent="0.3">
      <c r="A364" t="s">
        <v>968</v>
      </c>
      <c r="B364" t="s">
        <v>68</v>
      </c>
      <c r="C364">
        <v>2026</v>
      </c>
      <c r="D364" t="s">
        <v>10</v>
      </c>
      <c r="E364" t="s">
        <v>4</v>
      </c>
      <c r="F364">
        <v>11539.34794350873</v>
      </c>
      <c r="G364" t="s">
        <v>30</v>
      </c>
      <c r="H364" t="s">
        <v>68</v>
      </c>
    </row>
    <row r="365" spans="1:8" x14ac:dyDescent="0.3">
      <c r="A365" t="s">
        <v>969</v>
      </c>
      <c r="B365" t="s">
        <v>68</v>
      </c>
      <c r="C365">
        <v>2026</v>
      </c>
      <c r="D365" t="s">
        <v>10</v>
      </c>
      <c r="E365" t="s">
        <v>4</v>
      </c>
      <c r="F365">
        <v>1858</v>
      </c>
      <c r="G365" t="s">
        <v>54</v>
      </c>
      <c r="H365" t="s">
        <v>68</v>
      </c>
    </row>
    <row r="366" spans="1:8" x14ac:dyDescent="0.3">
      <c r="A366" t="s">
        <v>970</v>
      </c>
      <c r="B366" t="s">
        <v>68</v>
      </c>
      <c r="C366">
        <v>2026</v>
      </c>
      <c r="D366" t="s">
        <v>10</v>
      </c>
      <c r="E366" t="s">
        <v>4</v>
      </c>
      <c r="F366">
        <v>21440108.479039222</v>
      </c>
      <c r="G366" t="s">
        <v>36</v>
      </c>
      <c r="H366" t="s">
        <v>68</v>
      </c>
    </row>
    <row r="367" spans="1:8" x14ac:dyDescent="0.3">
      <c r="A367" t="s">
        <v>971</v>
      </c>
      <c r="B367" t="s">
        <v>68</v>
      </c>
      <c r="C367">
        <v>2026</v>
      </c>
      <c r="D367" t="s">
        <v>10</v>
      </c>
      <c r="E367" t="s">
        <v>38</v>
      </c>
      <c r="F367">
        <v>10985.941148857108</v>
      </c>
      <c r="G367" t="s">
        <v>30</v>
      </c>
      <c r="H367" t="s">
        <v>68</v>
      </c>
    </row>
    <row r="368" spans="1:8" x14ac:dyDescent="0.3">
      <c r="A368" t="s">
        <v>972</v>
      </c>
      <c r="B368" t="s">
        <v>68</v>
      </c>
      <c r="C368">
        <v>2026</v>
      </c>
      <c r="D368" t="s">
        <v>10</v>
      </c>
      <c r="E368" t="s">
        <v>38</v>
      </c>
      <c r="F368">
        <v>826</v>
      </c>
      <c r="G368" t="s">
        <v>54</v>
      </c>
      <c r="H368" t="s">
        <v>68</v>
      </c>
    </row>
    <row r="369" spans="1:8" x14ac:dyDescent="0.3">
      <c r="A369" t="s">
        <v>973</v>
      </c>
      <c r="B369" t="s">
        <v>68</v>
      </c>
      <c r="C369">
        <v>2026</v>
      </c>
      <c r="D369" t="s">
        <v>10</v>
      </c>
      <c r="E369" t="s">
        <v>38</v>
      </c>
      <c r="F369">
        <v>9074387.3889559712</v>
      </c>
      <c r="G369" t="s">
        <v>36</v>
      </c>
      <c r="H369" t="s">
        <v>68</v>
      </c>
    </row>
    <row r="370" spans="1:8" x14ac:dyDescent="0.3">
      <c r="A370" t="s">
        <v>974</v>
      </c>
      <c r="B370" t="s">
        <v>69</v>
      </c>
      <c r="C370">
        <v>2026</v>
      </c>
      <c r="D370" t="s">
        <v>975</v>
      </c>
      <c r="E370" t="s">
        <v>53</v>
      </c>
      <c r="F370">
        <v>0</v>
      </c>
      <c r="G370" t="s">
        <v>30</v>
      </c>
      <c r="H370" t="s">
        <v>69</v>
      </c>
    </row>
    <row r="371" spans="1:8" x14ac:dyDescent="0.3">
      <c r="A371" t="s">
        <v>976</v>
      </c>
      <c r="B371" t="s">
        <v>69</v>
      </c>
      <c r="C371">
        <v>2026</v>
      </c>
      <c r="D371" t="s">
        <v>975</v>
      </c>
      <c r="E371" t="s">
        <v>53</v>
      </c>
      <c r="F371">
        <v>0</v>
      </c>
      <c r="G371" t="s">
        <v>54</v>
      </c>
      <c r="H371" t="s">
        <v>69</v>
      </c>
    </row>
    <row r="372" spans="1:8" x14ac:dyDescent="0.3">
      <c r="A372" t="s">
        <v>977</v>
      </c>
      <c r="B372" t="s">
        <v>69</v>
      </c>
      <c r="C372">
        <v>2026</v>
      </c>
      <c r="D372" t="s">
        <v>975</v>
      </c>
      <c r="E372" t="s">
        <v>53</v>
      </c>
      <c r="F372">
        <v>0</v>
      </c>
      <c r="G372" t="s">
        <v>36</v>
      </c>
      <c r="H372" t="s">
        <v>69</v>
      </c>
    </row>
    <row r="373" spans="1:8" x14ac:dyDescent="0.3">
      <c r="A373" t="s">
        <v>978</v>
      </c>
      <c r="B373" t="s">
        <v>69</v>
      </c>
      <c r="C373">
        <v>2026</v>
      </c>
      <c r="D373" t="s">
        <v>975</v>
      </c>
      <c r="E373" t="s">
        <v>63</v>
      </c>
      <c r="F373">
        <v>0</v>
      </c>
      <c r="G373" t="s">
        <v>30</v>
      </c>
      <c r="H373" t="s">
        <v>69</v>
      </c>
    </row>
    <row r="374" spans="1:8" x14ac:dyDescent="0.3">
      <c r="A374" t="s">
        <v>979</v>
      </c>
      <c r="B374" t="s">
        <v>69</v>
      </c>
      <c r="C374">
        <v>2026</v>
      </c>
      <c r="D374" t="s">
        <v>975</v>
      </c>
      <c r="E374" t="s">
        <v>63</v>
      </c>
      <c r="F374">
        <v>0</v>
      </c>
      <c r="G374" t="s">
        <v>54</v>
      </c>
      <c r="H374" t="s">
        <v>69</v>
      </c>
    </row>
    <row r="375" spans="1:8" x14ac:dyDescent="0.3">
      <c r="A375" t="s">
        <v>980</v>
      </c>
      <c r="B375" t="s">
        <v>69</v>
      </c>
      <c r="C375">
        <v>2026</v>
      </c>
      <c r="D375" t="s">
        <v>975</v>
      </c>
      <c r="E375" t="s">
        <v>63</v>
      </c>
      <c r="F375">
        <v>0</v>
      </c>
      <c r="G375" t="s">
        <v>36</v>
      </c>
      <c r="H375" t="s">
        <v>69</v>
      </c>
    </row>
    <row r="376" spans="1:8" x14ac:dyDescent="0.3">
      <c r="A376" t="s">
        <v>981</v>
      </c>
      <c r="B376" t="s">
        <v>69</v>
      </c>
      <c r="C376">
        <v>2026</v>
      </c>
      <c r="D376" t="s">
        <v>975</v>
      </c>
      <c r="E376" t="s">
        <v>3</v>
      </c>
      <c r="F376">
        <v>0</v>
      </c>
      <c r="G376" t="s">
        <v>30</v>
      </c>
      <c r="H376" t="s">
        <v>69</v>
      </c>
    </row>
    <row r="377" spans="1:8" x14ac:dyDescent="0.3">
      <c r="A377" t="s">
        <v>982</v>
      </c>
      <c r="B377" t="s">
        <v>69</v>
      </c>
      <c r="C377">
        <v>2026</v>
      </c>
      <c r="D377" t="s">
        <v>975</v>
      </c>
      <c r="E377" t="s">
        <v>3</v>
      </c>
      <c r="F377">
        <v>0</v>
      </c>
      <c r="G377" t="s">
        <v>54</v>
      </c>
      <c r="H377" t="s">
        <v>69</v>
      </c>
    </row>
    <row r="378" spans="1:8" x14ac:dyDescent="0.3">
      <c r="A378" t="s">
        <v>983</v>
      </c>
      <c r="B378" t="s">
        <v>69</v>
      </c>
      <c r="C378">
        <v>2026</v>
      </c>
      <c r="D378" t="s">
        <v>975</v>
      </c>
      <c r="E378" t="s">
        <v>3</v>
      </c>
      <c r="F378">
        <v>0</v>
      </c>
      <c r="G378" t="s">
        <v>36</v>
      </c>
      <c r="H378" t="s">
        <v>69</v>
      </c>
    </row>
    <row r="379" spans="1:8" x14ac:dyDescent="0.3">
      <c r="A379" t="s">
        <v>984</v>
      </c>
      <c r="B379" t="s">
        <v>69</v>
      </c>
      <c r="C379">
        <v>2026</v>
      </c>
      <c r="D379" t="s">
        <v>975</v>
      </c>
      <c r="E379" t="s">
        <v>2</v>
      </c>
      <c r="F379">
        <v>13013.784470586246</v>
      </c>
      <c r="G379" t="s">
        <v>30</v>
      </c>
      <c r="H379" t="s">
        <v>69</v>
      </c>
    </row>
    <row r="380" spans="1:8" x14ac:dyDescent="0.3">
      <c r="A380" t="s">
        <v>985</v>
      </c>
      <c r="B380" t="s">
        <v>69</v>
      </c>
      <c r="C380">
        <v>2026</v>
      </c>
      <c r="D380" t="s">
        <v>975</v>
      </c>
      <c r="E380" t="s">
        <v>2</v>
      </c>
      <c r="F380">
        <v>75</v>
      </c>
      <c r="G380" t="s">
        <v>54</v>
      </c>
      <c r="H380" t="s">
        <v>69</v>
      </c>
    </row>
    <row r="381" spans="1:8" x14ac:dyDescent="0.3">
      <c r="A381" t="s">
        <v>986</v>
      </c>
      <c r="B381" t="s">
        <v>69</v>
      </c>
      <c r="C381">
        <v>2026</v>
      </c>
      <c r="D381" t="s">
        <v>975</v>
      </c>
      <c r="E381" t="s">
        <v>2</v>
      </c>
      <c r="F381">
        <v>976033.83529396844</v>
      </c>
      <c r="G381" t="s">
        <v>36</v>
      </c>
      <c r="H381" t="s">
        <v>69</v>
      </c>
    </row>
    <row r="382" spans="1:8" x14ac:dyDescent="0.3">
      <c r="A382" t="s">
        <v>987</v>
      </c>
      <c r="B382" t="s">
        <v>69</v>
      </c>
      <c r="C382">
        <v>2026</v>
      </c>
      <c r="D382" t="s">
        <v>975</v>
      </c>
      <c r="E382" t="s">
        <v>1</v>
      </c>
      <c r="F382">
        <v>12362.355737317364</v>
      </c>
      <c r="G382" t="s">
        <v>30</v>
      </c>
      <c r="H382" t="s">
        <v>69</v>
      </c>
    </row>
    <row r="383" spans="1:8" x14ac:dyDescent="0.3">
      <c r="A383" t="s">
        <v>988</v>
      </c>
      <c r="B383" t="s">
        <v>69</v>
      </c>
      <c r="C383">
        <v>2026</v>
      </c>
      <c r="D383" t="s">
        <v>975</v>
      </c>
      <c r="E383" t="s">
        <v>1</v>
      </c>
      <c r="F383">
        <v>2104</v>
      </c>
      <c r="G383" t="s">
        <v>54</v>
      </c>
      <c r="H383" t="s">
        <v>69</v>
      </c>
    </row>
    <row r="384" spans="1:8" x14ac:dyDescent="0.3">
      <c r="A384" t="s">
        <v>989</v>
      </c>
      <c r="B384" t="s">
        <v>69</v>
      </c>
      <c r="C384">
        <v>2026</v>
      </c>
      <c r="D384" t="s">
        <v>975</v>
      </c>
      <c r="E384" t="s">
        <v>1</v>
      </c>
      <c r="F384">
        <v>26010396.471315734</v>
      </c>
      <c r="G384" t="s">
        <v>36</v>
      </c>
      <c r="H384" t="s">
        <v>69</v>
      </c>
    </row>
    <row r="385" spans="1:8" x14ac:dyDescent="0.3">
      <c r="A385" t="s">
        <v>1928</v>
      </c>
      <c r="B385" t="s">
        <v>69</v>
      </c>
      <c r="C385">
        <v>2026</v>
      </c>
      <c r="D385" t="s">
        <v>975</v>
      </c>
      <c r="E385" t="s">
        <v>1885</v>
      </c>
      <c r="F385">
        <v>12415.496124447171</v>
      </c>
      <c r="G385" t="s">
        <v>30</v>
      </c>
      <c r="H385" t="s">
        <v>69</v>
      </c>
    </row>
    <row r="386" spans="1:8" x14ac:dyDescent="0.3">
      <c r="A386" t="s">
        <v>1929</v>
      </c>
      <c r="B386" t="s">
        <v>69</v>
      </c>
      <c r="C386">
        <v>2026</v>
      </c>
      <c r="D386" t="s">
        <v>975</v>
      </c>
      <c r="E386" t="s">
        <v>1885</v>
      </c>
      <c r="F386">
        <v>2299</v>
      </c>
      <c r="G386" t="s">
        <v>54</v>
      </c>
      <c r="H386" t="s">
        <v>69</v>
      </c>
    </row>
    <row r="387" spans="1:8" x14ac:dyDescent="0.3">
      <c r="A387" t="s">
        <v>1930</v>
      </c>
      <c r="B387" t="s">
        <v>69</v>
      </c>
      <c r="C387">
        <v>2026</v>
      </c>
      <c r="D387" t="s">
        <v>975</v>
      </c>
      <c r="E387" t="s">
        <v>1885</v>
      </c>
      <c r="F387">
        <v>28543225.590104047</v>
      </c>
      <c r="G387" t="s">
        <v>36</v>
      </c>
      <c r="H387" t="s">
        <v>69</v>
      </c>
    </row>
    <row r="388" spans="1:8" x14ac:dyDescent="0.3">
      <c r="A388" t="s">
        <v>990</v>
      </c>
      <c r="B388" t="s">
        <v>69</v>
      </c>
      <c r="C388">
        <v>2026</v>
      </c>
      <c r="D388" t="s">
        <v>975</v>
      </c>
      <c r="E388" t="s">
        <v>4</v>
      </c>
      <c r="F388">
        <v>12397.548151949932</v>
      </c>
      <c r="G388" t="s">
        <v>30</v>
      </c>
      <c r="H388" t="s">
        <v>69</v>
      </c>
    </row>
    <row r="389" spans="1:8" x14ac:dyDescent="0.3">
      <c r="A389" t="s">
        <v>991</v>
      </c>
      <c r="B389" t="s">
        <v>69</v>
      </c>
      <c r="C389">
        <v>2026</v>
      </c>
      <c r="D389" t="s">
        <v>975</v>
      </c>
      <c r="E389" t="s">
        <v>4</v>
      </c>
      <c r="F389">
        <v>2299</v>
      </c>
      <c r="G389" t="s">
        <v>54</v>
      </c>
      <c r="H389" t="s">
        <v>69</v>
      </c>
    </row>
    <row r="390" spans="1:8" x14ac:dyDescent="0.3">
      <c r="A390" t="s">
        <v>992</v>
      </c>
      <c r="B390" t="s">
        <v>69</v>
      </c>
      <c r="C390">
        <v>2026</v>
      </c>
      <c r="D390" t="s">
        <v>975</v>
      </c>
      <c r="E390" t="s">
        <v>4</v>
      </c>
      <c r="F390">
        <v>28501963.201332893</v>
      </c>
      <c r="G390" t="s">
        <v>36</v>
      </c>
      <c r="H390" t="s">
        <v>69</v>
      </c>
    </row>
    <row r="391" spans="1:8" x14ac:dyDescent="0.3">
      <c r="A391" t="s">
        <v>993</v>
      </c>
      <c r="B391" t="s">
        <v>69</v>
      </c>
      <c r="C391">
        <v>2026</v>
      </c>
      <c r="D391" t="s">
        <v>975</v>
      </c>
      <c r="E391" t="s">
        <v>38</v>
      </c>
      <c r="F391">
        <v>12629.440789359936</v>
      </c>
      <c r="G391" t="s">
        <v>30</v>
      </c>
      <c r="H391" t="s">
        <v>69</v>
      </c>
    </row>
    <row r="392" spans="1:8" x14ac:dyDescent="0.3">
      <c r="A392" t="s">
        <v>994</v>
      </c>
      <c r="B392" t="s">
        <v>69</v>
      </c>
      <c r="C392">
        <v>2026</v>
      </c>
      <c r="D392" t="s">
        <v>975</v>
      </c>
      <c r="E392" t="s">
        <v>38</v>
      </c>
      <c r="F392">
        <v>120</v>
      </c>
      <c r="G392" t="s">
        <v>54</v>
      </c>
      <c r="H392" t="s">
        <v>69</v>
      </c>
    </row>
    <row r="393" spans="1:8" x14ac:dyDescent="0.3">
      <c r="A393" t="s">
        <v>995</v>
      </c>
      <c r="B393" t="s">
        <v>69</v>
      </c>
      <c r="C393">
        <v>2026</v>
      </c>
      <c r="D393" t="s">
        <v>975</v>
      </c>
      <c r="E393" t="s">
        <v>38</v>
      </c>
      <c r="F393">
        <v>1515532.8947231923</v>
      </c>
      <c r="G393" t="s">
        <v>36</v>
      </c>
      <c r="H393" t="s">
        <v>69</v>
      </c>
    </row>
    <row r="394" spans="1:8" x14ac:dyDescent="0.3">
      <c r="A394" t="s">
        <v>996</v>
      </c>
      <c r="B394" t="s">
        <v>70</v>
      </c>
      <c r="C394">
        <v>2026</v>
      </c>
      <c r="D394" t="s">
        <v>6</v>
      </c>
      <c r="E394" t="s">
        <v>53</v>
      </c>
      <c r="F394">
        <v>11262.762727921507</v>
      </c>
      <c r="G394" t="s">
        <v>30</v>
      </c>
      <c r="H394" t="s">
        <v>70</v>
      </c>
    </row>
    <row r="395" spans="1:8" x14ac:dyDescent="0.3">
      <c r="A395" t="s">
        <v>997</v>
      </c>
      <c r="B395" t="s">
        <v>70</v>
      </c>
      <c r="C395">
        <v>2026</v>
      </c>
      <c r="D395" t="s">
        <v>6</v>
      </c>
      <c r="E395" t="s">
        <v>53</v>
      </c>
      <c r="F395">
        <v>51</v>
      </c>
      <c r="G395" t="s">
        <v>54</v>
      </c>
      <c r="H395" t="s">
        <v>70</v>
      </c>
    </row>
    <row r="396" spans="1:8" x14ac:dyDescent="0.3">
      <c r="A396" t="s">
        <v>998</v>
      </c>
      <c r="B396" t="s">
        <v>70</v>
      </c>
      <c r="C396">
        <v>2026</v>
      </c>
      <c r="D396" t="s">
        <v>6</v>
      </c>
      <c r="E396" t="s">
        <v>53</v>
      </c>
      <c r="F396">
        <v>574400.89912399685</v>
      </c>
      <c r="G396" t="s">
        <v>36</v>
      </c>
      <c r="H396" t="s">
        <v>70</v>
      </c>
    </row>
    <row r="397" spans="1:8" x14ac:dyDescent="0.3">
      <c r="A397" t="s">
        <v>999</v>
      </c>
      <c r="B397" t="s">
        <v>70</v>
      </c>
      <c r="C397">
        <v>2026</v>
      </c>
      <c r="D397" t="s">
        <v>6</v>
      </c>
      <c r="E397" t="s">
        <v>63</v>
      </c>
      <c r="F397">
        <v>20680.981290530541</v>
      </c>
      <c r="G397" t="s">
        <v>30</v>
      </c>
      <c r="H397" t="s">
        <v>70</v>
      </c>
    </row>
    <row r="398" spans="1:8" x14ac:dyDescent="0.3">
      <c r="A398" t="s">
        <v>1000</v>
      </c>
      <c r="B398" t="s">
        <v>70</v>
      </c>
      <c r="C398">
        <v>2026</v>
      </c>
      <c r="D398" t="s">
        <v>6</v>
      </c>
      <c r="E398" t="s">
        <v>63</v>
      </c>
      <c r="F398">
        <v>12</v>
      </c>
      <c r="G398" t="s">
        <v>54</v>
      </c>
      <c r="H398" t="s">
        <v>70</v>
      </c>
    </row>
    <row r="399" spans="1:8" x14ac:dyDescent="0.3">
      <c r="A399" t="s">
        <v>1001</v>
      </c>
      <c r="B399" t="s">
        <v>70</v>
      </c>
      <c r="C399">
        <v>2026</v>
      </c>
      <c r="D399" t="s">
        <v>6</v>
      </c>
      <c r="E399" t="s">
        <v>63</v>
      </c>
      <c r="F399">
        <v>248171.77548636647</v>
      </c>
      <c r="G399" t="s">
        <v>36</v>
      </c>
      <c r="H399" t="s">
        <v>70</v>
      </c>
    </row>
    <row r="400" spans="1:8" x14ac:dyDescent="0.3">
      <c r="A400" t="s">
        <v>1002</v>
      </c>
      <c r="B400" t="s">
        <v>70</v>
      </c>
      <c r="C400">
        <v>2026</v>
      </c>
      <c r="D400" t="s">
        <v>6</v>
      </c>
      <c r="E400" t="s">
        <v>3</v>
      </c>
      <c r="F400">
        <v>52172.833905618041</v>
      </c>
      <c r="G400" t="s">
        <v>30</v>
      </c>
      <c r="H400" t="s">
        <v>70</v>
      </c>
    </row>
    <row r="401" spans="1:8" x14ac:dyDescent="0.3">
      <c r="A401" t="s">
        <v>1003</v>
      </c>
      <c r="B401" t="s">
        <v>70</v>
      </c>
      <c r="C401">
        <v>2026</v>
      </c>
      <c r="D401" t="s">
        <v>6</v>
      </c>
      <c r="E401" t="s">
        <v>3</v>
      </c>
      <c r="F401">
        <v>17</v>
      </c>
      <c r="G401" t="s">
        <v>54</v>
      </c>
      <c r="H401" t="s">
        <v>70</v>
      </c>
    </row>
    <row r="402" spans="1:8" x14ac:dyDescent="0.3">
      <c r="A402" t="s">
        <v>1004</v>
      </c>
      <c r="B402" t="s">
        <v>70</v>
      </c>
      <c r="C402">
        <v>2026</v>
      </c>
      <c r="D402" t="s">
        <v>6</v>
      </c>
      <c r="E402" t="s">
        <v>3</v>
      </c>
      <c r="F402">
        <v>886938.17639550671</v>
      </c>
      <c r="G402" t="s">
        <v>36</v>
      </c>
      <c r="H402" t="s">
        <v>70</v>
      </c>
    </row>
    <row r="403" spans="1:8" x14ac:dyDescent="0.3">
      <c r="A403" t="s">
        <v>1005</v>
      </c>
      <c r="B403" t="s">
        <v>70</v>
      </c>
      <c r="C403">
        <v>2026</v>
      </c>
      <c r="D403" t="s">
        <v>6</v>
      </c>
      <c r="E403" t="s">
        <v>2</v>
      </c>
      <c r="F403">
        <v>13305.037983765564</v>
      </c>
      <c r="G403" t="s">
        <v>30</v>
      </c>
      <c r="H403" t="s">
        <v>70</v>
      </c>
    </row>
    <row r="404" spans="1:8" x14ac:dyDescent="0.3">
      <c r="A404" t="s">
        <v>1006</v>
      </c>
      <c r="B404" t="s">
        <v>70</v>
      </c>
      <c r="C404">
        <v>2026</v>
      </c>
      <c r="D404" t="s">
        <v>6</v>
      </c>
      <c r="E404" t="s">
        <v>2</v>
      </c>
      <c r="F404">
        <v>125</v>
      </c>
      <c r="G404" t="s">
        <v>54</v>
      </c>
      <c r="H404" t="s">
        <v>70</v>
      </c>
    </row>
    <row r="405" spans="1:8" x14ac:dyDescent="0.3">
      <c r="A405" t="s">
        <v>1007</v>
      </c>
      <c r="B405" t="s">
        <v>70</v>
      </c>
      <c r="C405">
        <v>2026</v>
      </c>
      <c r="D405" t="s">
        <v>6</v>
      </c>
      <c r="E405" t="s">
        <v>2</v>
      </c>
      <c r="F405">
        <v>1663129.7479706954</v>
      </c>
      <c r="G405" t="s">
        <v>36</v>
      </c>
      <c r="H405" t="s">
        <v>70</v>
      </c>
    </row>
    <row r="406" spans="1:8" x14ac:dyDescent="0.3">
      <c r="A406" t="s">
        <v>1008</v>
      </c>
      <c r="B406" t="s">
        <v>70</v>
      </c>
      <c r="C406">
        <v>2026</v>
      </c>
      <c r="D406" t="s">
        <v>6</v>
      </c>
      <c r="E406" t="s">
        <v>1</v>
      </c>
      <c r="F406">
        <v>13951.736202527452</v>
      </c>
      <c r="G406" t="s">
        <v>30</v>
      </c>
      <c r="H406" t="s">
        <v>70</v>
      </c>
    </row>
    <row r="407" spans="1:8" x14ac:dyDescent="0.3">
      <c r="A407" t="s">
        <v>1009</v>
      </c>
      <c r="B407" t="s">
        <v>70</v>
      </c>
      <c r="C407">
        <v>2026</v>
      </c>
      <c r="D407" t="s">
        <v>6</v>
      </c>
      <c r="E407" t="s">
        <v>1</v>
      </c>
      <c r="F407">
        <v>1429</v>
      </c>
      <c r="G407" t="s">
        <v>54</v>
      </c>
      <c r="H407" t="s">
        <v>70</v>
      </c>
    </row>
    <row r="408" spans="1:8" x14ac:dyDescent="0.3">
      <c r="A408" t="s">
        <v>1010</v>
      </c>
      <c r="B408" t="s">
        <v>70</v>
      </c>
      <c r="C408">
        <v>2026</v>
      </c>
      <c r="D408" t="s">
        <v>6</v>
      </c>
      <c r="E408" t="s">
        <v>1</v>
      </c>
      <c r="F408">
        <v>19937031.03341173</v>
      </c>
      <c r="G408" t="s">
        <v>36</v>
      </c>
      <c r="H408" t="s">
        <v>70</v>
      </c>
    </row>
    <row r="409" spans="1:8" x14ac:dyDescent="0.3">
      <c r="A409" t="s">
        <v>1931</v>
      </c>
      <c r="B409" t="s">
        <v>70</v>
      </c>
      <c r="C409">
        <v>2026</v>
      </c>
      <c r="D409" t="s">
        <v>6</v>
      </c>
      <c r="E409" t="s">
        <v>1885</v>
      </c>
      <c r="F409">
        <v>13902.024034663935</v>
      </c>
      <c r="G409" t="s">
        <v>30</v>
      </c>
      <c r="H409" t="s">
        <v>70</v>
      </c>
    </row>
    <row r="410" spans="1:8" x14ac:dyDescent="0.3">
      <c r="A410" t="s">
        <v>1932</v>
      </c>
      <c r="B410" t="s">
        <v>70</v>
      </c>
      <c r="C410">
        <v>2026</v>
      </c>
      <c r="D410" t="s">
        <v>6</v>
      </c>
      <c r="E410" t="s">
        <v>1885</v>
      </c>
      <c r="F410">
        <v>1946</v>
      </c>
      <c r="G410" t="s">
        <v>54</v>
      </c>
      <c r="H410" t="s">
        <v>70</v>
      </c>
    </row>
    <row r="411" spans="1:8" x14ac:dyDescent="0.3">
      <c r="A411" t="s">
        <v>1933</v>
      </c>
      <c r="B411" t="s">
        <v>70</v>
      </c>
      <c r="C411">
        <v>2026</v>
      </c>
      <c r="D411" t="s">
        <v>6</v>
      </c>
      <c r="E411" t="s">
        <v>1885</v>
      </c>
      <c r="F411">
        <v>27053338.771456018</v>
      </c>
      <c r="G411" t="s">
        <v>36</v>
      </c>
      <c r="H411" t="s">
        <v>70</v>
      </c>
    </row>
    <row r="412" spans="1:8" x14ac:dyDescent="0.3">
      <c r="A412" t="s">
        <v>1011</v>
      </c>
      <c r="B412" t="s">
        <v>70</v>
      </c>
      <c r="C412">
        <v>2026</v>
      </c>
      <c r="D412" t="s">
        <v>6</v>
      </c>
      <c r="E412" t="s">
        <v>4</v>
      </c>
      <c r="F412">
        <v>14045.959510950304</v>
      </c>
      <c r="G412" t="s">
        <v>30</v>
      </c>
      <c r="H412" t="s">
        <v>70</v>
      </c>
    </row>
    <row r="413" spans="1:8" x14ac:dyDescent="0.3">
      <c r="A413" t="s">
        <v>1012</v>
      </c>
      <c r="B413" t="s">
        <v>70</v>
      </c>
      <c r="C413">
        <v>2026</v>
      </c>
      <c r="D413" t="s">
        <v>6</v>
      </c>
      <c r="E413" t="s">
        <v>4</v>
      </c>
      <c r="F413">
        <v>1778</v>
      </c>
      <c r="G413" t="s">
        <v>54</v>
      </c>
      <c r="H413" t="s">
        <v>70</v>
      </c>
    </row>
    <row r="414" spans="1:8" x14ac:dyDescent="0.3">
      <c r="A414" t="s">
        <v>1013</v>
      </c>
      <c r="B414" t="s">
        <v>70</v>
      </c>
      <c r="C414">
        <v>2026</v>
      </c>
      <c r="D414" t="s">
        <v>6</v>
      </c>
      <c r="E414" t="s">
        <v>4</v>
      </c>
      <c r="F414">
        <v>24973716.010469642</v>
      </c>
      <c r="G414" t="s">
        <v>36</v>
      </c>
      <c r="H414" t="s">
        <v>70</v>
      </c>
    </row>
    <row r="415" spans="1:8" x14ac:dyDescent="0.3">
      <c r="A415" t="s">
        <v>1014</v>
      </c>
      <c r="B415" t="s">
        <v>70</v>
      </c>
      <c r="C415">
        <v>2026</v>
      </c>
      <c r="D415" t="s">
        <v>6</v>
      </c>
      <c r="E415" t="s">
        <v>38</v>
      </c>
      <c r="F415">
        <v>11555.863736676019</v>
      </c>
      <c r="G415" t="s">
        <v>30</v>
      </c>
      <c r="H415" t="s">
        <v>70</v>
      </c>
    </row>
    <row r="416" spans="1:8" x14ac:dyDescent="0.3">
      <c r="A416" t="s">
        <v>1015</v>
      </c>
      <c r="B416" t="s">
        <v>70</v>
      </c>
      <c r="C416">
        <v>2026</v>
      </c>
      <c r="D416" t="s">
        <v>6</v>
      </c>
      <c r="E416" t="s">
        <v>38</v>
      </c>
      <c r="F416">
        <v>144</v>
      </c>
      <c r="G416" t="s">
        <v>54</v>
      </c>
      <c r="H416" t="s">
        <v>70</v>
      </c>
    </row>
    <row r="417" spans="1:8" x14ac:dyDescent="0.3">
      <c r="A417" t="s">
        <v>1016</v>
      </c>
      <c r="B417" t="s">
        <v>70</v>
      </c>
      <c r="C417">
        <v>2026</v>
      </c>
      <c r="D417" t="s">
        <v>6</v>
      </c>
      <c r="E417" t="s">
        <v>38</v>
      </c>
      <c r="F417">
        <v>1664044.3780813469</v>
      </c>
      <c r="G417" t="s">
        <v>36</v>
      </c>
      <c r="H417" t="s">
        <v>70</v>
      </c>
    </row>
    <row r="418" spans="1:8" x14ac:dyDescent="0.3">
      <c r="A418" t="s">
        <v>1017</v>
      </c>
      <c r="B418" t="s">
        <v>71</v>
      </c>
      <c r="C418">
        <v>2026</v>
      </c>
      <c r="D418" t="s">
        <v>1018</v>
      </c>
      <c r="E418" t="s">
        <v>53</v>
      </c>
      <c r="F418">
        <v>0</v>
      </c>
      <c r="G418" t="s">
        <v>30</v>
      </c>
      <c r="H418" t="s">
        <v>71</v>
      </c>
    </row>
    <row r="419" spans="1:8" x14ac:dyDescent="0.3">
      <c r="A419" t="s">
        <v>1019</v>
      </c>
      <c r="B419" t="s">
        <v>71</v>
      </c>
      <c r="C419">
        <v>2026</v>
      </c>
      <c r="D419" t="s">
        <v>1018</v>
      </c>
      <c r="E419" t="s">
        <v>53</v>
      </c>
      <c r="F419">
        <v>0</v>
      </c>
      <c r="G419" t="s">
        <v>54</v>
      </c>
      <c r="H419" t="s">
        <v>71</v>
      </c>
    </row>
    <row r="420" spans="1:8" x14ac:dyDescent="0.3">
      <c r="A420" t="s">
        <v>1020</v>
      </c>
      <c r="B420" t="s">
        <v>71</v>
      </c>
      <c r="C420">
        <v>2026</v>
      </c>
      <c r="D420" t="s">
        <v>1018</v>
      </c>
      <c r="E420" t="s">
        <v>53</v>
      </c>
      <c r="F420">
        <v>0</v>
      </c>
      <c r="G420" t="s">
        <v>36</v>
      </c>
      <c r="H420" t="s">
        <v>71</v>
      </c>
    </row>
    <row r="421" spans="1:8" x14ac:dyDescent="0.3">
      <c r="A421" t="s">
        <v>1021</v>
      </c>
      <c r="B421" t="s">
        <v>71</v>
      </c>
      <c r="C421">
        <v>2026</v>
      </c>
      <c r="D421" t="s">
        <v>1018</v>
      </c>
      <c r="E421" t="s">
        <v>63</v>
      </c>
      <c r="F421">
        <v>14772.684594771325</v>
      </c>
      <c r="G421" t="s">
        <v>30</v>
      </c>
      <c r="H421" t="s">
        <v>71</v>
      </c>
    </row>
    <row r="422" spans="1:8" x14ac:dyDescent="0.3">
      <c r="A422" t="s">
        <v>1022</v>
      </c>
      <c r="B422" t="s">
        <v>71</v>
      </c>
      <c r="C422">
        <v>2026</v>
      </c>
      <c r="D422" t="s">
        <v>1018</v>
      </c>
      <c r="E422" t="s">
        <v>63</v>
      </c>
      <c r="F422">
        <v>5</v>
      </c>
      <c r="G422" t="s">
        <v>54</v>
      </c>
      <c r="H422" t="s">
        <v>71</v>
      </c>
    </row>
    <row r="423" spans="1:8" x14ac:dyDescent="0.3">
      <c r="A423" t="s">
        <v>1023</v>
      </c>
      <c r="B423" t="s">
        <v>71</v>
      </c>
      <c r="C423">
        <v>2026</v>
      </c>
      <c r="D423" t="s">
        <v>1018</v>
      </c>
      <c r="E423" t="s">
        <v>63</v>
      </c>
      <c r="F423">
        <v>73863.422973856621</v>
      </c>
      <c r="G423" t="s">
        <v>36</v>
      </c>
      <c r="H423" t="s">
        <v>71</v>
      </c>
    </row>
    <row r="424" spans="1:8" x14ac:dyDescent="0.3">
      <c r="A424" t="s">
        <v>1024</v>
      </c>
      <c r="B424" t="s">
        <v>71</v>
      </c>
      <c r="C424">
        <v>2026</v>
      </c>
      <c r="D424" t="s">
        <v>1018</v>
      </c>
      <c r="E424" t="s">
        <v>3</v>
      </c>
      <c r="F424">
        <v>28247.666415502059</v>
      </c>
      <c r="G424" t="s">
        <v>30</v>
      </c>
      <c r="H424" t="s">
        <v>71</v>
      </c>
    </row>
    <row r="425" spans="1:8" x14ac:dyDescent="0.3">
      <c r="A425" t="s">
        <v>1025</v>
      </c>
      <c r="B425" t="s">
        <v>71</v>
      </c>
      <c r="C425">
        <v>2026</v>
      </c>
      <c r="D425" t="s">
        <v>1018</v>
      </c>
      <c r="E425" t="s">
        <v>3</v>
      </c>
      <c r="F425">
        <v>27</v>
      </c>
      <c r="G425" t="s">
        <v>54</v>
      </c>
      <c r="H425" t="s">
        <v>71</v>
      </c>
    </row>
    <row r="426" spans="1:8" x14ac:dyDescent="0.3">
      <c r="A426" t="s">
        <v>1026</v>
      </c>
      <c r="B426" t="s">
        <v>71</v>
      </c>
      <c r="C426">
        <v>2026</v>
      </c>
      <c r="D426" t="s">
        <v>1018</v>
      </c>
      <c r="E426" t="s">
        <v>3</v>
      </c>
      <c r="F426">
        <v>762686.99321855558</v>
      </c>
      <c r="G426" t="s">
        <v>36</v>
      </c>
      <c r="H426" t="s">
        <v>71</v>
      </c>
    </row>
    <row r="427" spans="1:8" x14ac:dyDescent="0.3">
      <c r="A427" t="s">
        <v>1027</v>
      </c>
      <c r="B427" t="s">
        <v>71</v>
      </c>
      <c r="C427">
        <v>2026</v>
      </c>
      <c r="D427" t="s">
        <v>1018</v>
      </c>
      <c r="E427" t="s">
        <v>2</v>
      </c>
      <c r="F427">
        <v>19291.426031005707</v>
      </c>
      <c r="G427" t="s">
        <v>30</v>
      </c>
      <c r="H427" t="s">
        <v>71</v>
      </c>
    </row>
    <row r="428" spans="1:8" x14ac:dyDescent="0.3">
      <c r="A428" t="s">
        <v>1028</v>
      </c>
      <c r="B428" t="s">
        <v>71</v>
      </c>
      <c r="C428">
        <v>2026</v>
      </c>
      <c r="D428" t="s">
        <v>1018</v>
      </c>
      <c r="E428" t="s">
        <v>2</v>
      </c>
      <c r="F428">
        <v>99</v>
      </c>
      <c r="G428" t="s">
        <v>54</v>
      </c>
      <c r="H428" t="s">
        <v>71</v>
      </c>
    </row>
    <row r="429" spans="1:8" x14ac:dyDescent="0.3">
      <c r="A429" t="s">
        <v>1029</v>
      </c>
      <c r="B429" t="s">
        <v>71</v>
      </c>
      <c r="C429">
        <v>2026</v>
      </c>
      <c r="D429" t="s">
        <v>1018</v>
      </c>
      <c r="E429" t="s">
        <v>2</v>
      </c>
      <c r="F429">
        <v>1909851.177069565</v>
      </c>
      <c r="G429" t="s">
        <v>36</v>
      </c>
      <c r="H429" t="s">
        <v>71</v>
      </c>
    </row>
    <row r="430" spans="1:8" x14ac:dyDescent="0.3">
      <c r="A430" t="s">
        <v>1030</v>
      </c>
      <c r="B430" t="s">
        <v>71</v>
      </c>
      <c r="C430">
        <v>2026</v>
      </c>
      <c r="D430" t="s">
        <v>1018</v>
      </c>
      <c r="E430" t="s">
        <v>1</v>
      </c>
      <c r="F430">
        <v>11039.224577043984</v>
      </c>
      <c r="G430" t="s">
        <v>30</v>
      </c>
      <c r="H430" t="s">
        <v>71</v>
      </c>
    </row>
    <row r="431" spans="1:8" x14ac:dyDescent="0.3">
      <c r="A431" t="s">
        <v>1031</v>
      </c>
      <c r="B431" t="s">
        <v>71</v>
      </c>
      <c r="C431">
        <v>2026</v>
      </c>
      <c r="D431" t="s">
        <v>1018</v>
      </c>
      <c r="E431" t="s">
        <v>1</v>
      </c>
      <c r="F431">
        <v>995</v>
      </c>
      <c r="G431" t="s">
        <v>54</v>
      </c>
      <c r="H431" t="s">
        <v>71</v>
      </c>
    </row>
    <row r="432" spans="1:8" x14ac:dyDescent="0.3">
      <c r="A432" t="s">
        <v>1032</v>
      </c>
      <c r="B432" t="s">
        <v>71</v>
      </c>
      <c r="C432">
        <v>2026</v>
      </c>
      <c r="D432" t="s">
        <v>1018</v>
      </c>
      <c r="E432" t="s">
        <v>1</v>
      </c>
      <c r="F432">
        <v>10984028.454158764</v>
      </c>
      <c r="G432" t="s">
        <v>36</v>
      </c>
      <c r="H432" t="s">
        <v>71</v>
      </c>
    </row>
    <row r="433" spans="1:8" x14ac:dyDescent="0.3">
      <c r="A433" t="s">
        <v>1934</v>
      </c>
      <c r="B433" t="s">
        <v>71</v>
      </c>
      <c r="C433">
        <v>2026</v>
      </c>
      <c r="D433" t="s">
        <v>1018</v>
      </c>
      <c r="E433" t="s">
        <v>1885</v>
      </c>
      <c r="F433">
        <v>12131.249758137221</v>
      </c>
      <c r="G433" t="s">
        <v>30</v>
      </c>
      <c r="H433" t="s">
        <v>71</v>
      </c>
    </row>
    <row r="434" spans="1:8" x14ac:dyDescent="0.3">
      <c r="A434" t="s">
        <v>1935</v>
      </c>
      <c r="B434" t="s">
        <v>71</v>
      </c>
      <c r="C434">
        <v>2026</v>
      </c>
      <c r="D434" t="s">
        <v>1018</v>
      </c>
      <c r="E434" t="s">
        <v>1885</v>
      </c>
      <c r="F434">
        <v>1787</v>
      </c>
      <c r="G434" t="s">
        <v>54</v>
      </c>
      <c r="H434" t="s">
        <v>71</v>
      </c>
    </row>
    <row r="435" spans="1:8" x14ac:dyDescent="0.3">
      <c r="A435" t="s">
        <v>1936</v>
      </c>
      <c r="B435" t="s">
        <v>71</v>
      </c>
      <c r="C435">
        <v>2026</v>
      </c>
      <c r="D435" t="s">
        <v>1018</v>
      </c>
      <c r="E435" t="s">
        <v>1885</v>
      </c>
      <c r="F435">
        <v>21678543.317791212</v>
      </c>
      <c r="G435" t="s">
        <v>36</v>
      </c>
      <c r="H435" t="s">
        <v>71</v>
      </c>
    </row>
    <row r="436" spans="1:8" x14ac:dyDescent="0.3">
      <c r="A436" t="s">
        <v>1033</v>
      </c>
      <c r="B436" t="s">
        <v>71</v>
      </c>
      <c r="C436">
        <v>2026</v>
      </c>
      <c r="D436" t="s">
        <v>1018</v>
      </c>
      <c r="E436" t="s">
        <v>4</v>
      </c>
      <c r="F436">
        <v>11971.271471356164</v>
      </c>
      <c r="G436" t="s">
        <v>30</v>
      </c>
      <c r="H436" t="s">
        <v>71</v>
      </c>
    </row>
    <row r="437" spans="1:8" x14ac:dyDescent="0.3">
      <c r="A437" t="s">
        <v>1034</v>
      </c>
      <c r="B437" t="s">
        <v>71</v>
      </c>
      <c r="C437">
        <v>2026</v>
      </c>
      <c r="D437" t="s">
        <v>1018</v>
      </c>
      <c r="E437" t="s">
        <v>4</v>
      </c>
      <c r="F437">
        <v>1726</v>
      </c>
      <c r="G437" t="s">
        <v>54</v>
      </c>
      <c r="H437" t="s">
        <v>71</v>
      </c>
    </row>
    <row r="438" spans="1:8" x14ac:dyDescent="0.3">
      <c r="A438" t="s">
        <v>1035</v>
      </c>
      <c r="B438" t="s">
        <v>71</v>
      </c>
      <c r="C438">
        <v>2026</v>
      </c>
      <c r="D438" t="s">
        <v>1018</v>
      </c>
      <c r="E438" t="s">
        <v>4</v>
      </c>
      <c r="F438">
        <v>20662414.559560739</v>
      </c>
      <c r="G438" t="s">
        <v>36</v>
      </c>
      <c r="H438" t="s">
        <v>71</v>
      </c>
    </row>
    <row r="439" spans="1:8" x14ac:dyDescent="0.3">
      <c r="A439" t="s">
        <v>1036</v>
      </c>
      <c r="B439" t="s">
        <v>71</v>
      </c>
      <c r="C439">
        <v>2026</v>
      </c>
      <c r="D439" t="s">
        <v>1018</v>
      </c>
      <c r="E439" t="s">
        <v>38</v>
      </c>
      <c r="F439">
        <v>11553.307520233329</v>
      </c>
      <c r="G439" t="s">
        <v>30</v>
      </c>
      <c r="H439" t="s">
        <v>71</v>
      </c>
    </row>
    <row r="440" spans="1:8" x14ac:dyDescent="0.3">
      <c r="A440" t="s">
        <v>1037</v>
      </c>
      <c r="B440" t="s">
        <v>71</v>
      </c>
      <c r="C440">
        <v>2026</v>
      </c>
      <c r="D440" t="s">
        <v>1018</v>
      </c>
      <c r="E440" t="s">
        <v>38</v>
      </c>
      <c r="F440">
        <v>600</v>
      </c>
      <c r="G440" t="s">
        <v>54</v>
      </c>
      <c r="H440" t="s">
        <v>71</v>
      </c>
    </row>
    <row r="441" spans="1:8" x14ac:dyDescent="0.3">
      <c r="A441" t="s">
        <v>1038</v>
      </c>
      <c r="B441" t="s">
        <v>71</v>
      </c>
      <c r="C441">
        <v>2026</v>
      </c>
      <c r="D441" t="s">
        <v>1018</v>
      </c>
      <c r="E441" t="s">
        <v>38</v>
      </c>
      <c r="F441">
        <v>6931984.5121399974</v>
      </c>
      <c r="G441" t="s">
        <v>36</v>
      </c>
      <c r="H441" t="s">
        <v>71</v>
      </c>
    </row>
    <row r="442" spans="1:8" x14ac:dyDescent="0.3">
      <c r="A442" t="s">
        <v>1039</v>
      </c>
      <c r="B442" t="s">
        <v>72</v>
      </c>
      <c r="C442">
        <v>2026</v>
      </c>
      <c r="D442" t="s">
        <v>633</v>
      </c>
      <c r="E442" t="s">
        <v>53</v>
      </c>
      <c r="F442">
        <v>0</v>
      </c>
      <c r="G442" t="s">
        <v>30</v>
      </c>
      <c r="H442" t="s">
        <v>72</v>
      </c>
    </row>
    <row r="443" spans="1:8" x14ac:dyDescent="0.3">
      <c r="A443" t="s">
        <v>1040</v>
      </c>
      <c r="B443" t="s">
        <v>72</v>
      </c>
      <c r="C443">
        <v>2026</v>
      </c>
      <c r="D443" t="s">
        <v>633</v>
      </c>
      <c r="E443" t="s">
        <v>53</v>
      </c>
      <c r="F443">
        <v>0</v>
      </c>
      <c r="G443" t="s">
        <v>54</v>
      </c>
      <c r="H443" t="s">
        <v>72</v>
      </c>
    </row>
    <row r="444" spans="1:8" x14ac:dyDescent="0.3">
      <c r="A444" t="s">
        <v>1041</v>
      </c>
      <c r="B444" t="s">
        <v>72</v>
      </c>
      <c r="C444">
        <v>2026</v>
      </c>
      <c r="D444" t="s">
        <v>633</v>
      </c>
      <c r="E444" t="s">
        <v>53</v>
      </c>
      <c r="F444">
        <v>0</v>
      </c>
      <c r="G444" t="s">
        <v>36</v>
      </c>
      <c r="H444" t="s">
        <v>72</v>
      </c>
    </row>
    <row r="445" spans="1:8" x14ac:dyDescent="0.3">
      <c r="A445" t="s">
        <v>1042</v>
      </c>
      <c r="B445" t="s">
        <v>72</v>
      </c>
      <c r="C445">
        <v>2026</v>
      </c>
      <c r="D445" t="s">
        <v>633</v>
      </c>
      <c r="E445" t="s">
        <v>63</v>
      </c>
      <c r="F445">
        <v>0</v>
      </c>
      <c r="G445" t="s">
        <v>30</v>
      </c>
      <c r="H445" t="s">
        <v>72</v>
      </c>
    </row>
    <row r="446" spans="1:8" x14ac:dyDescent="0.3">
      <c r="A446" t="s">
        <v>1043</v>
      </c>
      <c r="B446" t="s">
        <v>72</v>
      </c>
      <c r="C446">
        <v>2026</v>
      </c>
      <c r="D446" t="s">
        <v>633</v>
      </c>
      <c r="E446" t="s">
        <v>63</v>
      </c>
      <c r="F446">
        <v>0</v>
      </c>
      <c r="G446" t="s">
        <v>54</v>
      </c>
      <c r="H446" t="s">
        <v>72</v>
      </c>
    </row>
    <row r="447" spans="1:8" x14ac:dyDescent="0.3">
      <c r="A447" t="s">
        <v>1044</v>
      </c>
      <c r="B447" t="s">
        <v>72</v>
      </c>
      <c r="C447">
        <v>2026</v>
      </c>
      <c r="D447" t="s">
        <v>633</v>
      </c>
      <c r="E447" t="s">
        <v>63</v>
      </c>
      <c r="F447">
        <v>0</v>
      </c>
      <c r="G447" t="s">
        <v>36</v>
      </c>
      <c r="H447" t="s">
        <v>72</v>
      </c>
    </row>
    <row r="448" spans="1:8" x14ac:dyDescent="0.3">
      <c r="A448" t="s">
        <v>1045</v>
      </c>
      <c r="B448" t="s">
        <v>72</v>
      </c>
      <c r="C448">
        <v>2026</v>
      </c>
      <c r="D448" t="s">
        <v>633</v>
      </c>
      <c r="E448" t="s">
        <v>3</v>
      </c>
      <c r="F448">
        <v>0</v>
      </c>
      <c r="G448" t="s">
        <v>30</v>
      </c>
      <c r="H448" t="s">
        <v>72</v>
      </c>
    </row>
    <row r="449" spans="1:8" x14ac:dyDescent="0.3">
      <c r="A449" t="s">
        <v>1046</v>
      </c>
      <c r="B449" t="s">
        <v>72</v>
      </c>
      <c r="C449">
        <v>2026</v>
      </c>
      <c r="D449" t="s">
        <v>633</v>
      </c>
      <c r="E449" t="s">
        <v>3</v>
      </c>
      <c r="F449">
        <v>0</v>
      </c>
      <c r="G449" t="s">
        <v>54</v>
      </c>
      <c r="H449" t="s">
        <v>72</v>
      </c>
    </row>
    <row r="450" spans="1:8" x14ac:dyDescent="0.3">
      <c r="A450" t="s">
        <v>1047</v>
      </c>
      <c r="B450" t="s">
        <v>72</v>
      </c>
      <c r="C450">
        <v>2026</v>
      </c>
      <c r="D450" t="s">
        <v>633</v>
      </c>
      <c r="E450" t="s">
        <v>3</v>
      </c>
      <c r="F450">
        <v>0</v>
      </c>
      <c r="G450" t="s">
        <v>36</v>
      </c>
      <c r="H450" t="s">
        <v>72</v>
      </c>
    </row>
    <row r="451" spans="1:8" x14ac:dyDescent="0.3">
      <c r="A451" t="s">
        <v>1048</v>
      </c>
      <c r="B451" t="s">
        <v>72</v>
      </c>
      <c r="C451">
        <v>2026</v>
      </c>
      <c r="D451" t="s">
        <v>633</v>
      </c>
      <c r="E451" t="s">
        <v>2</v>
      </c>
      <c r="F451">
        <v>6749.6745553963692</v>
      </c>
      <c r="G451" t="s">
        <v>30</v>
      </c>
      <c r="H451" t="s">
        <v>72</v>
      </c>
    </row>
    <row r="452" spans="1:8" x14ac:dyDescent="0.3">
      <c r="A452" t="s">
        <v>1049</v>
      </c>
      <c r="B452" t="s">
        <v>72</v>
      </c>
      <c r="C452">
        <v>2026</v>
      </c>
      <c r="D452" t="s">
        <v>633</v>
      </c>
      <c r="E452" t="s">
        <v>2</v>
      </c>
      <c r="F452">
        <v>61</v>
      </c>
      <c r="G452" t="s">
        <v>54</v>
      </c>
      <c r="H452" t="s">
        <v>72</v>
      </c>
    </row>
    <row r="453" spans="1:8" x14ac:dyDescent="0.3">
      <c r="A453" t="s">
        <v>1050</v>
      </c>
      <c r="B453" t="s">
        <v>72</v>
      </c>
      <c r="C453">
        <v>2026</v>
      </c>
      <c r="D453" t="s">
        <v>633</v>
      </c>
      <c r="E453" t="s">
        <v>2</v>
      </c>
      <c r="F453">
        <v>411730.14787917852</v>
      </c>
      <c r="G453" t="s">
        <v>36</v>
      </c>
      <c r="H453" t="s">
        <v>72</v>
      </c>
    </row>
    <row r="454" spans="1:8" x14ac:dyDescent="0.3">
      <c r="A454" t="s">
        <v>1051</v>
      </c>
      <c r="B454" t="s">
        <v>72</v>
      </c>
      <c r="C454">
        <v>2026</v>
      </c>
      <c r="D454" t="s">
        <v>633</v>
      </c>
      <c r="E454" t="s">
        <v>1</v>
      </c>
      <c r="F454">
        <v>9850.5950550488596</v>
      </c>
      <c r="G454" t="s">
        <v>30</v>
      </c>
      <c r="H454" t="s">
        <v>72</v>
      </c>
    </row>
    <row r="455" spans="1:8" x14ac:dyDescent="0.3">
      <c r="A455" t="s">
        <v>1052</v>
      </c>
      <c r="B455" t="s">
        <v>72</v>
      </c>
      <c r="C455">
        <v>2026</v>
      </c>
      <c r="D455" t="s">
        <v>633</v>
      </c>
      <c r="E455" t="s">
        <v>1</v>
      </c>
      <c r="F455">
        <v>977</v>
      </c>
      <c r="G455" t="s">
        <v>54</v>
      </c>
      <c r="H455" t="s">
        <v>72</v>
      </c>
    </row>
    <row r="456" spans="1:8" x14ac:dyDescent="0.3">
      <c r="A456" t="s">
        <v>1053</v>
      </c>
      <c r="B456" t="s">
        <v>72</v>
      </c>
      <c r="C456">
        <v>2026</v>
      </c>
      <c r="D456" t="s">
        <v>633</v>
      </c>
      <c r="E456" t="s">
        <v>1</v>
      </c>
      <c r="F456">
        <v>9624031.3687827364</v>
      </c>
      <c r="G456" t="s">
        <v>36</v>
      </c>
      <c r="H456" t="s">
        <v>72</v>
      </c>
    </row>
    <row r="457" spans="1:8" x14ac:dyDescent="0.3">
      <c r="A457" t="s">
        <v>1937</v>
      </c>
      <c r="B457" t="s">
        <v>72</v>
      </c>
      <c r="C457">
        <v>2026</v>
      </c>
      <c r="D457" t="s">
        <v>633</v>
      </c>
      <c r="E457" t="s">
        <v>1885</v>
      </c>
      <c r="F457">
        <v>9782.0366006089225</v>
      </c>
      <c r="G457" t="s">
        <v>30</v>
      </c>
      <c r="H457" t="s">
        <v>72</v>
      </c>
    </row>
    <row r="458" spans="1:8" x14ac:dyDescent="0.3">
      <c r="A458" t="s">
        <v>1938</v>
      </c>
      <c r="B458" t="s">
        <v>72</v>
      </c>
      <c r="C458">
        <v>2026</v>
      </c>
      <c r="D458" t="s">
        <v>633</v>
      </c>
      <c r="E458" t="s">
        <v>1885</v>
      </c>
      <c r="F458">
        <v>1168</v>
      </c>
      <c r="G458" t="s">
        <v>54</v>
      </c>
      <c r="H458" t="s">
        <v>72</v>
      </c>
    </row>
    <row r="459" spans="1:8" x14ac:dyDescent="0.3">
      <c r="A459" t="s">
        <v>1939</v>
      </c>
      <c r="B459" t="s">
        <v>72</v>
      </c>
      <c r="C459">
        <v>2026</v>
      </c>
      <c r="D459" t="s">
        <v>633</v>
      </c>
      <c r="E459" t="s">
        <v>1885</v>
      </c>
      <c r="F459">
        <v>11425418.749511221</v>
      </c>
      <c r="G459" t="s">
        <v>36</v>
      </c>
      <c r="H459" t="s">
        <v>72</v>
      </c>
    </row>
    <row r="460" spans="1:8" x14ac:dyDescent="0.3">
      <c r="A460" t="s">
        <v>1054</v>
      </c>
      <c r="B460" t="s">
        <v>72</v>
      </c>
      <c r="C460">
        <v>2026</v>
      </c>
      <c r="D460" t="s">
        <v>633</v>
      </c>
      <c r="E460" t="s">
        <v>4</v>
      </c>
      <c r="F460">
        <v>9751.4194685409038</v>
      </c>
      <c r="G460" t="s">
        <v>30</v>
      </c>
      <c r="H460" t="s">
        <v>72</v>
      </c>
    </row>
    <row r="461" spans="1:8" x14ac:dyDescent="0.3">
      <c r="A461" t="s">
        <v>1055</v>
      </c>
      <c r="B461" t="s">
        <v>72</v>
      </c>
      <c r="C461">
        <v>2026</v>
      </c>
      <c r="D461" t="s">
        <v>633</v>
      </c>
      <c r="E461" t="s">
        <v>4</v>
      </c>
      <c r="F461">
        <v>1367</v>
      </c>
      <c r="G461" t="s">
        <v>54</v>
      </c>
      <c r="H461" t="s">
        <v>72</v>
      </c>
    </row>
    <row r="462" spans="1:8" x14ac:dyDescent="0.3">
      <c r="A462" t="s">
        <v>1056</v>
      </c>
      <c r="B462" t="s">
        <v>72</v>
      </c>
      <c r="C462">
        <v>2026</v>
      </c>
      <c r="D462" t="s">
        <v>633</v>
      </c>
      <c r="E462" t="s">
        <v>4</v>
      </c>
      <c r="F462">
        <v>13330190.413495416</v>
      </c>
      <c r="G462" t="s">
        <v>36</v>
      </c>
      <c r="H462" t="s">
        <v>72</v>
      </c>
    </row>
    <row r="463" spans="1:8" x14ac:dyDescent="0.3">
      <c r="A463" t="s">
        <v>1057</v>
      </c>
      <c r="B463" t="s">
        <v>72</v>
      </c>
      <c r="C463">
        <v>2026</v>
      </c>
      <c r="D463" t="s">
        <v>633</v>
      </c>
      <c r="E463" t="s">
        <v>38</v>
      </c>
      <c r="F463">
        <v>10013.461692503046</v>
      </c>
      <c r="G463" t="s">
        <v>30</v>
      </c>
      <c r="H463" t="s">
        <v>72</v>
      </c>
    </row>
    <row r="464" spans="1:8" x14ac:dyDescent="0.3">
      <c r="A464" t="s">
        <v>1058</v>
      </c>
      <c r="B464" t="s">
        <v>72</v>
      </c>
      <c r="C464">
        <v>2026</v>
      </c>
      <c r="D464" t="s">
        <v>633</v>
      </c>
      <c r="E464" t="s">
        <v>38</v>
      </c>
      <c r="F464">
        <v>329</v>
      </c>
      <c r="G464" t="s">
        <v>54</v>
      </c>
      <c r="H464" t="s">
        <v>72</v>
      </c>
    </row>
    <row r="465" spans="1:8" x14ac:dyDescent="0.3">
      <c r="A465" t="s">
        <v>1059</v>
      </c>
      <c r="B465" t="s">
        <v>72</v>
      </c>
      <c r="C465">
        <v>2026</v>
      </c>
      <c r="D465" t="s">
        <v>633</v>
      </c>
      <c r="E465" t="s">
        <v>38</v>
      </c>
      <c r="F465">
        <v>3294428.8968335022</v>
      </c>
      <c r="G465" t="s">
        <v>36</v>
      </c>
      <c r="H465" t="s">
        <v>72</v>
      </c>
    </row>
    <row r="466" spans="1:8" x14ac:dyDescent="0.3">
      <c r="A466" t="s">
        <v>1060</v>
      </c>
      <c r="B466" t="s">
        <v>73</v>
      </c>
      <c r="C466">
        <v>2026</v>
      </c>
      <c r="D466" t="s">
        <v>9</v>
      </c>
      <c r="E466" t="s">
        <v>53</v>
      </c>
      <c r="F466">
        <v>0</v>
      </c>
      <c r="G466" t="s">
        <v>30</v>
      </c>
      <c r="H466" t="s">
        <v>73</v>
      </c>
    </row>
    <row r="467" spans="1:8" x14ac:dyDescent="0.3">
      <c r="A467" t="s">
        <v>1061</v>
      </c>
      <c r="B467" t="s">
        <v>73</v>
      </c>
      <c r="C467">
        <v>2026</v>
      </c>
      <c r="D467" t="s">
        <v>9</v>
      </c>
      <c r="E467" t="s">
        <v>53</v>
      </c>
      <c r="F467">
        <v>0</v>
      </c>
      <c r="G467" t="s">
        <v>54</v>
      </c>
      <c r="H467" t="s">
        <v>73</v>
      </c>
    </row>
    <row r="468" spans="1:8" x14ac:dyDescent="0.3">
      <c r="A468" t="s">
        <v>1062</v>
      </c>
      <c r="B468" t="s">
        <v>73</v>
      </c>
      <c r="C468">
        <v>2026</v>
      </c>
      <c r="D468" t="s">
        <v>9</v>
      </c>
      <c r="E468" t="s">
        <v>53</v>
      </c>
      <c r="F468">
        <v>0</v>
      </c>
      <c r="G468" t="s">
        <v>36</v>
      </c>
      <c r="H468" t="s">
        <v>73</v>
      </c>
    </row>
    <row r="469" spans="1:8" x14ac:dyDescent="0.3">
      <c r="A469" t="s">
        <v>1063</v>
      </c>
      <c r="B469" t="s">
        <v>73</v>
      </c>
      <c r="C469">
        <v>2026</v>
      </c>
      <c r="D469" t="s">
        <v>9</v>
      </c>
      <c r="E469" t="s">
        <v>63</v>
      </c>
      <c r="F469">
        <v>9417.6606177857848</v>
      </c>
      <c r="G469" t="s">
        <v>30</v>
      </c>
      <c r="H469" t="s">
        <v>73</v>
      </c>
    </row>
    <row r="470" spans="1:8" x14ac:dyDescent="0.3">
      <c r="A470" t="s">
        <v>1064</v>
      </c>
      <c r="B470" t="s">
        <v>73</v>
      </c>
      <c r="C470">
        <v>2026</v>
      </c>
      <c r="D470" t="s">
        <v>9</v>
      </c>
      <c r="E470" t="s">
        <v>63</v>
      </c>
      <c r="F470">
        <v>6</v>
      </c>
      <c r="G470" t="s">
        <v>54</v>
      </c>
      <c r="H470" t="s">
        <v>73</v>
      </c>
    </row>
    <row r="471" spans="1:8" x14ac:dyDescent="0.3">
      <c r="A471" t="s">
        <v>1065</v>
      </c>
      <c r="B471" t="s">
        <v>73</v>
      </c>
      <c r="C471">
        <v>2026</v>
      </c>
      <c r="D471" t="s">
        <v>9</v>
      </c>
      <c r="E471" t="s">
        <v>63</v>
      </c>
      <c r="F471">
        <v>56505.963706714712</v>
      </c>
      <c r="G471" t="s">
        <v>36</v>
      </c>
      <c r="H471" t="s">
        <v>73</v>
      </c>
    </row>
    <row r="472" spans="1:8" x14ac:dyDescent="0.3">
      <c r="A472" t="s">
        <v>1066</v>
      </c>
      <c r="B472" t="s">
        <v>73</v>
      </c>
      <c r="C472">
        <v>2026</v>
      </c>
      <c r="D472" t="s">
        <v>9</v>
      </c>
      <c r="E472" t="s">
        <v>3</v>
      </c>
      <c r="F472">
        <v>19799.834007261481</v>
      </c>
      <c r="G472" t="s">
        <v>30</v>
      </c>
      <c r="H472" t="s">
        <v>73</v>
      </c>
    </row>
    <row r="473" spans="1:8" x14ac:dyDescent="0.3">
      <c r="A473" t="s">
        <v>1067</v>
      </c>
      <c r="B473" t="s">
        <v>73</v>
      </c>
      <c r="C473">
        <v>2026</v>
      </c>
      <c r="D473" t="s">
        <v>9</v>
      </c>
      <c r="E473" t="s">
        <v>3</v>
      </c>
      <c r="F473">
        <v>63</v>
      </c>
      <c r="G473" t="s">
        <v>54</v>
      </c>
      <c r="H473" t="s">
        <v>73</v>
      </c>
    </row>
    <row r="474" spans="1:8" x14ac:dyDescent="0.3">
      <c r="A474" t="s">
        <v>1068</v>
      </c>
      <c r="B474" t="s">
        <v>73</v>
      </c>
      <c r="C474">
        <v>2026</v>
      </c>
      <c r="D474" t="s">
        <v>9</v>
      </c>
      <c r="E474" t="s">
        <v>3</v>
      </c>
      <c r="F474">
        <v>1247389.5424574732</v>
      </c>
      <c r="G474" t="s">
        <v>36</v>
      </c>
      <c r="H474" t="s">
        <v>73</v>
      </c>
    </row>
    <row r="475" spans="1:8" x14ac:dyDescent="0.3">
      <c r="A475" t="s">
        <v>1069</v>
      </c>
      <c r="B475" t="s">
        <v>73</v>
      </c>
      <c r="C475">
        <v>2026</v>
      </c>
      <c r="D475" t="s">
        <v>9</v>
      </c>
      <c r="E475" t="s">
        <v>2</v>
      </c>
      <c r="F475">
        <v>10107.581427540044</v>
      </c>
      <c r="G475" t="s">
        <v>30</v>
      </c>
      <c r="H475" t="s">
        <v>73</v>
      </c>
    </row>
    <row r="476" spans="1:8" x14ac:dyDescent="0.3">
      <c r="A476" t="s">
        <v>1070</v>
      </c>
      <c r="B476" t="s">
        <v>73</v>
      </c>
      <c r="C476">
        <v>2026</v>
      </c>
      <c r="D476" t="s">
        <v>9</v>
      </c>
      <c r="E476" t="s">
        <v>2</v>
      </c>
      <c r="F476">
        <v>213</v>
      </c>
      <c r="G476" t="s">
        <v>54</v>
      </c>
      <c r="H476" t="s">
        <v>73</v>
      </c>
    </row>
    <row r="477" spans="1:8" x14ac:dyDescent="0.3">
      <c r="A477" t="s">
        <v>1071</v>
      </c>
      <c r="B477" t="s">
        <v>73</v>
      </c>
      <c r="C477">
        <v>2026</v>
      </c>
      <c r="D477" t="s">
        <v>9</v>
      </c>
      <c r="E477" t="s">
        <v>2</v>
      </c>
      <c r="F477">
        <v>2152914.8440660294</v>
      </c>
      <c r="G477" t="s">
        <v>36</v>
      </c>
      <c r="H477" t="s">
        <v>73</v>
      </c>
    </row>
    <row r="478" spans="1:8" x14ac:dyDescent="0.3">
      <c r="A478" t="s">
        <v>1072</v>
      </c>
      <c r="B478" t="s">
        <v>73</v>
      </c>
      <c r="C478">
        <v>2026</v>
      </c>
      <c r="D478" t="s">
        <v>9</v>
      </c>
      <c r="E478" t="s">
        <v>1</v>
      </c>
      <c r="F478">
        <v>12028.161495088445</v>
      </c>
      <c r="G478" t="s">
        <v>30</v>
      </c>
      <c r="H478" t="s">
        <v>73</v>
      </c>
    </row>
    <row r="479" spans="1:8" x14ac:dyDescent="0.3">
      <c r="A479" t="s">
        <v>1073</v>
      </c>
      <c r="B479" t="s">
        <v>73</v>
      </c>
      <c r="C479">
        <v>2026</v>
      </c>
      <c r="D479" t="s">
        <v>9</v>
      </c>
      <c r="E479" t="s">
        <v>1</v>
      </c>
      <c r="F479">
        <v>1129</v>
      </c>
      <c r="G479" t="s">
        <v>54</v>
      </c>
      <c r="H479" t="s">
        <v>73</v>
      </c>
    </row>
    <row r="480" spans="1:8" x14ac:dyDescent="0.3">
      <c r="A480" t="s">
        <v>1074</v>
      </c>
      <c r="B480" t="s">
        <v>73</v>
      </c>
      <c r="C480">
        <v>2026</v>
      </c>
      <c r="D480" t="s">
        <v>9</v>
      </c>
      <c r="E480" t="s">
        <v>1</v>
      </c>
      <c r="F480">
        <v>13579794.327954855</v>
      </c>
      <c r="G480" t="s">
        <v>36</v>
      </c>
      <c r="H480" t="s">
        <v>73</v>
      </c>
    </row>
    <row r="481" spans="1:8" x14ac:dyDescent="0.3">
      <c r="A481" t="s">
        <v>1940</v>
      </c>
      <c r="B481" t="s">
        <v>73</v>
      </c>
      <c r="C481">
        <v>2026</v>
      </c>
      <c r="D481" t="s">
        <v>9</v>
      </c>
      <c r="E481" t="s">
        <v>1885</v>
      </c>
      <c r="F481">
        <v>11646.043328113708</v>
      </c>
      <c r="G481" t="s">
        <v>30</v>
      </c>
      <c r="H481" t="s">
        <v>73</v>
      </c>
    </row>
    <row r="482" spans="1:8" x14ac:dyDescent="0.3">
      <c r="A482" t="s">
        <v>1941</v>
      </c>
      <c r="B482" t="s">
        <v>73</v>
      </c>
      <c r="C482">
        <v>2026</v>
      </c>
      <c r="D482" t="s">
        <v>9</v>
      </c>
      <c r="E482" t="s">
        <v>1885</v>
      </c>
      <c r="F482">
        <v>2206</v>
      </c>
      <c r="G482" t="s">
        <v>54</v>
      </c>
      <c r="H482" t="s">
        <v>73</v>
      </c>
    </row>
    <row r="483" spans="1:8" x14ac:dyDescent="0.3">
      <c r="A483" t="s">
        <v>1942</v>
      </c>
      <c r="B483" t="s">
        <v>73</v>
      </c>
      <c r="C483">
        <v>2026</v>
      </c>
      <c r="D483" t="s">
        <v>9</v>
      </c>
      <c r="E483" t="s">
        <v>1885</v>
      </c>
      <c r="F483">
        <v>25691171.581818841</v>
      </c>
      <c r="G483" t="s">
        <v>36</v>
      </c>
      <c r="H483" t="s">
        <v>73</v>
      </c>
    </row>
    <row r="484" spans="1:8" x14ac:dyDescent="0.3">
      <c r="A484" t="s">
        <v>1075</v>
      </c>
      <c r="B484" t="s">
        <v>73</v>
      </c>
      <c r="C484">
        <v>2026</v>
      </c>
      <c r="D484" t="s">
        <v>9</v>
      </c>
      <c r="E484" t="s">
        <v>4</v>
      </c>
      <c r="F484">
        <v>11683.863087273059</v>
      </c>
      <c r="G484" t="s">
        <v>30</v>
      </c>
      <c r="H484" t="s">
        <v>73</v>
      </c>
    </row>
    <row r="485" spans="1:8" x14ac:dyDescent="0.3">
      <c r="A485" t="s">
        <v>1076</v>
      </c>
      <c r="B485" t="s">
        <v>73</v>
      </c>
      <c r="C485">
        <v>2026</v>
      </c>
      <c r="D485" t="s">
        <v>9</v>
      </c>
      <c r="E485" t="s">
        <v>4</v>
      </c>
      <c r="F485">
        <v>1966</v>
      </c>
      <c r="G485" t="s">
        <v>54</v>
      </c>
      <c r="H485" t="s">
        <v>73</v>
      </c>
    </row>
    <row r="486" spans="1:8" x14ac:dyDescent="0.3">
      <c r="A486" t="s">
        <v>1077</v>
      </c>
      <c r="B486" t="s">
        <v>73</v>
      </c>
      <c r="C486">
        <v>2026</v>
      </c>
      <c r="D486" t="s">
        <v>9</v>
      </c>
      <c r="E486" t="s">
        <v>4</v>
      </c>
      <c r="F486">
        <v>22970474.829578836</v>
      </c>
      <c r="G486" t="s">
        <v>36</v>
      </c>
      <c r="H486" t="s">
        <v>73</v>
      </c>
    </row>
    <row r="487" spans="1:8" x14ac:dyDescent="0.3">
      <c r="A487" t="s">
        <v>1078</v>
      </c>
      <c r="B487" t="s">
        <v>73</v>
      </c>
      <c r="C487">
        <v>2026</v>
      </c>
      <c r="D487" t="s">
        <v>9</v>
      </c>
      <c r="E487" t="s">
        <v>38</v>
      </c>
      <c r="F487">
        <v>10691.657930439214</v>
      </c>
      <c r="G487" t="s">
        <v>30</v>
      </c>
      <c r="H487" t="s">
        <v>73</v>
      </c>
    </row>
    <row r="488" spans="1:8" x14ac:dyDescent="0.3">
      <c r="A488" t="s">
        <v>1079</v>
      </c>
      <c r="B488" t="s">
        <v>73</v>
      </c>
      <c r="C488">
        <v>2026</v>
      </c>
      <c r="D488" t="s">
        <v>9</v>
      </c>
      <c r="E488" t="s">
        <v>38</v>
      </c>
      <c r="F488">
        <v>555</v>
      </c>
      <c r="G488" t="s">
        <v>54</v>
      </c>
      <c r="H488" t="s">
        <v>73</v>
      </c>
    </row>
    <row r="489" spans="1:8" x14ac:dyDescent="0.3">
      <c r="A489" t="s">
        <v>1080</v>
      </c>
      <c r="B489" t="s">
        <v>73</v>
      </c>
      <c r="C489">
        <v>2026</v>
      </c>
      <c r="D489" t="s">
        <v>9</v>
      </c>
      <c r="E489" t="s">
        <v>38</v>
      </c>
      <c r="F489">
        <v>5933870.1513937637</v>
      </c>
      <c r="G489" t="s">
        <v>36</v>
      </c>
      <c r="H489" t="s">
        <v>73</v>
      </c>
    </row>
    <row r="490" spans="1:8" x14ac:dyDescent="0.3">
      <c r="A490" t="s">
        <v>1081</v>
      </c>
      <c r="B490" t="s">
        <v>74</v>
      </c>
      <c r="C490">
        <v>2026</v>
      </c>
      <c r="D490" t="s">
        <v>13</v>
      </c>
      <c r="E490" t="s">
        <v>53</v>
      </c>
      <c r="F490">
        <v>18895.844093440362</v>
      </c>
      <c r="G490" t="s">
        <v>30</v>
      </c>
      <c r="H490" t="s">
        <v>74</v>
      </c>
    </row>
    <row r="491" spans="1:8" x14ac:dyDescent="0.3">
      <c r="A491" t="s">
        <v>1082</v>
      </c>
      <c r="B491" t="s">
        <v>74</v>
      </c>
      <c r="C491">
        <v>2026</v>
      </c>
      <c r="D491" t="s">
        <v>13</v>
      </c>
      <c r="E491" t="s">
        <v>53</v>
      </c>
      <c r="F491">
        <v>18</v>
      </c>
      <c r="G491" t="s">
        <v>54</v>
      </c>
      <c r="H491" t="s">
        <v>74</v>
      </c>
    </row>
    <row r="492" spans="1:8" x14ac:dyDescent="0.3">
      <c r="A492" t="s">
        <v>1083</v>
      </c>
      <c r="B492" t="s">
        <v>74</v>
      </c>
      <c r="C492">
        <v>2026</v>
      </c>
      <c r="D492" t="s">
        <v>13</v>
      </c>
      <c r="E492" t="s">
        <v>53</v>
      </c>
      <c r="F492">
        <v>340125.19368192652</v>
      </c>
      <c r="G492" t="s">
        <v>36</v>
      </c>
      <c r="H492" t="s">
        <v>74</v>
      </c>
    </row>
    <row r="493" spans="1:8" x14ac:dyDescent="0.3">
      <c r="A493" t="s">
        <v>1084</v>
      </c>
      <c r="B493" t="s">
        <v>74</v>
      </c>
      <c r="C493">
        <v>2026</v>
      </c>
      <c r="D493" t="s">
        <v>13</v>
      </c>
      <c r="E493" t="s">
        <v>63</v>
      </c>
      <c r="F493">
        <v>9244.5499550218174</v>
      </c>
      <c r="G493" t="s">
        <v>30</v>
      </c>
      <c r="H493" t="s">
        <v>74</v>
      </c>
    </row>
    <row r="494" spans="1:8" x14ac:dyDescent="0.3">
      <c r="A494" t="s">
        <v>1085</v>
      </c>
      <c r="B494" t="s">
        <v>74</v>
      </c>
      <c r="C494">
        <v>2026</v>
      </c>
      <c r="D494" t="s">
        <v>13</v>
      </c>
      <c r="E494" t="s">
        <v>63</v>
      </c>
      <c r="F494">
        <v>2</v>
      </c>
      <c r="G494" t="s">
        <v>54</v>
      </c>
      <c r="H494" t="s">
        <v>74</v>
      </c>
    </row>
    <row r="495" spans="1:8" x14ac:dyDescent="0.3">
      <c r="A495" t="s">
        <v>1086</v>
      </c>
      <c r="B495" t="s">
        <v>74</v>
      </c>
      <c r="C495">
        <v>2026</v>
      </c>
      <c r="D495" t="s">
        <v>13</v>
      </c>
      <c r="E495" t="s">
        <v>63</v>
      </c>
      <c r="F495">
        <v>18489.099910043635</v>
      </c>
      <c r="G495" t="s">
        <v>36</v>
      </c>
      <c r="H495" t="s">
        <v>74</v>
      </c>
    </row>
    <row r="496" spans="1:8" x14ac:dyDescent="0.3">
      <c r="A496" t="s">
        <v>1087</v>
      </c>
      <c r="B496" t="s">
        <v>74</v>
      </c>
      <c r="C496">
        <v>2026</v>
      </c>
      <c r="D496" t="s">
        <v>13</v>
      </c>
      <c r="E496" t="s">
        <v>3</v>
      </c>
      <c r="F496">
        <v>12059.576493147824</v>
      </c>
      <c r="G496" t="s">
        <v>30</v>
      </c>
      <c r="H496" t="s">
        <v>74</v>
      </c>
    </row>
    <row r="497" spans="1:8" x14ac:dyDescent="0.3">
      <c r="A497" t="s">
        <v>1088</v>
      </c>
      <c r="B497" t="s">
        <v>74</v>
      </c>
      <c r="C497">
        <v>2026</v>
      </c>
      <c r="D497" t="s">
        <v>13</v>
      </c>
      <c r="E497" t="s">
        <v>3</v>
      </c>
      <c r="F497">
        <v>50</v>
      </c>
      <c r="G497" t="s">
        <v>54</v>
      </c>
      <c r="H497" t="s">
        <v>74</v>
      </c>
    </row>
    <row r="498" spans="1:8" x14ac:dyDescent="0.3">
      <c r="A498" t="s">
        <v>1089</v>
      </c>
      <c r="B498" t="s">
        <v>74</v>
      </c>
      <c r="C498">
        <v>2026</v>
      </c>
      <c r="D498" t="s">
        <v>13</v>
      </c>
      <c r="E498" t="s">
        <v>3</v>
      </c>
      <c r="F498">
        <v>602978.82465739117</v>
      </c>
      <c r="G498" t="s">
        <v>36</v>
      </c>
      <c r="H498" t="s">
        <v>74</v>
      </c>
    </row>
    <row r="499" spans="1:8" x14ac:dyDescent="0.3">
      <c r="A499" t="s">
        <v>1090</v>
      </c>
      <c r="B499" t="s">
        <v>74</v>
      </c>
      <c r="C499">
        <v>2026</v>
      </c>
      <c r="D499" t="s">
        <v>13</v>
      </c>
      <c r="E499" t="s">
        <v>2</v>
      </c>
      <c r="F499">
        <v>6552.7624446689551</v>
      </c>
      <c r="G499" t="s">
        <v>30</v>
      </c>
      <c r="H499" t="s">
        <v>74</v>
      </c>
    </row>
    <row r="500" spans="1:8" x14ac:dyDescent="0.3">
      <c r="A500" t="s">
        <v>1091</v>
      </c>
      <c r="B500" t="s">
        <v>74</v>
      </c>
      <c r="C500">
        <v>2026</v>
      </c>
      <c r="D500" t="s">
        <v>13</v>
      </c>
      <c r="E500" t="s">
        <v>2</v>
      </c>
      <c r="F500">
        <v>87</v>
      </c>
      <c r="G500" t="s">
        <v>54</v>
      </c>
      <c r="H500" t="s">
        <v>74</v>
      </c>
    </row>
    <row r="501" spans="1:8" x14ac:dyDescent="0.3">
      <c r="A501" t="s">
        <v>1092</v>
      </c>
      <c r="B501" t="s">
        <v>74</v>
      </c>
      <c r="C501">
        <v>2026</v>
      </c>
      <c r="D501" t="s">
        <v>13</v>
      </c>
      <c r="E501" t="s">
        <v>2</v>
      </c>
      <c r="F501">
        <v>570090.33268619911</v>
      </c>
      <c r="G501" t="s">
        <v>36</v>
      </c>
      <c r="H501" t="s">
        <v>74</v>
      </c>
    </row>
    <row r="502" spans="1:8" x14ac:dyDescent="0.3">
      <c r="A502" t="s">
        <v>1093</v>
      </c>
      <c r="B502" t="s">
        <v>74</v>
      </c>
      <c r="C502">
        <v>2026</v>
      </c>
      <c r="D502" t="s">
        <v>13</v>
      </c>
      <c r="E502" t="s">
        <v>1</v>
      </c>
      <c r="F502">
        <v>11628.160542809641</v>
      </c>
      <c r="G502" t="s">
        <v>30</v>
      </c>
      <c r="H502" t="s">
        <v>74</v>
      </c>
    </row>
    <row r="503" spans="1:8" x14ac:dyDescent="0.3">
      <c r="A503" t="s">
        <v>1094</v>
      </c>
      <c r="B503" t="s">
        <v>74</v>
      </c>
      <c r="C503">
        <v>2026</v>
      </c>
      <c r="D503" t="s">
        <v>13</v>
      </c>
      <c r="E503" t="s">
        <v>1</v>
      </c>
      <c r="F503">
        <v>574</v>
      </c>
      <c r="G503" t="s">
        <v>54</v>
      </c>
      <c r="H503" t="s">
        <v>74</v>
      </c>
    </row>
    <row r="504" spans="1:8" x14ac:dyDescent="0.3">
      <c r="A504" t="s">
        <v>1095</v>
      </c>
      <c r="B504" t="s">
        <v>74</v>
      </c>
      <c r="C504">
        <v>2026</v>
      </c>
      <c r="D504" t="s">
        <v>13</v>
      </c>
      <c r="E504" t="s">
        <v>1</v>
      </c>
      <c r="F504">
        <v>6674564.1515727341</v>
      </c>
      <c r="G504" t="s">
        <v>36</v>
      </c>
      <c r="H504" t="s">
        <v>74</v>
      </c>
    </row>
    <row r="505" spans="1:8" x14ac:dyDescent="0.3">
      <c r="A505" t="s">
        <v>1943</v>
      </c>
      <c r="B505" t="s">
        <v>74</v>
      </c>
      <c r="C505">
        <v>2026</v>
      </c>
      <c r="D505" t="s">
        <v>13</v>
      </c>
      <c r="E505" t="s">
        <v>1885</v>
      </c>
      <c r="F505">
        <v>11122.19521823176</v>
      </c>
      <c r="G505" t="s">
        <v>30</v>
      </c>
      <c r="H505" t="s">
        <v>74</v>
      </c>
    </row>
    <row r="506" spans="1:8" x14ac:dyDescent="0.3">
      <c r="A506" t="s">
        <v>1944</v>
      </c>
      <c r="B506" t="s">
        <v>74</v>
      </c>
      <c r="C506">
        <v>2026</v>
      </c>
      <c r="D506" t="s">
        <v>13</v>
      </c>
      <c r="E506" t="s">
        <v>1885</v>
      </c>
      <c r="F506">
        <v>1367</v>
      </c>
      <c r="G506" t="s">
        <v>54</v>
      </c>
      <c r="H506" t="s">
        <v>74</v>
      </c>
    </row>
    <row r="507" spans="1:8" x14ac:dyDescent="0.3">
      <c r="A507" t="s">
        <v>1945</v>
      </c>
      <c r="B507" t="s">
        <v>74</v>
      </c>
      <c r="C507">
        <v>2026</v>
      </c>
      <c r="D507" t="s">
        <v>13</v>
      </c>
      <c r="E507" t="s">
        <v>1885</v>
      </c>
      <c r="F507">
        <v>15204040.863322817</v>
      </c>
      <c r="G507" t="s">
        <v>36</v>
      </c>
      <c r="H507" t="s">
        <v>74</v>
      </c>
    </row>
    <row r="508" spans="1:8" x14ac:dyDescent="0.3">
      <c r="A508" t="s">
        <v>1096</v>
      </c>
      <c r="B508" t="s">
        <v>74</v>
      </c>
      <c r="C508">
        <v>2026</v>
      </c>
      <c r="D508" t="s">
        <v>13</v>
      </c>
      <c r="E508" t="s">
        <v>4</v>
      </c>
      <c r="F508">
        <v>11069.00790972578</v>
      </c>
      <c r="G508" t="s">
        <v>30</v>
      </c>
      <c r="H508" t="s">
        <v>74</v>
      </c>
    </row>
    <row r="509" spans="1:8" x14ac:dyDescent="0.3">
      <c r="A509" t="s">
        <v>1097</v>
      </c>
      <c r="B509" t="s">
        <v>74</v>
      </c>
      <c r="C509">
        <v>2026</v>
      </c>
      <c r="D509" t="s">
        <v>13</v>
      </c>
      <c r="E509" t="s">
        <v>4</v>
      </c>
      <c r="F509">
        <v>1305</v>
      </c>
      <c r="G509" t="s">
        <v>54</v>
      </c>
      <c r="H509" t="s">
        <v>74</v>
      </c>
    </row>
    <row r="510" spans="1:8" x14ac:dyDescent="0.3">
      <c r="A510" t="s">
        <v>1098</v>
      </c>
      <c r="B510" t="s">
        <v>74</v>
      </c>
      <c r="C510">
        <v>2026</v>
      </c>
      <c r="D510" t="s">
        <v>13</v>
      </c>
      <c r="E510" t="s">
        <v>4</v>
      </c>
      <c r="F510">
        <v>14445055.322192144</v>
      </c>
      <c r="G510" t="s">
        <v>36</v>
      </c>
      <c r="H510" t="s">
        <v>74</v>
      </c>
    </row>
    <row r="511" spans="1:8" x14ac:dyDescent="0.3">
      <c r="A511" t="s">
        <v>1099</v>
      </c>
      <c r="B511" t="s">
        <v>74</v>
      </c>
      <c r="C511">
        <v>2026</v>
      </c>
      <c r="D511" t="s">
        <v>13</v>
      </c>
      <c r="E511" t="s">
        <v>38</v>
      </c>
      <c r="F511">
        <v>10869.002995964895</v>
      </c>
      <c r="G511" t="s">
        <v>30</v>
      </c>
      <c r="H511" t="s">
        <v>74</v>
      </c>
    </row>
    <row r="512" spans="1:8" x14ac:dyDescent="0.3">
      <c r="A512" t="s">
        <v>1100</v>
      </c>
      <c r="B512" t="s">
        <v>74</v>
      </c>
      <c r="C512">
        <v>2026</v>
      </c>
      <c r="D512" t="s">
        <v>13</v>
      </c>
      <c r="E512" t="s">
        <v>38</v>
      </c>
      <c r="F512">
        <v>574</v>
      </c>
      <c r="G512" t="s">
        <v>54</v>
      </c>
      <c r="H512" t="s">
        <v>74</v>
      </c>
    </row>
    <row r="513" spans="1:8" x14ac:dyDescent="0.3">
      <c r="A513" t="s">
        <v>1101</v>
      </c>
      <c r="B513" t="s">
        <v>74</v>
      </c>
      <c r="C513">
        <v>2026</v>
      </c>
      <c r="D513" t="s">
        <v>13</v>
      </c>
      <c r="E513" t="s">
        <v>38</v>
      </c>
      <c r="F513">
        <v>6238807.7196838493</v>
      </c>
      <c r="G513" t="s">
        <v>36</v>
      </c>
      <c r="H513" t="s">
        <v>74</v>
      </c>
    </row>
    <row r="514" spans="1:8" x14ac:dyDescent="0.3">
      <c r="A514" t="s">
        <v>1102</v>
      </c>
      <c r="B514" t="s">
        <v>75</v>
      </c>
      <c r="C514">
        <v>2026</v>
      </c>
      <c r="D514" t="s">
        <v>21</v>
      </c>
      <c r="E514" t="s">
        <v>53</v>
      </c>
      <c r="F514">
        <v>0</v>
      </c>
      <c r="G514" t="s">
        <v>30</v>
      </c>
      <c r="H514" t="s">
        <v>75</v>
      </c>
    </row>
    <row r="515" spans="1:8" x14ac:dyDescent="0.3">
      <c r="A515" t="s">
        <v>1103</v>
      </c>
      <c r="B515" t="s">
        <v>75</v>
      </c>
      <c r="C515">
        <v>2026</v>
      </c>
      <c r="D515" t="s">
        <v>21</v>
      </c>
      <c r="E515" t="s">
        <v>53</v>
      </c>
      <c r="F515">
        <v>0</v>
      </c>
      <c r="G515" t="s">
        <v>54</v>
      </c>
      <c r="H515" t="s">
        <v>75</v>
      </c>
    </row>
    <row r="516" spans="1:8" x14ac:dyDescent="0.3">
      <c r="A516" t="s">
        <v>1104</v>
      </c>
      <c r="B516" t="s">
        <v>75</v>
      </c>
      <c r="C516">
        <v>2026</v>
      </c>
      <c r="D516" t="s">
        <v>21</v>
      </c>
      <c r="E516" t="s">
        <v>53</v>
      </c>
      <c r="F516">
        <v>0</v>
      </c>
      <c r="G516" t="s">
        <v>36</v>
      </c>
      <c r="H516" t="s">
        <v>75</v>
      </c>
    </row>
    <row r="517" spans="1:8" x14ac:dyDescent="0.3">
      <c r="A517" t="s">
        <v>1105</v>
      </c>
      <c r="B517" t="s">
        <v>75</v>
      </c>
      <c r="C517">
        <v>2026</v>
      </c>
      <c r="D517" t="s">
        <v>21</v>
      </c>
      <c r="E517" t="s">
        <v>63</v>
      </c>
      <c r="F517">
        <v>12264.437810447798</v>
      </c>
      <c r="G517" t="s">
        <v>30</v>
      </c>
      <c r="H517" t="s">
        <v>75</v>
      </c>
    </row>
    <row r="518" spans="1:8" x14ac:dyDescent="0.3">
      <c r="A518" t="s">
        <v>1106</v>
      </c>
      <c r="B518" t="s">
        <v>75</v>
      </c>
      <c r="C518">
        <v>2026</v>
      </c>
      <c r="D518" t="s">
        <v>21</v>
      </c>
      <c r="E518" t="s">
        <v>63</v>
      </c>
      <c r="F518">
        <v>4</v>
      </c>
      <c r="G518" t="s">
        <v>54</v>
      </c>
      <c r="H518" t="s">
        <v>75</v>
      </c>
    </row>
    <row r="519" spans="1:8" x14ac:dyDescent="0.3">
      <c r="A519" t="s">
        <v>1107</v>
      </c>
      <c r="B519" t="s">
        <v>75</v>
      </c>
      <c r="C519">
        <v>2026</v>
      </c>
      <c r="D519" t="s">
        <v>21</v>
      </c>
      <c r="E519" t="s">
        <v>63</v>
      </c>
      <c r="F519">
        <v>49057.751241791193</v>
      </c>
      <c r="G519" t="s">
        <v>36</v>
      </c>
      <c r="H519" t="s">
        <v>75</v>
      </c>
    </row>
    <row r="520" spans="1:8" x14ac:dyDescent="0.3">
      <c r="A520" t="s">
        <v>1108</v>
      </c>
      <c r="B520" t="s">
        <v>75</v>
      </c>
      <c r="C520">
        <v>2026</v>
      </c>
      <c r="D520" t="s">
        <v>21</v>
      </c>
      <c r="E520" t="s">
        <v>3</v>
      </c>
      <c r="F520">
        <v>38138.558975887485</v>
      </c>
      <c r="G520" t="s">
        <v>30</v>
      </c>
      <c r="H520" t="s">
        <v>75</v>
      </c>
    </row>
    <row r="521" spans="1:8" x14ac:dyDescent="0.3">
      <c r="A521" t="s">
        <v>1109</v>
      </c>
      <c r="B521" t="s">
        <v>75</v>
      </c>
      <c r="C521">
        <v>2026</v>
      </c>
      <c r="D521" t="s">
        <v>21</v>
      </c>
      <c r="E521" t="s">
        <v>3</v>
      </c>
      <c r="F521">
        <v>29</v>
      </c>
      <c r="G521" t="s">
        <v>54</v>
      </c>
      <c r="H521" t="s">
        <v>75</v>
      </c>
    </row>
    <row r="522" spans="1:8" x14ac:dyDescent="0.3">
      <c r="A522" t="s">
        <v>1110</v>
      </c>
      <c r="B522" t="s">
        <v>75</v>
      </c>
      <c r="C522">
        <v>2026</v>
      </c>
      <c r="D522" t="s">
        <v>21</v>
      </c>
      <c r="E522" t="s">
        <v>3</v>
      </c>
      <c r="F522">
        <v>1106018.2103007371</v>
      </c>
      <c r="G522" t="s">
        <v>36</v>
      </c>
      <c r="H522" t="s">
        <v>75</v>
      </c>
    </row>
    <row r="523" spans="1:8" x14ac:dyDescent="0.3">
      <c r="A523" t="s">
        <v>1111</v>
      </c>
      <c r="B523" t="s">
        <v>75</v>
      </c>
      <c r="C523">
        <v>2026</v>
      </c>
      <c r="D523" t="s">
        <v>21</v>
      </c>
      <c r="E523" t="s">
        <v>2</v>
      </c>
      <c r="F523">
        <v>11945.748117893465</v>
      </c>
      <c r="G523" t="s">
        <v>30</v>
      </c>
      <c r="H523" t="s">
        <v>75</v>
      </c>
    </row>
    <row r="524" spans="1:8" x14ac:dyDescent="0.3">
      <c r="A524" t="s">
        <v>1112</v>
      </c>
      <c r="B524" t="s">
        <v>75</v>
      </c>
      <c r="C524">
        <v>2026</v>
      </c>
      <c r="D524" t="s">
        <v>21</v>
      </c>
      <c r="E524" t="s">
        <v>2</v>
      </c>
      <c r="F524">
        <v>112</v>
      </c>
      <c r="G524" t="s">
        <v>54</v>
      </c>
      <c r="H524" t="s">
        <v>75</v>
      </c>
    </row>
    <row r="525" spans="1:8" x14ac:dyDescent="0.3">
      <c r="A525" t="s">
        <v>1113</v>
      </c>
      <c r="B525" t="s">
        <v>75</v>
      </c>
      <c r="C525">
        <v>2026</v>
      </c>
      <c r="D525" t="s">
        <v>21</v>
      </c>
      <c r="E525" t="s">
        <v>2</v>
      </c>
      <c r="F525">
        <v>1337923.789204068</v>
      </c>
      <c r="G525" t="s">
        <v>36</v>
      </c>
      <c r="H525" t="s">
        <v>75</v>
      </c>
    </row>
    <row r="526" spans="1:8" x14ac:dyDescent="0.3">
      <c r="A526" t="s">
        <v>1114</v>
      </c>
      <c r="B526" t="s">
        <v>75</v>
      </c>
      <c r="C526">
        <v>2026</v>
      </c>
      <c r="D526" t="s">
        <v>21</v>
      </c>
      <c r="E526" t="s">
        <v>1</v>
      </c>
      <c r="F526">
        <v>12874.126708339954</v>
      </c>
      <c r="G526" t="s">
        <v>30</v>
      </c>
      <c r="H526" t="s">
        <v>75</v>
      </c>
    </row>
    <row r="527" spans="1:8" x14ac:dyDescent="0.3">
      <c r="A527" t="s">
        <v>1115</v>
      </c>
      <c r="B527" t="s">
        <v>75</v>
      </c>
      <c r="C527">
        <v>2026</v>
      </c>
      <c r="D527" t="s">
        <v>21</v>
      </c>
      <c r="E527" t="s">
        <v>1</v>
      </c>
      <c r="F527">
        <v>781</v>
      </c>
      <c r="G527" t="s">
        <v>54</v>
      </c>
      <c r="H527" t="s">
        <v>75</v>
      </c>
    </row>
    <row r="528" spans="1:8" x14ac:dyDescent="0.3">
      <c r="A528" t="s">
        <v>1116</v>
      </c>
      <c r="B528" t="s">
        <v>75</v>
      </c>
      <c r="C528">
        <v>2026</v>
      </c>
      <c r="D528" t="s">
        <v>21</v>
      </c>
      <c r="E528" t="s">
        <v>1</v>
      </c>
      <c r="F528">
        <v>10054692.959213505</v>
      </c>
      <c r="G528" t="s">
        <v>36</v>
      </c>
      <c r="H528" t="s">
        <v>75</v>
      </c>
    </row>
    <row r="529" spans="1:8" x14ac:dyDescent="0.3">
      <c r="A529" t="s">
        <v>1946</v>
      </c>
      <c r="B529" t="s">
        <v>75</v>
      </c>
      <c r="C529">
        <v>2026</v>
      </c>
      <c r="D529" t="s">
        <v>21</v>
      </c>
      <c r="E529" t="s">
        <v>1885</v>
      </c>
      <c r="F529">
        <v>12887.105125904325</v>
      </c>
      <c r="G529" t="s">
        <v>30</v>
      </c>
      <c r="H529" t="s">
        <v>75</v>
      </c>
    </row>
    <row r="530" spans="1:8" x14ac:dyDescent="0.3">
      <c r="A530" t="s">
        <v>1947</v>
      </c>
      <c r="B530" t="s">
        <v>75</v>
      </c>
      <c r="C530">
        <v>2026</v>
      </c>
      <c r="D530" t="s">
        <v>21</v>
      </c>
      <c r="E530" t="s">
        <v>1885</v>
      </c>
      <c r="F530">
        <v>1761</v>
      </c>
      <c r="G530" t="s">
        <v>54</v>
      </c>
      <c r="H530" t="s">
        <v>75</v>
      </c>
    </row>
    <row r="531" spans="1:8" x14ac:dyDescent="0.3">
      <c r="A531" t="s">
        <v>1948</v>
      </c>
      <c r="B531" t="s">
        <v>75</v>
      </c>
      <c r="C531">
        <v>2026</v>
      </c>
      <c r="D531" t="s">
        <v>21</v>
      </c>
      <c r="E531" t="s">
        <v>1885</v>
      </c>
      <c r="F531">
        <v>22694192.126717515</v>
      </c>
      <c r="G531" t="s">
        <v>36</v>
      </c>
      <c r="H531" t="s">
        <v>75</v>
      </c>
    </row>
    <row r="532" spans="1:8" x14ac:dyDescent="0.3">
      <c r="A532" t="s">
        <v>1117</v>
      </c>
      <c r="B532" t="s">
        <v>75</v>
      </c>
      <c r="C532">
        <v>2026</v>
      </c>
      <c r="D532" t="s">
        <v>21</v>
      </c>
      <c r="E532" t="s">
        <v>4</v>
      </c>
      <c r="F532">
        <v>13024.059644475938</v>
      </c>
      <c r="G532" t="s">
        <v>30</v>
      </c>
      <c r="H532" t="s">
        <v>75</v>
      </c>
    </row>
    <row r="533" spans="1:8" x14ac:dyDescent="0.3">
      <c r="A533" t="s">
        <v>1118</v>
      </c>
      <c r="B533" t="s">
        <v>75</v>
      </c>
      <c r="C533">
        <v>2026</v>
      </c>
      <c r="D533" t="s">
        <v>21</v>
      </c>
      <c r="E533" t="s">
        <v>4</v>
      </c>
      <c r="F533">
        <v>1546</v>
      </c>
      <c r="G533" t="s">
        <v>54</v>
      </c>
      <c r="H533" t="s">
        <v>75</v>
      </c>
    </row>
    <row r="534" spans="1:8" x14ac:dyDescent="0.3">
      <c r="A534" t="s">
        <v>1119</v>
      </c>
      <c r="B534" t="s">
        <v>75</v>
      </c>
      <c r="C534">
        <v>2026</v>
      </c>
      <c r="D534" t="s">
        <v>21</v>
      </c>
      <c r="E534" t="s">
        <v>4</v>
      </c>
      <c r="F534">
        <v>20135196.210359801</v>
      </c>
      <c r="G534" t="s">
        <v>36</v>
      </c>
      <c r="H534" t="s">
        <v>75</v>
      </c>
    </row>
    <row r="535" spans="1:8" x14ac:dyDescent="0.3">
      <c r="A535" t="s">
        <v>1120</v>
      </c>
      <c r="B535" t="s">
        <v>75</v>
      </c>
      <c r="C535">
        <v>2026</v>
      </c>
      <c r="D535" t="s">
        <v>21</v>
      </c>
      <c r="E535" t="s">
        <v>38</v>
      </c>
      <c r="F535">
        <v>12237.908871612417</v>
      </c>
      <c r="G535" t="s">
        <v>30</v>
      </c>
      <c r="H535" t="s">
        <v>75</v>
      </c>
    </row>
    <row r="536" spans="1:8" x14ac:dyDescent="0.3">
      <c r="A536" t="s">
        <v>1121</v>
      </c>
      <c r="B536" t="s">
        <v>75</v>
      </c>
      <c r="C536">
        <v>2026</v>
      </c>
      <c r="D536" t="s">
        <v>21</v>
      </c>
      <c r="E536" t="s">
        <v>38</v>
      </c>
      <c r="F536">
        <v>620</v>
      </c>
      <c r="G536" t="s">
        <v>54</v>
      </c>
      <c r="H536" t="s">
        <v>75</v>
      </c>
    </row>
    <row r="537" spans="1:8" x14ac:dyDescent="0.3">
      <c r="A537" t="s">
        <v>1122</v>
      </c>
      <c r="B537" t="s">
        <v>75</v>
      </c>
      <c r="C537">
        <v>2026</v>
      </c>
      <c r="D537" t="s">
        <v>21</v>
      </c>
      <c r="E537" t="s">
        <v>38</v>
      </c>
      <c r="F537">
        <v>7587503.5003996985</v>
      </c>
      <c r="G537" t="s">
        <v>36</v>
      </c>
      <c r="H537" t="s">
        <v>75</v>
      </c>
    </row>
    <row r="538" spans="1:8" x14ac:dyDescent="0.3">
      <c r="A538" t="s">
        <v>1123</v>
      </c>
      <c r="B538" t="s">
        <v>76</v>
      </c>
      <c r="C538">
        <v>2026</v>
      </c>
      <c r="D538" t="s">
        <v>19</v>
      </c>
      <c r="E538" t="s">
        <v>53</v>
      </c>
      <c r="F538">
        <v>0</v>
      </c>
      <c r="G538" t="s">
        <v>30</v>
      </c>
      <c r="H538" t="s">
        <v>76</v>
      </c>
    </row>
    <row r="539" spans="1:8" x14ac:dyDescent="0.3">
      <c r="A539" t="s">
        <v>1124</v>
      </c>
      <c r="B539" t="s">
        <v>76</v>
      </c>
      <c r="C539">
        <v>2026</v>
      </c>
      <c r="D539" t="s">
        <v>19</v>
      </c>
      <c r="E539" t="s">
        <v>53</v>
      </c>
      <c r="F539">
        <v>0</v>
      </c>
      <c r="G539" t="s">
        <v>54</v>
      </c>
      <c r="H539" t="s">
        <v>76</v>
      </c>
    </row>
    <row r="540" spans="1:8" x14ac:dyDescent="0.3">
      <c r="A540" t="s">
        <v>1125</v>
      </c>
      <c r="B540" t="s">
        <v>76</v>
      </c>
      <c r="C540">
        <v>2026</v>
      </c>
      <c r="D540" t="s">
        <v>19</v>
      </c>
      <c r="E540" t="s">
        <v>53</v>
      </c>
      <c r="F540">
        <v>0</v>
      </c>
      <c r="G540" t="s">
        <v>36</v>
      </c>
      <c r="H540" t="s">
        <v>76</v>
      </c>
    </row>
    <row r="541" spans="1:8" x14ac:dyDescent="0.3">
      <c r="A541" t="s">
        <v>1126</v>
      </c>
      <c r="B541" t="s">
        <v>76</v>
      </c>
      <c r="C541">
        <v>2026</v>
      </c>
      <c r="D541" t="s">
        <v>19</v>
      </c>
      <c r="E541" t="s">
        <v>63</v>
      </c>
      <c r="F541">
        <v>23177.159033181419</v>
      </c>
      <c r="G541" t="s">
        <v>30</v>
      </c>
      <c r="H541" t="s">
        <v>76</v>
      </c>
    </row>
    <row r="542" spans="1:8" x14ac:dyDescent="0.3">
      <c r="A542" t="s">
        <v>1127</v>
      </c>
      <c r="B542" t="s">
        <v>76</v>
      </c>
      <c r="C542">
        <v>2026</v>
      </c>
      <c r="D542" t="s">
        <v>19</v>
      </c>
      <c r="E542" t="s">
        <v>63</v>
      </c>
      <c r="F542">
        <v>3</v>
      </c>
      <c r="G542" t="s">
        <v>54</v>
      </c>
      <c r="H542" t="s">
        <v>76</v>
      </c>
    </row>
    <row r="543" spans="1:8" x14ac:dyDescent="0.3">
      <c r="A543" t="s">
        <v>1128</v>
      </c>
      <c r="B543" t="s">
        <v>76</v>
      </c>
      <c r="C543">
        <v>2026</v>
      </c>
      <c r="D543" t="s">
        <v>19</v>
      </c>
      <c r="E543" t="s">
        <v>63</v>
      </c>
      <c r="F543">
        <v>69531.477099544252</v>
      </c>
      <c r="G543" t="s">
        <v>36</v>
      </c>
      <c r="H543" t="s">
        <v>76</v>
      </c>
    </row>
    <row r="544" spans="1:8" x14ac:dyDescent="0.3">
      <c r="A544" t="s">
        <v>1129</v>
      </c>
      <c r="B544" t="s">
        <v>76</v>
      </c>
      <c r="C544">
        <v>2026</v>
      </c>
      <c r="D544" t="s">
        <v>19</v>
      </c>
      <c r="E544" t="s">
        <v>3</v>
      </c>
      <c r="F544">
        <v>23865.696831906469</v>
      </c>
      <c r="G544" t="s">
        <v>30</v>
      </c>
      <c r="H544" t="s">
        <v>76</v>
      </c>
    </row>
    <row r="545" spans="1:8" x14ac:dyDescent="0.3">
      <c r="A545" t="s">
        <v>1130</v>
      </c>
      <c r="B545" t="s">
        <v>76</v>
      </c>
      <c r="C545">
        <v>2026</v>
      </c>
      <c r="D545" t="s">
        <v>19</v>
      </c>
      <c r="E545" t="s">
        <v>3</v>
      </c>
      <c r="F545">
        <v>40</v>
      </c>
      <c r="G545" t="s">
        <v>54</v>
      </c>
      <c r="H545" t="s">
        <v>76</v>
      </c>
    </row>
    <row r="546" spans="1:8" x14ac:dyDescent="0.3">
      <c r="A546" t="s">
        <v>1131</v>
      </c>
      <c r="B546" t="s">
        <v>76</v>
      </c>
      <c r="C546">
        <v>2026</v>
      </c>
      <c r="D546" t="s">
        <v>19</v>
      </c>
      <c r="E546" t="s">
        <v>3</v>
      </c>
      <c r="F546">
        <v>954627.8732762587</v>
      </c>
      <c r="G546" t="s">
        <v>36</v>
      </c>
      <c r="H546" t="s">
        <v>76</v>
      </c>
    </row>
    <row r="547" spans="1:8" x14ac:dyDescent="0.3">
      <c r="A547" t="s">
        <v>1132</v>
      </c>
      <c r="B547" t="s">
        <v>76</v>
      </c>
      <c r="C547">
        <v>2026</v>
      </c>
      <c r="D547" t="s">
        <v>19</v>
      </c>
      <c r="E547" t="s">
        <v>2</v>
      </c>
      <c r="F547">
        <v>10555.247289577017</v>
      </c>
      <c r="G547" t="s">
        <v>30</v>
      </c>
      <c r="H547" t="s">
        <v>76</v>
      </c>
    </row>
    <row r="548" spans="1:8" x14ac:dyDescent="0.3">
      <c r="A548" t="s">
        <v>1133</v>
      </c>
      <c r="B548" t="s">
        <v>76</v>
      </c>
      <c r="C548">
        <v>2026</v>
      </c>
      <c r="D548" t="s">
        <v>19</v>
      </c>
      <c r="E548" t="s">
        <v>2</v>
      </c>
      <c r="F548">
        <v>225</v>
      </c>
      <c r="G548" t="s">
        <v>54</v>
      </c>
      <c r="H548" t="s">
        <v>76</v>
      </c>
    </row>
    <row r="549" spans="1:8" x14ac:dyDescent="0.3">
      <c r="A549" t="s">
        <v>1134</v>
      </c>
      <c r="B549" t="s">
        <v>76</v>
      </c>
      <c r="C549">
        <v>2026</v>
      </c>
      <c r="D549" t="s">
        <v>19</v>
      </c>
      <c r="E549" t="s">
        <v>2</v>
      </c>
      <c r="F549">
        <v>2374930.6401548288</v>
      </c>
      <c r="G549" t="s">
        <v>36</v>
      </c>
      <c r="H549" t="s">
        <v>76</v>
      </c>
    </row>
    <row r="550" spans="1:8" x14ac:dyDescent="0.3">
      <c r="A550" t="s">
        <v>1135</v>
      </c>
      <c r="B550" t="s">
        <v>76</v>
      </c>
      <c r="C550">
        <v>2026</v>
      </c>
      <c r="D550" t="s">
        <v>19</v>
      </c>
      <c r="E550" t="s">
        <v>1</v>
      </c>
      <c r="F550">
        <v>12709.46109201865</v>
      </c>
      <c r="G550" t="s">
        <v>30</v>
      </c>
      <c r="H550" t="s">
        <v>76</v>
      </c>
    </row>
    <row r="551" spans="1:8" x14ac:dyDescent="0.3">
      <c r="A551" t="s">
        <v>1136</v>
      </c>
      <c r="B551" t="s">
        <v>76</v>
      </c>
      <c r="C551">
        <v>2026</v>
      </c>
      <c r="D551" t="s">
        <v>19</v>
      </c>
      <c r="E551" t="s">
        <v>1</v>
      </c>
      <c r="F551">
        <v>1431</v>
      </c>
      <c r="G551" t="s">
        <v>54</v>
      </c>
      <c r="H551" t="s">
        <v>76</v>
      </c>
    </row>
    <row r="552" spans="1:8" x14ac:dyDescent="0.3">
      <c r="A552" t="s">
        <v>1137</v>
      </c>
      <c r="B552" t="s">
        <v>76</v>
      </c>
      <c r="C552">
        <v>2026</v>
      </c>
      <c r="D552" t="s">
        <v>19</v>
      </c>
      <c r="E552" t="s">
        <v>1</v>
      </c>
      <c r="F552">
        <v>18187238.822678689</v>
      </c>
      <c r="G552" t="s">
        <v>36</v>
      </c>
      <c r="H552" t="s">
        <v>76</v>
      </c>
    </row>
    <row r="553" spans="1:8" x14ac:dyDescent="0.3">
      <c r="A553" t="s">
        <v>1949</v>
      </c>
      <c r="B553" t="s">
        <v>76</v>
      </c>
      <c r="C553">
        <v>2026</v>
      </c>
      <c r="D553" t="s">
        <v>19</v>
      </c>
      <c r="E553" t="s">
        <v>1885</v>
      </c>
      <c r="F553">
        <v>11913.118583189997</v>
      </c>
      <c r="G553" t="s">
        <v>30</v>
      </c>
      <c r="H553" t="s">
        <v>76</v>
      </c>
    </row>
    <row r="554" spans="1:8" x14ac:dyDescent="0.3">
      <c r="A554" t="s">
        <v>1950</v>
      </c>
      <c r="B554" t="s">
        <v>76</v>
      </c>
      <c r="C554">
        <v>2026</v>
      </c>
      <c r="D554" t="s">
        <v>19</v>
      </c>
      <c r="E554" t="s">
        <v>1885</v>
      </c>
      <c r="F554">
        <v>2697</v>
      </c>
      <c r="G554" t="s">
        <v>54</v>
      </c>
      <c r="H554" t="s">
        <v>76</v>
      </c>
    </row>
    <row r="555" spans="1:8" x14ac:dyDescent="0.3">
      <c r="A555" t="s">
        <v>1951</v>
      </c>
      <c r="B555" t="s">
        <v>76</v>
      </c>
      <c r="C555">
        <v>2026</v>
      </c>
      <c r="D555" t="s">
        <v>19</v>
      </c>
      <c r="E555" t="s">
        <v>1885</v>
      </c>
      <c r="F555">
        <v>32129680.818863422</v>
      </c>
      <c r="G555" t="s">
        <v>36</v>
      </c>
      <c r="H555" t="s">
        <v>76</v>
      </c>
    </row>
    <row r="556" spans="1:8" x14ac:dyDescent="0.3">
      <c r="A556" t="s">
        <v>1138</v>
      </c>
      <c r="B556" t="s">
        <v>76</v>
      </c>
      <c r="C556">
        <v>2026</v>
      </c>
      <c r="D556" t="s">
        <v>19</v>
      </c>
      <c r="E556" t="s">
        <v>4</v>
      </c>
      <c r="F556">
        <v>11808.311281910894</v>
      </c>
      <c r="G556" t="s">
        <v>30</v>
      </c>
      <c r="H556" t="s">
        <v>76</v>
      </c>
    </row>
    <row r="557" spans="1:8" x14ac:dyDescent="0.3">
      <c r="A557" t="s">
        <v>1139</v>
      </c>
      <c r="B557" t="s">
        <v>76</v>
      </c>
      <c r="C557">
        <v>2026</v>
      </c>
      <c r="D557" t="s">
        <v>19</v>
      </c>
      <c r="E557" t="s">
        <v>4</v>
      </c>
      <c r="F557">
        <v>2581</v>
      </c>
      <c r="G557" t="s">
        <v>54</v>
      </c>
      <c r="H557" t="s">
        <v>76</v>
      </c>
    </row>
    <row r="558" spans="1:8" x14ac:dyDescent="0.3">
      <c r="A558" t="s">
        <v>1140</v>
      </c>
      <c r="B558" t="s">
        <v>76</v>
      </c>
      <c r="C558">
        <v>2026</v>
      </c>
      <c r="D558" t="s">
        <v>19</v>
      </c>
      <c r="E558" t="s">
        <v>4</v>
      </c>
      <c r="F558">
        <v>30477251.418612018</v>
      </c>
      <c r="G558" t="s">
        <v>36</v>
      </c>
      <c r="H558" t="s">
        <v>76</v>
      </c>
    </row>
    <row r="559" spans="1:8" x14ac:dyDescent="0.3">
      <c r="A559" t="s">
        <v>1141</v>
      </c>
      <c r="B559" t="s">
        <v>76</v>
      </c>
      <c r="C559">
        <v>2026</v>
      </c>
      <c r="D559" t="s">
        <v>19</v>
      </c>
      <c r="E559" t="s">
        <v>38</v>
      </c>
      <c r="F559">
        <v>10080.411117236617</v>
      </c>
      <c r="G559" t="s">
        <v>30</v>
      </c>
      <c r="H559" t="s">
        <v>76</v>
      </c>
    </row>
    <row r="560" spans="1:8" x14ac:dyDescent="0.3">
      <c r="A560" t="s">
        <v>1142</v>
      </c>
      <c r="B560" t="s">
        <v>76</v>
      </c>
      <c r="C560">
        <v>2026</v>
      </c>
      <c r="D560" t="s">
        <v>19</v>
      </c>
      <c r="E560" t="s">
        <v>38</v>
      </c>
      <c r="F560">
        <v>882</v>
      </c>
      <c r="G560" t="s">
        <v>54</v>
      </c>
      <c r="H560" t="s">
        <v>76</v>
      </c>
    </row>
    <row r="561" spans="1:8" x14ac:dyDescent="0.3">
      <c r="A561" t="s">
        <v>1143</v>
      </c>
      <c r="B561" t="s">
        <v>76</v>
      </c>
      <c r="C561">
        <v>2026</v>
      </c>
      <c r="D561" t="s">
        <v>19</v>
      </c>
      <c r="E561" t="s">
        <v>38</v>
      </c>
      <c r="F561">
        <v>8890922.6054026969</v>
      </c>
      <c r="G561" t="s">
        <v>36</v>
      </c>
      <c r="H561" t="s">
        <v>76</v>
      </c>
    </row>
    <row r="562" spans="1:8" x14ac:dyDescent="0.3">
      <c r="A562" t="s">
        <v>1144</v>
      </c>
      <c r="B562" t="s">
        <v>77</v>
      </c>
      <c r="C562">
        <v>2026</v>
      </c>
      <c r="D562" t="s">
        <v>49</v>
      </c>
      <c r="E562" t="s">
        <v>53</v>
      </c>
      <c r="F562">
        <v>0</v>
      </c>
      <c r="G562" t="s">
        <v>30</v>
      </c>
      <c r="H562" t="s">
        <v>77</v>
      </c>
    </row>
    <row r="563" spans="1:8" x14ac:dyDescent="0.3">
      <c r="A563" t="s">
        <v>1145</v>
      </c>
      <c r="B563" t="s">
        <v>77</v>
      </c>
      <c r="C563">
        <v>2026</v>
      </c>
      <c r="D563" t="s">
        <v>49</v>
      </c>
      <c r="E563" t="s">
        <v>53</v>
      </c>
      <c r="F563">
        <v>0</v>
      </c>
      <c r="G563" t="s">
        <v>54</v>
      </c>
      <c r="H563" t="s">
        <v>77</v>
      </c>
    </row>
    <row r="564" spans="1:8" x14ac:dyDescent="0.3">
      <c r="A564" t="s">
        <v>1146</v>
      </c>
      <c r="B564" t="s">
        <v>77</v>
      </c>
      <c r="C564">
        <v>2026</v>
      </c>
      <c r="D564" t="s">
        <v>49</v>
      </c>
      <c r="E564" t="s">
        <v>53</v>
      </c>
      <c r="F564">
        <v>0</v>
      </c>
      <c r="G564" t="s">
        <v>36</v>
      </c>
      <c r="H564" t="s">
        <v>77</v>
      </c>
    </row>
    <row r="565" spans="1:8" x14ac:dyDescent="0.3">
      <c r="A565" t="s">
        <v>1147</v>
      </c>
      <c r="B565" t="s">
        <v>77</v>
      </c>
      <c r="C565">
        <v>2026</v>
      </c>
      <c r="D565" t="s">
        <v>49</v>
      </c>
      <c r="E565" t="s">
        <v>63</v>
      </c>
      <c r="F565">
        <v>9231.6997896823323</v>
      </c>
      <c r="G565" t="s">
        <v>30</v>
      </c>
      <c r="H565" t="s">
        <v>77</v>
      </c>
    </row>
    <row r="566" spans="1:8" x14ac:dyDescent="0.3">
      <c r="A566" t="s">
        <v>1148</v>
      </c>
      <c r="B566" t="s">
        <v>77</v>
      </c>
      <c r="C566">
        <v>2026</v>
      </c>
      <c r="D566" t="s">
        <v>49</v>
      </c>
      <c r="E566" t="s">
        <v>63</v>
      </c>
      <c r="F566">
        <v>1</v>
      </c>
      <c r="G566" t="s">
        <v>54</v>
      </c>
      <c r="H566" t="s">
        <v>77</v>
      </c>
    </row>
    <row r="567" spans="1:8" x14ac:dyDescent="0.3">
      <c r="A567" t="s">
        <v>1149</v>
      </c>
      <c r="B567" t="s">
        <v>77</v>
      </c>
      <c r="C567">
        <v>2026</v>
      </c>
      <c r="D567" t="s">
        <v>49</v>
      </c>
      <c r="E567" t="s">
        <v>63</v>
      </c>
      <c r="F567">
        <v>9231.6997896823323</v>
      </c>
      <c r="G567" t="s">
        <v>36</v>
      </c>
      <c r="H567" t="s">
        <v>77</v>
      </c>
    </row>
    <row r="568" spans="1:8" x14ac:dyDescent="0.3">
      <c r="A568" t="s">
        <v>1150</v>
      </c>
      <c r="B568" t="s">
        <v>77</v>
      </c>
      <c r="C568">
        <v>2026</v>
      </c>
      <c r="D568" t="s">
        <v>49</v>
      </c>
      <c r="E568" t="s">
        <v>3</v>
      </c>
      <c r="F568">
        <v>30605.473202553218</v>
      </c>
      <c r="G568" t="s">
        <v>30</v>
      </c>
      <c r="H568" t="s">
        <v>77</v>
      </c>
    </row>
    <row r="569" spans="1:8" x14ac:dyDescent="0.3">
      <c r="A569" t="s">
        <v>1151</v>
      </c>
      <c r="B569" t="s">
        <v>77</v>
      </c>
      <c r="C569">
        <v>2026</v>
      </c>
      <c r="D569" t="s">
        <v>49</v>
      </c>
      <c r="E569" t="s">
        <v>3</v>
      </c>
      <c r="F569">
        <v>48</v>
      </c>
      <c r="G569" t="s">
        <v>54</v>
      </c>
      <c r="H569" t="s">
        <v>77</v>
      </c>
    </row>
    <row r="570" spans="1:8" x14ac:dyDescent="0.3">
      <c r="A570" t="s">
        <v>1152</v>
      </c>
      <c r="B570" t="s">
        <v>77</v>
      </c>
      <c r="C570">
        <v>2026</v>
      </c>
      <c r="D570" t="s">
        <v>49</v>
      </c>
      <c r="E570" t="s">
        <v>3</v>
      </c>
      <c r="F570">
        <v>1469062.7137225545</v>
      </c>
      <c r="G570" t="s">
        <v>36</v>
      </c>
      <c r="H570" t="s">
        <v>77</v>
      </c>
    </row>
    <row r="571" spans="1:8" x14ac:dyDescent="0.3">
      <c r="A571" t="s">
        <v>1153</v>
      </c>
      <c r="B571" t="s">
        <v>77</v>
      </c>
      <c r="C571">
        <v>2026</v>
      </c>
      <c r="D571" t="s">
        <v>49</v>
      </c>
      <c r="E571" t="s">
        <v>2</v>
      </c>
      <c r="F571">
        <v>7305.3769397900351</v>
      </c>
      <c r="G571" t="s">
        <v>30</v>
      </c>
      <c r="H571" t="s">
        <v>77</v>
      </c>
    </row>
    <row r="572" spans="1:8" x14ac:dyDescent="0.3">
      <c r="A572" t="s">
        <v>1154</v>
      </c>
      <c r="B572" t="s">
        <v>77</v>
      </c>
      <c r="C572">
        <v>2026</v>
      </c>
      <c r="D572" t="s">
        <v>49</v>
      </c>
      <c r="E572" t="s">
        <v>2</v>
      </c>
      <c r="F572">
        <v>287</v>
      </c>
      <c r="G572" t="s">
        <v>54</v>
      </c>
      <c r="H572" t="s">
        <v>77</v>
      </c>
    </row>
    <row r="573" spans="1:8" x14ac:dyDescent="0.3">
      <c r="A573" t="s">
        <v>1155</v>
      </c>
      <c r="B573" t="s">
        <v>77</v>
      </c>
      <c r="C573">
        <v>2026</v>
      </c>
      <c r="D573" t="s">
        <v>49</v>
      </c>
      <c r="E573" t="s">
        <v>2</v>
      </c>
      <c r="F573">
        <v>2096643.1817197402</v>
      </c>
      <c r="G573" t="s">
        <v>36</v>
      </c>
      <c r="H573" t="s">
        <v>77</v>
      </c>
    </row>
    <row r="574" spans="1:8" x14ac:dyDescent="0.3">
      <c r="A574" t="s">
        <v>1156</v>
      </c>
      <c r="B574" t="s">
        <v>77</v>
      </c>
      <c r="C574">
        <v>2026</v>
      </c>
      <c r="D574" t="s">
        <v>49</v>
      </c>
      <c r="E574" t="s">
        <v>1</v>
      </c>
      <c r="F574">
        <v>13046.686798653795</v>
      </c>
      <c r="G574" t="s">
        <v>30</v>
      </c>
      <c r="H574" t="s">
        <v>77</v>
      </c>
    </row>
    <row r="575" spans="1:8" x14ac:dyDescent="0.3">
      <c r="A575" t="s">
        <v>1157</v>
      </c>
      <c r="B575" t="s">
        <v>77</v>
      </c>
      <c r="C575">
        <v>2026</v>
      </c>
      <c r="D575" t="s">
        <v>49</v>
      </c>
      <c r="E575" t="s">
        <v>1</v>
      </c>
      <c r="F575">
        <v>1174</v>
      </c>
      <c r="G575" t="s">
        <v>54</v>
      </c>
      <c r="H575" t="s">
        <v>77</v>
      </c>
    </row>
    <row r="576" spans="1:8" x14ac:dyDescent="0.3">
      <c r="A576" t="s">
        <v>1158</v>
      </c>
      <c r="B576" t="s">
        <v>77</v>
      </c>
      <c r="C576">
        <v>2026</v>
      </c>
      <c r="D576" t="s">
        <v>49</v>
      </c>
      <c r="E576" t="s">
        <v>1</v>
      </c>
      <c r="F576">
        <v>15316810.301619556</v>
      </c>
      <c r="G576" t="s">
        <v>36</v>
      </c>
      <c r="H576" t="s">
        <v>77</v>
      </c>
    </row>
    <row r="577" spans="1:8" x14ac:dyDescent="0.3">
      <c r="A577" t="s">
        <v>1952</v>
      </c>
      <c r="B577" t="s">
        <v>77</v>
      </c>
      <c r="C577">
        <v>2026</v>
      </c>
      <c r="D577" t="s">
        <v>49</v>
      </c>
      <c r="E577" t="s">
        <v>1885</v>
      </c>
      <c r="F577">
        <v>12078.558627716086</v>
      </c>
      <c r="G577" t="s">
        <v>30</v>
      </c>
      <c r="H577" t="s">
        <v>77</v>
      </c>
    </row>
    <row r="578" spans="1:8" x14ac:dyDescent="0.3">
      <c r="A578" t="s">
        <v>1953</v>
      </c>
      <c r="B578" t="s">
        <v>77</v>
      </c>
      <c r="C578">
        <v>2026</v>
      </c>
      <c r="D578" t="s">
        <v>49</v>
      </c>
      <c r="E578" t="s">
        <v>1885</v>
      </c>
      <c r="F578">
        <v>2024</v>
      </c>
      <c r="G578" t="s">
        <v>54</v>
      </c>
      <c r="H578" t="s">
        <v>77</v>
      </c>
    </row>
    <row r="579" spans="1:8" x14ac:dyDescent="0.3">
      <c r="A579" t="s">
        <v>1954</v>
      </c>
      <c r="B579" t="s">
        <v>77</v>
      </c>
      <c r="C579">
        <v>2026</v>
      </c>
      <c r="D579" t="s">
        <v>49</v>
      </c>
      <c r="E579" t="s">
        <v>1885</v>
      </c>
      <c r="F579">
        <v>24447002.662497357</v>
      </c>
      <c r="G579" t="s">
        <v>36</v>
      </c>
      <c r="H579" t="s">
        <v>77</v>
      </c>
    </row>
    <row r="580" spans="1:8" x14ac:dyDescent="0.3">
      <c r="A580" t="s">
        <v>1159</v>
      </c>
      <c r="B580" t="s">
        <v>77</v>
      </c>
      <c r="C580">
        <v>2026</v>
      </c>
      <c r="D580" t="s">
        <v>49</v>
      </c>
      <c r="E580" t="s">
        <v>4</v>
      </c>
      <c r="F580">
        <v>12196.933492618706</v>
      </c>
      <c r="G580" t="s">
        <v>30</v>
      </c>
      <c r="H580" t="s">
        <v>77</v>
      </c>
    </row>
    <row r="581" spans="1:8" x14ac:dyDescent="0.3">
      <c r="A581" t="s">
        <v>1160</v>
      </c>
      <c r="B581" t="s">
        <v>77</v>
      </c>
      <c r="C581">
        <v>2026</v>
      </c>
      <c r="D581" t="s">
        <v>49</v>
      </c>
      <c r="E581" t="s">
        <v>4</v>
      </c>
      <c r="F581">
        <v>1876</v>
      </c>
      <c r="G581" t="s">
        <v>54</v>
      </c>
      <c r="H581" t="s">
        <v>77</v>
      </c>
    </row>
    <row r="582" spans="1:8" x14ac:dyDescent="0.3">
      <c r="A582" t="s">
        <v>1161</v>
      </c>
      <c r="B582" t="s">
        <v>77</v>
      </c>
      <c r="C582">
        <v>2026</v>
      </c>
      <c r="D582" t="s">
        <v>49</v>
      </c>
      <c r="E582" t="s">
        <v>4</v>
      </c>
      <c r="F582">
        <v>22881447.232152693</v>
      </c>
      <c r="G582" t="s">
        <v>36</v>
      </c>
      <c r="H582" t="s">
        <v>77</v>
      </c>
    </row>
    <row r="583" spans="1:8" x14ac:dyDescent="0.3">
      <c r="A583" t="s">
        <v>1162</v>
      </c>
      <c r="B583" t="s">
        <v>77</v>
      </c>
      <c r="C583">
        <v>2026</v>
      </c>
      <c r="D583" t="s">
        <v>49</v>
      </c>
      <c r="E583" t="s">
        <v>38</v>
      </c>
      <c r="F583">
        <v>10900.817856014104</v>
      </c>
      <c r="G583" t="s">
        <v>30</v>
      </c>
      <c r="H583" t="s">
        <v>77</v>
      </c>
    </row>
    <row r="584" spans="1:8" x14ac:dyDescent="0.3">
      <c r="A584" t="s">
        <v>1163</v>
      </c>
      <c r="B584" t="s">
        <v>77</v>
      </c>
      <c r="C584">
        <v>2026</v>
      </c>
      <c r="D584" t="s">
        <v>49</v>
      </c>
      <c r="E584" t="s">
        <v>38</v>
      </c>
      <c r="F584">
        <v>366</v>
      </c>
      <c r="G584" t="s">
        <v>54</v>
      </c>
      <c r="H584" t="s">
        <v>77</v>
      </c>
    </row>
    <row r="585" spans="1:8" x14ac:dyDescent="0.3">
      <c r="A585" t="s">
        <v>1164</v>
      </c>
      <c r="B585" t="s">
        <v>77</v>
      </c>
      <c r="C585">
        <v>2026</v>
      </c>
      <c r="D585" t="s">
        <v>49</v>
      </c>
      <c r="E585" t="s">
        <v>38</v>
      </c>
      <c r="F585">
        <v>3989699.3353011622</v>
      </c>
      <c r="G585" t="s">
        <v>36</v>
      </c>
      <c r="H585" t="s">
        <v>77</v>
      </c>
    </row>
    <row r="586" spans="1:8" x14ac:dyDescent="0.3">
      <c r="A586" t="s">
        <v>1165</v>
      </c>
      <c r="B586" t="s">
        <v>78</v>
      </c>
      <c r="C586">
        <v>2026</v>
      </c>
      <c r="D586" t="s">
        <v>22</v>
      </c>
      <c r="E586" t="s">
        <v>53</v>
      </c>
      <c r="F586">
        <v>0</v>
      </c>
      <c r="G586" t="s">
        <v>30</v>
      </c>
      <c r="H586" t="s">
        <v>78</v>
      </c>
    </row>
    <row r="587" spans="1:8" x14ac:dyDescent="0.3">
      <c r="A587" t="s">
        <v>1166</v>
      </c>
      <c r="B587" t="s">
        <v>78</v>
      </c>
      <c r="C587">
        <v>2026</v>
      </c>
      <c r="D587" t="s">
        <v>22</v>
      </c>
      <c r="E587" t="s">
        <v>53</v>
      </c>
      <c r="F587">
        <v>0</v>
      </c>
      <c r="G587" t="s">
        <v>54</v>
      </c>
      <c r="H587" t="s">
        <v>78</v>
      </c>
    </row>
    <row r="588" spans="1:8" x14ac:dyDescent="0.3">
      <c r="A588" t="s">
        <v>1167</v>
      </c>
      <c r="B588" t="s">
        <v>78</v>
      </c>
      <c r="C588">
        <v>2026</v>
      </c>
      <c r="D588" t="s">
        <v>22</v>
      </c>
      <c r="E588" t="s">
        <v>53</v>
      </c>
      <c r="F588">
        <v>0</v>
      </c>
      <c r="G588" t="s">
        <v>36</v>
      </c>
      <c r="H588" t="s">
        <v>78</v>
      </c>
    </row>
    <row r="589" spans="1:8" x14ac:dyDescent="0.3">
      <c r="A589" t="s">
        <v>1168</v>
      </c>
      <c r="B589" t="s">
        <v>78</v>
      </c>
      <c r="C589">
        <v>2026</v>
      </c>
      <c r="D589" t="s">
        <v>22</v>
      </c>
      <c r="E589" t="s">
        <v>63</v>
      </c>
      <c r="F589">
        <v>0</v>
      </c>
      <c r="G589" t="s">
        <v>30</v>
      </c>
      <c r="H589" t="s">
        <v>78</v>
      </c>
    </row>
    <row r="590" spans="1:8" x14ac:dyDescent="0.3">
      <c r="A590" t="s">
        <v>1169</v>
      </c>
      <c r="B590" t="s">
        <v>78</v>
      </c>
      <c r="C590">
        <v>2026</v>
      </c>
      <c r="D590" t="s">
        <v>22</v>
      </c>
      <c r="E590" t="s">
        <v>63</v>
      </c>
      <c r="F590">
        <v>0</v>
      </c>
      <c r="G590" t="s">
        <v>54</v>
      </c>
      <c r="H590" t="s">
        <v>78</v>
      </c>
    </row>
    <row r="591" spans="1:8" x14ac:dyDescent="0.3">
      <c r="A591" t="s">
        <v>1170</v>
      </c>
      <c r="B591" t="s">
        <v>78</v>
      </c>
      <c r="C591">
        <v>2026</v>
      </c>
      <c r="D591" t="s">
        <v>22</v>
      </c>
      <c r="E591" t="s">
        <v>63</v>
      </c>
      <c r="F591">
        <v>0</v>
      </c>
      <c r="G591" t="s">
        <v>36</v>
      </c>
      <c r="H591" t="s">
        <v>78</v>
      </c>
    </row>
    <row r="592" spans="1:8" x14ac:dyDescent="0.3">
      <c r="A592" t="s">
        <v>1171</v>
      </c>
      <c r="B592" t="s">
        <v>78</v>
      </c>
      <c r="C592">
        <v>2026</v>
      </c>
      <c r="D592" t="s">
        <v>22</v>
      </c>
      <c r="E592" t="s">
        <v>3</v>
      </c>
      <c r="F592">
        <v>0</v>
      </c>
      <c r="G592" t="s">
        <v>30</v>
      </c>
      <c r="H592" t="s">
        <v>78</v>
      </c>
    </row>
    <row r="593" spans="1:8" x14ac:dyDescent="0.3">
      <c r="A593" t="s">
        <v>1172</v>
      </c>
      <c r="B593" t="s">
        <v>78</v>
      </c>
      <c r="C593">
        <v>2026</v>
      </c>
      <c r="D593" t="s">
        <v>22</v>
      </c>
      <c r="E593" t="s">
        <v>3</v>
      </c>
      <c r="F593">
        <v>0</v>
      </c>
      <c r="G593" t="s">
        <v>54</v>
      </c>
      <c r="H593" t="s">
        <v>78</v>
      </c>
    </row>
    <row r="594" spans="1:8" x14ac:dyDescent="0.3">
      <c r="A594" t="s">
        <v>1173</v>
      </c>
      <c r="B594" t="s">
        <v>78</v>
      </c>
      <c r="C594">
        <v>2026</v>
      </c>
      <c r="D594" t="s">
        <v>22</v>
      </c>
      <c r="E594" t="s">
        <v>3</v>
      </c>
      <c r="F594">
        <v>0</v>
      </c>
      <c r="G594" t="s">
        <v>36</v>
      </c>
      <c r="H594" t="s">
        <v>78</v>
      </c>
    </row>
    <row r="595" spans="1:8" x14ac:dyDescent="0.3">
      <c r="A595" t="s">
        <v>1174</v>
      </c>
      <c r="B595" t="s">
        <v>78</v>
      </c>
      <c r="C595">
        <v>2026</v>
      </c>
      <c r="D595" t="s">
        <v>22</v>
      </c>
      <c r="E595" t="s">
        <v>2</v>
      </c>
      <c r="F595">
        <v>16326.675039344496</v>
      </c>
      <c r="G595" t="s">
        <v>30</v>
      </c>
      <c r="H595" t="s">
        <v>78</v>
      </c>
    </row>
    <row r="596" spans="1:8" x14ac:dyDescent="0.3">
      <c r="A596" t="s">
        <v>1175</v>
      </c>
      <c r="B596" t="s">
        <v>78</v>
      </c>
      <c r="C596">
        <v>2026</v>
      </c>
      <c r="D596" t="s">
        <v>22</v>
      </c>
      <c r="E596" t="s">
        <v>2</v>
      </c>
      <c r="F596">
        <v>47</v>
      </c>
      <c r="G596" t="s">
        <v>54</v>
      </c>
      <c r="H596" t="s">
        <v>78</v>
      </c>
    </row>
    <row r="597" spans="1:8" x14ac:dyDescent="0.3">
      <c r="A597" t="s">
        <v>1176</v>
      </c>
      <c r="B597" t="s">
        <v>78</v>
      </c>
      <c r="C597">
        <v>2026</v>
      </c>
      <c r="D597" t="s">
        <v>22</v>
      </c>
      <c r="E597" t="s">
        <v>2</v>
      </c>
      <c r="F597">
        <v>767353.72684919136</v>
      </c>
      <c r="G597" t="s">
        <v>36</v>
      </c>
      <c r="H597" t="s">
        <v>78</v>
      </c>
    </row>
    <row r="598" spans="1:8" x14ac:dyDescent="0.3">
      <c r="A598" t="s">
        <v>1177</v>
      </c>
      <c r="B598" t="s">
        <v>78</v>
      </c>
      <c r="C598">
        <v>2026</v>
      </c>
      <c r="D598" t="s">
        <v>22</v>
      </c>
      <c r="E598" t="s">
        <v>1</v>
      </c>
      <c r="F598">
        <v>12607.329594390916</v>
      </c>
      <c r="G598" t="s">
        <v>30</v>
      </c>
      <c r="H598" t="s">
        <v>78</v>
      </c>
    </row>
    <row r="599" spans="1:8" x14ac:dyDescent="0.3">
      <c r="A599" t="s">
        <v>1178</v>
      </c>
      <c r="B599" t="s">
        <v>78</v>
      </c>
      <c r="C599">
        <v>2026</v>
      </c>
      <c r="D599" t="s">
        <v>22</v>
      </c>
      <c r="E599" t="s">
        <v>1</v>
      </c>
      <c r="F599">
        <v>1114</v>
      </c>
      <c r="G599" t="s">
        <v>54</v>
      </c>
      <c r="H599" t="s">
        <v>78</v>
      </c>
    </row>
    <row r="600" spans="1:8" x14ac:dyDescent="0.3">
      <c r="A600" t="s">
        <v>1179</v>
      </c>
      <c r="B600" t="s">
        <v>78</v>
      </c>
      <c r="C600">
        <v>2026</v>
      </c>
      <c r="D600" t="s">
        <v>22</v>
      </c>
      <c r="E600" t="s">
        <v>1</v>
      </c>
      <c r="F600">
        <v>14044565.168151481</v>
      </c>
      <c r="G600" t="s">
        <v>36</v>
      </c>
      <c r="H600" t="s">
        <v>78</v>
      </c>
    </row>
    <row r="601" spans="1:8" x14ac:dyDescent="0.3">
      <c r="A601" t="s">
        <v>1955</v>
      </c>
      <c r="B601" t="s">
        <v>78</v>
      </c>
      <c r="C601">
        <v>2026</v>
      </c>
      <c r="D601" t="s">
        <v>22</v>
      </c>
      <c r="E601" t="s">
        <v>1885</v>
      </c>
      <c r="F601">
        <v>12566.014061208965</v>
      </c>
      <c r="G601" t="s">
        <v>30</v>
      </c>
      <c r="H601" t="s">
        <v>78</v>
      </c>
    </row>
    <row r="602" spans="1:8" x14ac:dyDescent="0.3">
      <c r="A602" t="s">
        <v>1956</v>
      </c>
      <c r="B602" t="s">
        <v>78</v>
      </c>
      <c r="C602">
        <v>2026</v>
      </c>
      <c r="D602" t="s">
        <v>22</v>
      </c>
      <c r="E602" t="s">
        <v>1885</v>
      </c>
      <c r="F602">
        <v>1456</v>
      </c>
      <c r="G602" t="s">
        <v>54</v>
      </c>
      <c r="H602" t="s">
        <v>78</v>
      </c>
    </row>
    <row r="603" spans="1:8" x14ac:dyDescent="0.3">
      <c r="A603" t="s">
        <v>1957</v>
      </c>
      <c r="B603" t="s">
        <v>78</v>
      </c>
      <c r="C603">
        <v>2026</v>
      </c>
      <c r="D603" t="s">
        <v>22</v>
      </c>
      <c r="E603" t="s">
        <v>1885</v>
      </c>
      <c r="F603">
        <v>18296116.473120254</v>
      </c>
      <c r="G603" t="s">
        <v>36</v>
      </c>
      <c r="H603" t="s">
        <v>78</v>
      </c>
    </row>
    <row r="604" spans="1:8" x14ac:dyDescent="0.3">
      <c r="A604" t="s">
        <v>1180</v>
      </c>
      <c r="B604" t="s">
        <v>78</v>
      </c>
      <c r="C604">
        <v>2026</v>
      </c>
      <c r="D604" t="s">
        <v>22</v>
      </c>
      <c r="E604" t="s">
        <v>4</v>
      </c>
      <c r="F604">
        <v>12558.247501974161</v>
      </c>
      <c r="G604" t="s">
        <v>30</v>
      </c>
      <c r="H604" t="s">
        <v>78</v>
      </c>
    </row>
    <row r="605" spans="1:8" x14ac:dyDescent="0.3">
      <c r="A605" t="s">
        <v>1181</v>
      </c>
      <c r="B605" t="s">
        <v>78</v>
      </c>
      <c r="C605">
        <v>2026</v>
      </c>
      <c r="D605" t="s">
        <v>22</v>
      </c>
      <c r="E605" t="s">
        <v>4</v>
      </c>
      <c r="F605">
        <v>1379</v>
      </c>
      <c r="G605" t="s">
        <v>54</v>
      </c>
      <c r="H605" t="s">
        <v>78</v>
      </c>
    </row>
    <row r="606" spans="1:8" x14ac:dyDescent="0.3">
      <c r="A606" t="s">
        <v>1182</v>
      </c>
      <c r="B606" t="s">
        <v>78</v>
      </c>
      <c r="C606">
        <v>2026</v>
      </c>
      <c r="D606" t="s">
        <v>22</v>
      </c>
      <c r="E606" t="s">
        <v>4</v>
      </c>
      <c r="F606">
        <v>17317823.30522237</v>
      </c>
      <c r="G606" t="s">
        <v>36</v>
      </c>
      <c r="H606" t="s">
        <v>78</v>
      </c>
    </row>
    <row r="607" spans="1:8" x14ac:dyDescent="0.3">
      <c r="A607" t="s">
        <v>1183</v>
      </c>
      <c r="B607" t="s">
        <v>78</v>
      </c>
      <c r="C607">
        <v>2026</v>
      </c>
      <c r="D607" t="s">
        <v>22</v>
      </c>
      <c r="E607" t="s">
        <v>38</v>
      </c>
      <c r="F607">
        <v>11494.974358815136</v>
      </c>
      <c r="G607" t="s">
        <v>30</v>
      </c>
      <c r="H607" t="s">
        <v>78</v>
      </c>
    </row>
    <row r="608" spans="1:8" x14ac:dyDescent="0.3">
      <c r="A608" t="s">
        <v>1184</v>
      </c>
      <c r="B608" t="s">
        <v>78</v>
      </c>
      <c r="C608">
        <v>2026</v>
      </c>
      <c r="D608" t="s">
        <v>22</v>
      </c>
      <c r="E608" t="s">
        <v>38</v>
      </c>
      <c r="F608">
        <v>218</v>
      </c>
      <c r="G608" t="s">
        <v>54</v>
      </c>
      <c r="H608" t="s">
        <v>78</v>
      </c>
    </row>
    <row r="609" spans="1:8" x14ac:dyDescent="0.3">
      <c r="A609" t="s">
        <v>1185</v>
      </c>
      <c r="B609" t="s">
        <v>78</v>
      </c>
      <c r="C609">
        <v>2026</v>
      </c>
      <c r="D609" t="s">
        <v>22</v>
      </c>
      <c r="E609" t="s">
        <v>38</v>
      </c>
      <c r="F609">
        <v>2505904.4102216996</v>
      </c>
      <c r="G609" t="s">
        <v>36</v>
      </c>
      <c r="H609" t="s">
        <v>78</v>
      </c>
    </row>
    <row r="610" spans="1:8" x14ac:dyDescent="0.3">
      <c r="A610" t="s">
        <v>1186</v>
      </c>
      <c r="B610" t="s">
        <v>108</v>
      </c>
      <c r="C610">
        <v>2026</v>
      </c>
      <c r="D610" t="s">
        <v>1187</v>
      </c>
      <c r="E610" t="s">
        <v>53</v>
      </c>
      <c r="F610">
        <v>0</v>
      </c>
      <c r="G610" t="s">
        <v>30</v>
      </c>
      <c r="H610" t="s">
        <v>108</v>
      </c>
    </row>
    <row r="611" spans="1:8" x14ac:dyDescent="0.3">
      <c r="A611" t="s">
        <v>1188</v>
      </c>
      <c r="B611" t="s">
        <v>108</v>
      </c>
      <c r="C611">
        <v>2026</v>
      </c>
      <c r="D611" t="s">
        <v>1187</v>
      </c>
      <c r="E611" t="s">
        <v>53</v>
      </c>
      <c r="F611">
        <v>0</v>
      </c>
      <c r="G611" t="s">
        <v>54</v>
      </c>
      <c r="H611" t="s">
        <v>108</v>
      </c>
    </row>
    <row r="612" spans="1:8" x14ac:dyDescent="0.3">
      <c r="A612" t="s">
        <v>1189</v>
      </c>
      <c r="B612" t="s">
        <v>108</v>
      </c>
      <c r="C612">
        <v>2026</v>
      </c>
      <c r="D612" t="s">
        <v>1187</v>
      </c>
      <c r="E612" t="s">
        <v>53</v>
      </c>
      <c r="F612">
        <v>0</v>
      </c>
      <c r="G612" t="s">
        <v>36</v>
      </c>
      <c r="H612" t="s">
        <v>108</v>
      </c>
    </row>
    <row r="613" spans="1:8" x14ac:dyDescent="0.3">
      <c r="A613" t="s">
        <v>1190</v>
      </c>
      <c r="B613" t="s">
        <v>108</v>
      </c>
      <c r="C613">
        <v>2026</v>
      </c>
      <c r="D613" t="s">
        <v>1187</v>
      </c>
      <c r="E613" t="s">
        <v>63</v>
      </c>
      <c r="F613">
        <v>0</v>
      </c>
      <c r="G613" t="s">
        <v>30</v>
      </c>
      <c r="H613" t="s">
        <v>108</v>
      </c>
    </row>
    <row r="614" spans="1:8" x14ac:dyDescent="0.3">
      <c r="A614" t="s">
        <v>1191</v>
      </c>
      <c r="B614" t="s">
        <v>108</v>
      </c>
      <c r="C614">
        <v>2026</v>
      </c>
      <c r="D614" t="s">
        <v>1187</v>
      </c>
      <c r="E614" t="s">
        <v>63</v>
      </c>
      <c r="F614">
        <v>0</v>
      </c>
      <c r="G614" t="s">
        <v>54</v>
      </c>
      <c r="H614" t="s">
        <v>108</v>
      </c>
    </row>
    <row r="615" spans="1:8" x14ac:dyDescent="0.3">
      <c r="A615" t="s">
        <v>1192</v>
      </c>
      <c r="B615" t="s">
        <v>108</v>
      </c>
      <c r="C615">
        <v>2026</v>
      </c>
      <c r="D615" t="s">
        <v>1187</v>
      </c>
      <c r="E615" t="s">
        <v>63</v>
      </c>
      <c r="F615">
        <v>0</v>
      </c>
      <c r="G615" t="s">
        <v>36</v>
      </c>
      <c r="H615" t="s">
        <v>108</v>
      </c>
    </row>
    <row r="616" spans="1:8" x14ac:dyDescent="0.3">
      <c r="A616" t="s">
        <v>1193</v>
      </c>
      <c r="B616" t="s">
        <v>108</v>
      </c>
      <c r="C616">
        <v>2026</v>
      </c>
      <c r="D616" t="s">
        <v>1187</v>
      </c>
      <c r="E616" t="s">
        <v>3</v>
      </c>
      <c r="F616">
        <v>0</v>
      </c>
      <c r="G616" t="s">
        <v>30</v>
      </c>
      <c r="H616" t="s">
        <v>108</v>
      </c>
    </row>
    <row r="617" spans="1:8" x14ac:dyDescent="0.3">
      <c r="A617" t="s">
        <v>1194</v>
      </c>
      <c r="B617" t="s">
        <v>108</v>
      </c>
      <c r="C617">
        <v>2026</v>
      </c>
      <c r="D617" t="s">
        <v>1187</v>
      </c>
      <c r="E617" t="s">
        <v>3</v>
      </c>
      <c r="F617">
        <v>1</v>
      </c>
      <c r="G617" t="s">
        <v>54</v>
      </c>
      <c r="H617" t="s">
        <v>108</v>
      </c>
    </row>
    <row r="618" spans="1:8" x14ac:dyDescent="0.3">
      <c r="A618" t="s">
        <v>1195</v>
      </c>
      <c r="B618" t="s">
        <v>108</v>
      </c>
      <c r="C618">
        <v>2026</v>
      </c>
      <c r="D618" t="s">
        <v>1187</v>
      </c>
      <c r="E618" t="s">
        <v>3</v>
      </c>
      <c r="F618">
        <v>0</v>
      </c>
      <c r="G618" t="s">
        <v>36</v>
      </c>
      <c r="H618" t="s">
        <v>108</v>
      </c>
    </row>
    <row r="619" spans="1:8" x14ac:dyDescent="0.3">
      <c r="A619" t="s">
        <v>1196</v>
      </c>
      <c r="B619" t="s">
        <v>108</v>
      </c>
      <c r="C619">
        <v>2026</v>
      </c>
      <c r="D619" t="s">
        <v>1187</v>
      </c>
      <c r="E619" t="s">
        <v>2</v>
      </c>
      <c r="F619">
        <v>6065.8127499072798</v>
      </c>
      <c r="G619" t="s">
        <v>30</v>
      </c>
      <c r="H619" t="s">
        <v>108</v>
      </c>
    </row>
    <row r="620" spans="1:8" x14ac:dyDescent="0.3">
      <c r="A620" t="s">
        <v>1197</v>
      </c>
      <c r="B620" t="s">
        <v>108</v>
      </c>
      <c r="C620">
        <v>2026</v>
      </c>
      <c r="D620" t="s">
        <v>1187</v>
      </c>
      <c r="E620" t="s">
        <v>2</v>
      </c>
      <c r="F620">
        <v>319</v>
      </c>
      <c r="G620" t="s">
        <v>54</v>
      </c>
      <c r="H620" t="s">
        <v>108</v>
      </c>
    </row>
    <row r="621" spans="1:8" x14ac:dyDescent="0.3">
      <c r="A621" t="s">
        <v>1198</v>
      </c>
      <c r="B621" t="s">
        <v>108</v>
      </c>
      <c r="C621">
        <v>2026</v>
      </c>
      <c r="D621" t="s">
        <v>1187</v>
      </c>
      <c r="E621" t="s">
        <v>2</v>
      </c>
      <c r="F621">
        <v>1934994.2672204222</v>
      </c>
      <c r="G621" t="s">
        <v>36</v>
      </c>
      <c r="H621" t="s">
        <v>108</v>
      </c>
    </row>
    <row r="622" spans="1:8" x14ac:dyDescent="0.3">
      <c r="A622" t="s">
        <v>1199</v>
      </c>
      <c r="B622" t="s">
        <v>108</v>
      </c>
      <c r="C622">
        <v>2026</v>
      </c>
      <c r="D622" t="s">
        <v>1187</v>
      </c>
      <c r="E622" t="s">
        <v>1</v>
      </c>
      <c r="F622">
        <v>9642.3190709117662</v>
      </c>
      <c r="G622" t="s">
        <v>30</v>
      </c>
      <c r="H622" t="s">
        <v>108</v>
      </c>
    </row>
    <row r="623" spans="1:8" x14ac:dyDescent="0.3">
      <c r="A623" t="s">
        <v>1200</v>
      </c>
      <c r="B623" t="s">
        <v>108</v>
      </c>
      <c r="C623">
        <v>2026</v>
      </c>
      <c r="D623" t="s">
        <v>1187</v>
      </c>
      <c r="E623" t="s">
        <v>1</v>
      </c>
      <c r="F623">
        <v>1184</v>
      </c>
      <c r="G623" t="s">
        <v>54</v>
      </c>
      <c r="H623" t="s">
        <v>108</v>
      </c>
    </row>
    <row r="624" spans="1:8" x14ac:dyDescent="0.3">
      <c r="A624" t="s">
        <v>1201</v>
      </c>
      <c r="B624" t="s">
        <v>108</v>
      </c>
      <c r="C624">
        <v>2026</v>
      </c>
      <c r="D624" t="s">
        <v>1187</v>
      </c>
      <c r="E624" t="s">
        <v>1</v>
      </c>
      <c r="F624">
        <v>11416505.779959532</v>
      </c>
      <c r="G624" t="s">
        <v>36</v>
      </c>
      <c r="H624" t="s">
        <v>108</v>
      </c>
    </row>
    <row r="625" spans="1:8" x14ac:dyDescent="0.3">
      <c r="A625" t="s">
        <v>1958</v>
      </c>
      <c r="B625" t="s">
        <v>108</v>
      </c>
      <c r="C625">
        <v>2026</v>
      </c>
      <c r="D625" t="s">
        <v>1187</v>
      </c>
      <c r="E625" t="s">
        <v>1885</v>
      </c>
      <c r="F625">
        <v>8909.3648544681801</v>
      </c>
      <c r="G625" t="s">
        <v>30</v>
      </c>
      <c r="H625" t="s">
        <v>108</v>
      </c>
    </row>
    <row r="626" spans="1:8" x14ac:dyDescent="0.3">
      <c r="A626" t="s">
        <v>1959</v>
      </c>
      <c r="B626" t="s">
        <v>108</v>
      </c>
      <c r="C626">
        <v>2026</v>
      </c>
      <c r="D626" t="s">
        <v>1187</v>
      </c>
      <c r="E626" t="s">
        <v>1885</v>
      </c>
      <c r="F626">
        <v>1409</v>
      </c>
      <c r="G626" t="s">
        <v>54</v>
      </c>
      <c r="H626" t="s">
        <v>108</v>
      </c>
    </row>
    <row r="627" spans="1:8" x14ac:dyDescent="0.3">
      <c r="A627" t="s">
        <v>1960</v>
      </c>
      <c r="B627" t="s">
        <v>108</v>
      </c>
      <c r="C627">
        <v>2026</v>
      </c>
      <c r="D627" t="s">
        <v>1187</v>
      </c>
      <c r="E627" t="s">
        <v>1885</v>
      </c>
      <c r="F627">
        <v>12553295.079945665</v>
      </c>
      <c r="G627" t="s">
        <v>36</v>
      </c>
      <c r="H627" t="s">
        <v>108</v>
      </c>
    </row>
    <row r="628" spans="1:8" x14ac:dyDescent="0.3">
      <c r="A628" t="s">
        <v>1202</v>
      </c>
      <c r="B628" t="s">
        <v>108</v>
      </c>
      <c r="C628">
        <v>2026</v>
      </c>
      <c r="D628" t="s">
        <v>1187</v>
      </c>
      <c r="E628" t="s">
        <v>4</v>
      </c>
      <c r="F628">
        <v>8877.3271590292243</v>
      </c>
      <c r="G628" t="s">
        <v>30</v>
      </c>
      <c r="H628" t="s">
        <v>108</v>
      </c>
    </row>
    <row r="629" spans="1:8" x14ac:dyDescent="0.3">
      <c r="A629" t="s">
        <v>1203</v>
      </c>
      <c r="B629" t="s">
        <v>108</v>
      </c>
      <c r="C629">
        <v>2026</v>
      </c>
      <c r="D629" t="s">
        <v>1187</v>
      </c>
      <c r="E629" t="s">
        <v>4</v>
      </c>
      <c r="F629">
        <v>1504</v>
      </c>
      <c r="G629" t="s">
        <v>54</v>
      </c>
      <c r="H629" t="s">
        <v>108</v>
      </c>
    </row>
    <row r="630" spans="1:8" x14ac:dyDescent="0.3">
      <c r="A630" t="s">
        <v>1204</v>
      </c>
      <c r="B630" t="s">
        <v>108</v>
      </c>
      <c r="C630">
        <v>2026</v>
      </c>
      <c r="D630" t="s">
        <v>1187</v>
      </c>
      <c r="E630" t="s">
        <v>4</v>
      </c>
      <c r="F630">
        <v>13351500.047179954</v>
      </c>
      <c r="G630" t="s">
        <v>36</v>
      </c>
      <c r="H630" t="s">
        <v>108</v>
      </c>
    </row>
    <row r="631" spans="1:8" x14ac:dyDescent="0.3">
      <c r="A631" t="s">
        <v>1205</v>
      </c>
      <c r="B631" t="s">
        <v>108</v>
      </c>
      <c r="C631">
        <v>2026</v>
      </c>
      <c r="D631" t="s">
        <v>1187</v>
      </c>
      <c r="E631" t="s">
        <v>38</v>
      </c>
      <c r="F631">
        <v>0</v>
      </c>
      <c r="G631" t="s">
        <v>30</v>
      </c>
      <c r="H631" t="s">
        <v>108</v>
      </c>
    </row>
    <row r="632" spans="1:8" x14ac:dyDescent="0.3">
      <c r="A632" t="s">
        <v>1206</v>
      </c>
      <c r="B632" t="s">
        <v>108</v>
      </c>
      <c r="C632">
        <v>2026</v>
      </c>
      <c r="D632" t="s">
        <v>1187</v>
      </c>
      <c r="E632" t="s">
        <v>38</v>
      </c>
      <c r="F632">
        <v>0</v>
      </c>
      <c r="G632" t="s">
        <v>54</v>
      </c>
      <c r="H632" t="s">
        <v>108</v>
      </c>
    </row>
    <row r="633" spans="1:8" x14ac:dyDescent="0.3">
      <c r="A633" t="s">
        <v>1207</v>
      </c>
      <c r="B633" t="s">
        <v>108</v>
      </c>
      <c r="C633">
        <v>2026</v>
      </c>
      <c r="D633" t="s">
        <v>1187</v>
      </c>
      <c r="E633" t="s">
        <v>38</v>
      </c>
      <c r="F633">
        <v>0</v>
      </c>
      <c r="G633" t="s">
        <v>36</v>
      </c>
      <c r="H633" t="s">
        <v>108</v>
      </c>
    </row>
    <row r="634" spans="1:8" x14ac:dyDescent="0.3">
      <c r="A634" t="s">
        <v>1208</v>
      </c>
      <c r="B634" t="s">
        <v>114</v>
      </c>
      <c r="C634">
        <v>2026</v>
      </c>
      <c r="D634" t="s">
        <v>1209</v>
      </c>
      <c r="E634" t="s">
        <v>53</v>
      </c>
      <c r="F634">
        <v>0</v>
      </c>
      <c r="G634" t="s">
        <v>30</v>
      </c>
      <c r="H634" t="s">
        <v>114</v>
      </c>
    </row>
    <row r="635" spans="1:8" x14ac:dyDescent="0.3">
      <c r="A635" t="s">
        <v>1210</v>
      </c>
      <c r="B635" t="s">
        <v>114</v>
      </c>
      <c r="C635">
        <v>2026</v>
      </c>
      <c r="D635" t="s">
        <v>1209</v>
      </c>
      <c r="E635" t="s">
        <v>53</v>
      </c>
      <c r="F635">
        <v>0</v>
      </c>
      <c r="G635" t="s">
        <v>54</v>
      </c>
      <c r="H635" t="s">
        <v>114</v>
      </c>
    </row>
    <row r="636" spans="1:8" x14ac:dyDescent="0.3">
      <c r="A636" t="s">
        <v>1211</v>
      </c>
      <c r="B636" t="s">
        <v>114</v>
      </c>
      <c r="C636">
        <v>2026</v>
      </c>
      <c r="D636" t="s">
        <v>1209</v>
      </c>
      <c r="E636" t="s">
        <v>53</v>
      </c>
      <c r="F636">
        <v>0</v>
      </c>
      <c r="G636" t="s">
        <v>36</v>
      </c>
      <c r="H636" t="s">
        <v>114</v>
      </c>
    </row>
    <row r="637" spans="1:8" x14ac:dyDescent="0.3">
      <c r="A637" t="s">
        <v>1212</v>
      </c>
      <c r="B637" t="s">
        <v>114</v>
      </c>
      <c r="C637">
        <v>2026</v>
      </c>
      <c r="D637" t="s">
        <v>1209</v>
      </c>
      <c r="E637" t="s">
        <v>63</v>
      </c>
      <c r="F637">
        <v>0</v>
      </c>
      <c r="G637" t="s">
        <v>30</v>
      </c>
      <c r="H637" t="s">
        <v>114</v>
      </c>
    </row>
    <row r="638" spans="1:8" x14ac:dyDescent="0.3">
      <c r="A638" t="s">
        <v>1213</v>
      </c>
      <c r="B638" t="s">
        <v>114</v>
      </c>
      <c r="C638">
        <v>2026</v>
      </c>
      <c r="D638" t="s">
        <v>1209</v>
      </c>
      <c r="E638" t="s">
        <v>63</v>
      </c>
      <c r="F638">
        <v>2</v>
      </c>
      <c r="G638" t="s">
        <v>54</v>
      </c>
      <c r="H638" t="s">
        <v>114</v>
      </c>
    </row>
    <row r="639" spans="1:8" x14ac:dyDescent="0.3">
      <c r="A639" t="s">
        <v>1214</v>
      </c>
      <c r="B639" t="s">
        <v>114</v>
      </c>
      <c r="C639">
        <v>2026</v>
      </c>
      <c r="D639" t="s">
        <v>1209</v>
      </c>
      <c r="E639" t="s">
        <v>63</v>
      </c>
      <c r="F639">
        <v>0</v>
      </c>
      <c r="G639" t="s">
        <v>36</v>
      </c>
      <c r="H639" t="s">
        <v>114</v>
      </c>
    </row>
    <row r="640" spans="1:8" x14ac:dyDescent="0.3">
      <c r="A640" t="s">
        <v>1215</v>
      </c>
      <c r="B640" t="s">
        <v>114</v>
      </c>
      <c r="C640">
        <v>2026</v>
      </c>
      <c r="D640" t="s">
        <v>1209</v>
      </c>
      <c r="E640" t="s">
        <v>3</v>
      </c>
      <c r="F640">
        <v>0</v>
      </c>
      <c r="G640" t="s">
        <v>30</v>
      </c>
      <c r="H640" t="s">
        <v>114</v>
      </c>
    </row>
    <row r="641" spans="1:8" x14ac:dyDescent="0.3">
      <c r="A641" t="s">
        <v>1216</v>
      </c>
      <c r="B641" t="s">
        <v>114</v>
      </c>
      <c r="C641">
        <v>2026</v>
      </c>
      <c r="D641" t="s">
        <v>1209</v>
      </c>
      <c r="E641" t="s">
        <v>3</v>
      </c>
      <c r="F641">
        <v>0</v>
      </c>
      <c r="G641" t="s">
        <v>54</v>
      </c>
      <c r="H641" t="s">
        <v>114</v>
      </c>
    </row>
    <row r="642" spans="1:8" x14ac:dyDescent="0.3">
      <c r="A642" t="s">
        <v>1217</v>
      </c>
      <c r="B642" t="s">
        <v>114</v>
      </c>
      <c r="C642">
        <v>2026</v>
      </c>
      <c r="D642" t="s">
        <v>1209</v>
      </c>
      <c r="E642" t="s">
        <v>3</v>
      </c>
      <c r="F642">
        <v>0</v>
      </c>
      <c r="G642" t="s">
        <v>36</v>
      </c>
      <c r="H642" t="s">
        <v>114</v>
      </c>
    </row>
    <row r="643" spans="1:8" x14ac:dyDescent="0.3">
      <c r="A643" t="s">
        <v>1218</v>
      </c>
      <c r="B643" t="s">
        <v>114</v>
      </c>
      <c r="C643">
        <v>2026</v>
      </c>
      <c r="D643" t="s">
        <v>1209</v>
      </c>
      <c r="E643" t="s">
        <v>2</v>
      </c>
      <c r="F643">
        <v>3857.7079721414002</v>
      </c>
      <c r="G643" t="s">
        <v>30</v>
      </c>
      <c r="H643" t="s">
        <v>114</v>
      </c>
    </row>
    <row r="644" spans="1:8" x14ac:dyDescent="0.3">
      <c r="A644" t="s">
        <v>1219</v>
      </c>
      <c r="B644" t="s">
        <v>114</v>
      </c>
      <c r="C644">
        <v>2026</v>
      </c>
      <c r="D644" t="s">
        <v>1209</v>
      </c>
      <c r="E644" t="s">
        <v>2</v>
      </c>
      <c r="F644">
        <v>145</v>
      </c>
      <c r="G644" t="s">
        <v>54</v>
      </c>
      <c r="H644" t="s">
        <v>114</v>
      </c>
    </row>
    <row r="645" spans="1:8" x14ac:dyDescent="0.3">
      <c r="A645" t="s">
        <v>1220</v>
      </c>
      <c r="B645" t="s">
        <v>114</v>
      </c>
      <c r="C645">
        <v>2026</v>
      </c>
      <c r="D645" t="s">
        <v>1209</v>
      </c>
      <c r="E645" t="s">
        <v>2</v>
      </c>
      <c r="F645">
        <v>559367.65596050303</v>
      </c>
      <c r="G645" t="s">
        <v>36</v>
      </c>
      <c r="H645" t="s">
        <v>114</v>
      </c>
    </row>
    <row r="646" spans="1:8" x14ac:dyDescent="0.3">
      <c r="A646" t="s">
        <v>1221</v>
      </c>
      <c r="B646" t="s">
        <v>114</v>
      </c>
      <c r="C646">
        <v>2026</v>
      </c>
      <c r="D646" t="s">
        <v>1209</v>
      </c>
      <c r="E646" t="s">
        <v>1</v>
      </c>
      <c r="F646">
        <v>11345.82083213109</v>
      </c>
      <c r="G646" t="s">
        <v>30</v>
      </c>
      <c r="H646" t="s">
        <v>114</v>
      </c>
    </row>
    <row r="647" spans="1:8" x14ac:dyDescent="0.3">
      <c r="A647" t="s">
        <v>1222</v>
      </c>
      <c r="B647" t="s">
        <v>114</v>
      </c>
      <c r="C647">
        <v>2026</v>
      </c>
      <c r="D647" t="s">
        <v>1209</v>
      </c>
      <c r="E647" t="s">
        <v>1</v>
      </c>
      <c r="F647">
        <v>624</v>
      </c>
      <c r="G647" t="s">
        <v>54</v>
      </c>
      <c r="H647" t="s">
        <v>114</v>
      </c>
    </row>
    <row r="648" spans="1:8" x14ac:dyDescent="0.3">
      <c r="A648" t="s">
        <v>1223</v>
      </c>
      <c r="B648" t="s">
        <v>114</v>
      </c>
      <c r="C648">
        <v>2026</v>
      </c>
      <c r="D648" t="s">
        <v>1209</v>
      </c>
      <c r="E648" t="s">
        <v>1</v>
      </c>
      <c r="F648">
        <v>7079792.1992498003</v>
      </c>
      <c r="G648" t="s">
        <v>36</v>
      </c>
      <c r="H648" t="s">
        <v>114</v>
      </c>
    </row>
    <row r="649" spans="1:8" x14ac:dyDescent="0.3">
      <c r="A649" t="s">
        <v>1961</v>
      </c>
      <c r="B649" t="s">
        <v>114</v>
      </c>
      <c r="C649">
        <v>2026</v>
      </c>
      <c r="D649" t="s">
        <v>1209</v>
      </c>
      <c r="E649" t="s">
        <v>1885</v>
      </c>
      <c r="F649">
        <v>10329.824335572199</v>
      </c>
      <c r="G649" t="s">
        <v>30</v>
      </c>
      <c r="H649" t="s">
        <v>114</v>
      </c>
    </row>
    <row r="650" spans="1:8" x14ac:dyDescent="0.3">
      <c r="A650" t="s">
        <v>1962</v>
      </c>
      <c r="B650" t="s">
        <v>114</v>
      </c>
      <c r="C650">
        <v>2026</v>
      </c>
      <c r="D650" t="s">
        <v>1209</v>
      </c>
      <c r="E650" t="s">
        <v>1885</v>
      </c>
      <c r="F650">
        <v>970</v>
      </c>
      <c r="G650" t="s">
        <v>54</v>
      </c>
      <c r="H650" t="s">
        <v>114</v>
      </c>
    </row>
    <row r="651" spans="1:8" x14ac:dyDescent="0.3">
      <c r="A651" t="s">
        <v>1963</v>
      </c>
      <c r="B651" t="s">
        <v>114</v>
      </c>
      <c r="C651">
        <v>2026</v>
      </c>
      <c r="D651" t="s">
        <v>1209</v>
      </c>
      <c r="E651" t="s">
        <v>1885</v>
      </c>
      <c r="F651">
        <v>10019929.605505032</v>
      </c>
      <c r="G651" t="s">
        <v>36</v>
      </c>
      <c r="H651" t="s">
        <v>114</v>
      </c>
    </row>
    <row r="652" spans="1:8" x14ac:dyDescent="0.3">
      <c r="A652" t="s">
        <v>1224</v>
      </c>
      <c r="B652" t="s">
        <v>114</v>
      </c>
      <c r="C652">
        <v>2026</v>
      </c>
      <c r="D652" t="s">
        <v>1209</v>
      </c>
      <c r="E652" t="s">
        <v>4</v>
      </c>
      <c r="F652">
        <v>10200.860275983407</v>
      </c>
      <c r="G652" t="s">
        <v>30</v>
      </c>
      <c r="H652" t="s">
        <v>114</v>
      </c>
    </row>
    <row r="653" spans="1:8" x14ac:dyDescent="0.3">
      <c r="A653" t="s">
        <v>1225</v>
      </c>
      <c r="B653" t="s">
        <v>114</v>
      </c>
      <c r="C653">
        <v>2026</v>
      </c>
      <c r="D653" t="s">
        <v>1209</v>
      </c>
      <c r="E653" t="s">
        <v>4</v>
      </c>
      <c r="F653">
        <v>980</v>
      </c>
      <c r="G653" t="s">
        <v>54</v>
      </c>
      <c r="H653" t="s">
        <v>114</v>
      </c>
    </row>
    <row r="654" spans="1:8" x14ac:dyDescent="0.3">
      <c r="A654" t="s">
        <v>1226</v>
      </c>
      <c r="B654" t="s">
        <v>114</v>
      </c>
      <c r="C654">
        <v>2026</v>
      </c>
      <c r="D654" t="s">
        <v>1209</v>
      </c>
      <c r="E654" t="s">
        <v>4</v>
      </c>
      <c r="F654">
        <v>9996843.0704637393</v>
      </c>
      <c r="G654" t="s">
        <v>36</v>
      </c>
      <c r="H654" t="s">
        <v>114</v>
      </c>
    </row>
    <row r="655" spans="1:8" x14ac:dyDescent="0.3">
      <c r="A655" t="s">
        <v>1227</v>
      </c>
      <c r="B655" t="s">
        <v>114</v>
      </c>
      <c r="C655">
        <v>2026</v>
      </c>
      <c r="D655" t="s">
        <v>1209</v>
      </c>
      <c r="E655" t="s">
        <v>38</v>
      </c>
      <c r="F655">
        <v>11280.780934226965</v>
      </c>
      <c r="G655" t="s">
        <v>30</v>
      </c>
      <c r="H655" t="s">
        <v>114</v>
      </c>
    </row>
    <row r="656" spans="1:8" x14ac:dyDescent="0.3">
      <c r="A656" t="s">
        <v>1228</v>
      </c>
      <c r="B656" t="s">
        <v>114</v>
      </c>
      <c r="C656">
        <v>2026</v>
      </c>
      <c r="D656" t="s">
        <v>1209</v>
      </c>
      <c r="E656" t="s">
        <v>38</v>
      </c>
      <c r="F656">
        <v>209</v>
      </c>
      <c r="G656" t="s">
        <v>54</v>
      </c>
      <c r="H656" t="s">
        <v>114</v>
      </c>
    </row>
    <row r="657" spans="1:8" x14ac:dyDescent="0.3">
      <c r="A657" t="s">
        <v>1229</v>
      </c>
      <c r="B657" t="s">
        <v>114</v>
      </c>
      <c r="C657">
        <v>2026</v>
      </c>
      <c r="D657" t="s">
        <v>1209</v>
      </c>
      <c r="E657" t="s">
        <v>38</v>
      </c>
      <c r="F657">
        <v>2357683.2152534355</v>
      </c>
      <c r="G657" t="s">
        <v>36</v>
      </c>
      <c r="H657" t="s">
        <v>114</v>
      </c>
    </row>
    <row r="658" spans="1:8" x14ac:dyDescent="0.3">
      <c r="A658" t="s">
        <v>1230</v>
      </c>
      <c r="B658" t="s">
        <v>79</v>
      </c>
      <c r="C658">
        <v>2026</v>
      </c>
      <c r="D658" t="s">
        <v>1231</v>
      </c>
      <c r="E658" t="s">
        <v>53</v>
      </c>
      <c r="F658">
        <v>0</v>
      </c>
      <c r="G658" t="s">
        <v>30</v>
      </c>
      <c r="H658" t="s">
        <v>79</v>
      </c>
    </row>
    <row r="659" spans="1:8" x14ac:dyDescent="0.3">
      <c r="A659" t="s">
        <v>1232</v>
      </c>
      <c r="B659" t="s">
        <v>79</v>
      </c>
      <c r="C659">
        <v>2026</v>
      </c>
      <c r="D659" t="s">
        <v>1231</v>
      </c>
      <c r="E659" t="s">
        <v>53</v>
      </c>
      <c r="F659">
        <v>0</v>
      </c>
      <c r="G659" t="s">
        <v>54</v>
      </c>
      <c r="H659" t="s">
        <v>79</v>
      </c>
    </row>
    <row r="660" spans="1:8" x14ac:dyDescent="0.3">
      <c r="A660" t="s">
        <v>1233</v>
      </c>
      <c r="B660" t="s">
        <v>79</v>
      </c>
      <c r="C660">
        <v>2026</v>
      </c>
      <c r="D660" t="s">
        <v>1231</v>
      </c>
      <c r="E660" t="s">
        <v>53</v>
      </c>
      <c r="F660">
        <v>0</v>
      </c>
      <c r="G660" t="s">
        <v>36</v>
      </c>
      <c r="H660" t="s">
        <v>79</v>
      </c>
    </row>
    <row r="661" spans="1:8" x14ac:dyDescent="0.3">
      <c r="A661" t="s">
        <v>1234</v>
      </c>
      <c r="B661" t="s">
        <v>79</v>
      </c>
      <c r="C661">
        <v>2026</v>
      </c>
      <c r="D661" t="s">
        <v>1231</v>
      </c>
      <c r="E661" t="s">
        <v>63</v>
      </c>
      <c r="F661">
        <v>26405.169468667671</v>
      </c>
      <c r="G661" t="s">
        <v>30</v>
      </c>
      <c r="H661" t="s">
        <v>79</v>
      </c>
    </row>
    <row r="662" spans="1:8" x14ac:dyDescent="0.3">
      <c r="A662" t="s">
        <v>1235</v>
      </c>
      <c r="B662" t="s">
        <v>79</v>
      </c>
      <c r="C662">
        <v>2026</v>
      </c>
      <c r="D662" t="s">
        <v>1231</v>
      </c>
      <c r="E662" t="s">
        <v>63</v>
      </c>
      <c r="F662">
        <v>1</v>
      </c>
      <c r="G662" t="s">
        <v>54</v>
      </c>
      <c r="H662" t="s">
        <v>79</v>
      </c>
    </row>
    <row r="663" spans="1:8" x14ac:dyDescent="0.3">
      <c r="A663" t="s">
        <v>1236</v>
      </c>
      <c r="B663" t="s">
        <v>79</v>
      </c>
      <c r="C663">
        <v>2026</v>
      </c>
      <c r="D663" t="s">
        <v>1231</v>
      </c>
      <c r="E663" t="s">
        <v>63</v>
      </c>
      <c r="F663">
        <v>26405.169468667671</v>
      </c>
      <c r="G663" t="s">
        <v>36</v>
      </c>
      <c r="H663" t="s">
        <v>79</v>
      </c>
    </row>
    <row r="664" spans="1:8" x14ac:dyDescent="0.3">
      <c r="A664" t="s">
        <v>1237</v>
      </c>
      <c r="B664" t="s">
        <v>79</v>
      </c>
      <c r="C664">
        <v>2026</v>
      </c>
      <c r="D664" t="s">
        <v>1231</v>
      </c>
      <c r="E664" t="s">
        <v>3</v>
      </c>
      <c r="F664">
        <v>11078.53208029843</v>
      </c>
      <c r="G664" t="s">
        <v>30</v>
      </c>
      <c r="H664" t="s">
        <v>79</v>
      </c>
    </row>
    <row r="665" spans="1:8" x14ac:dyDescent="0.3">
      <c r="A665" t="s">
        <v>1238</v>
      </c>
      <c r="B665" t="s">
        <v>79</v>
      </c>
      <c r="C665">
        <v>2026</v>
      </c>
      <c r="D665" t="s">
        <v>1231</v>
      </c>
      <c r="E665" t="s">
        <v>3</v>
      </c>
      <c r="F665">
        <v>18</v>
      </c>
      <c r="G665" t="s">
        <v>54</v>
      </c>
      <c r="H665" t="s">
        <v>79</v>
      </c>
    </row>
    <row r="666" spans="1:8" x14ac:dyDescent="0.3">
      <c r="A666" t="s">
        <v>1239</v>
      </c>
      <c r="B666" t="s">
        <v>79</v>
      </c>
      <c r="C666">
        <v>2026</v>
      </c>
      <c r="D666" t="s">
        <v>1231</v>
      </c>
      <c r="E666" t="s">
        <v>3</v>
      </c>
      <c r="F666">
        <v>199413.57744537175</v>
      </c>
      <c r="G666" t="s">
        <v>36</v>
      </c>
      <c r="H666" t="s">
        <v>79</v>
      </c>
    </row>
    <row r="667" spans="1:8" x14ac:dyDescent="0.3">
      <c r="A667" t="s">
        <v>1240</v>
      </c>
      <c r="B667" t="s">
        <v>79</v>
      </c>
      <c r="C667">
        <v>2026</v>
      </c>
      <c r="D667" t="s">
        <v>1231</v>
      </c>
      <c r="E667" t="s">
        <v>2</v>
      </c>
      <c r="F667">
        <v>6437.5528102756725</v>
      </c>
      <c r="G667" t="s">
        <v>30</v>
      </c>
      <c r="H667" t="s">
        <v>79</v>
      </c>
    </row>
    <row r="668" spans="1:8" x14ac:dyDescent="0.3">
      <c r="A668" t="s">
        <v>1241</v>
      </c>
      <c r="B668" t="s">
        <v>79</v>
      </c>
      <c r="C668">
        <v>2026</v>
      </c>
      <c r="D668" t="s">
        <v>1231</v>
      </c>
      <c r="E668" t="s">
        <v>2</v>
      </c>
      <c r="F668">
        <v>17</v>
      </c>
      <c r="G668" t="s">
        <v>54</v>
      </c>
      <c r="H668" t="s">
        <v>79</v>
      </c>
    </row>
    <row r="669" spans="1:8" x14ac:dyDescent="0.3">
      <c r="A669" t="s">
        <v>1242</v>
      </c>
      <c r="B669" t="s">
        <v>79</v>
      </c>
      <c r="C669">
        <v>2026</v>
      </c>
      <c r="D669" t="s">
        <v>1231</v>
      </c>
      <c r="E669" t="s">
        <v>2</v>
      </c>
      <c r="F669">
        <v>109438.39777468644</v>
      </c>
      <c r="G669" t="s">
        <v>36</v>
      </c>
      <c r="H669" t="s">
        <v>79</v>
      </c>
    </row>
    <row r="670" spans="1:8" x14ac:dyDescent="0.3">
      <c r="A670" t="s">
        <v>1243</v>
      </c>
      <c r="B670" t="s">
        <v>79</v>
      </c>
      <c r="C670">
        <v>2026</v>
      </c>
      <c r="D670" t="s">
        <v>1231</v>
      </c>
      <c r="E670" t="s">
        <v>1</v>
      </c>
      <c r="F670">
        <v>10362.000859275609</v>
      </c>
      <c r="G670" t="s">
        <v>30</v>
      </c>
      <c r="H670" t="s">
        <v>79</v>
      </c>
    </row>
    <row r="671" spans="1:8" x14ac:dyDescent="0.3">
      <c r="A671" t="s">
        <v>1244</v>
      </c>
      <c r="B671" t="s">
        <v>79</v>
      </c>
      <c r="C671">
        <v>2026</v>
      </c>
      <c r="D671" t="s">
        <v>1231</v>
      </c>
      <c r="E671" t="s">
        <v>1</v>
      </c>
      <c r="F671">
        <v>648</v>
      </c>
      <c r="G671" t="s">
        <v>54</v>
      </c>
      <c r="H671" t="s">
        <v>79</v>
      </c>
    </row>
    <row r="672" spans="1:8" x14ac:dyDescent="0.3">
      <c r="A672" t="s">
        <v>1245</v>
      </c>
      <c r="B672" t="s">
        <v>79</v>
      </c>
      <c r="C672">
        <v>2026</v>
      </c>
      <c r="D672" t="s">
        <v>1231</v>
      </c>
      <c r="E672" t="s">
        <v>1</v>
      </c>
      <c r="F672">
        <v>6714576.5568105951</v>
      </c>
      <c r="G672" t="s">
        <v>36</v>
      </c>
      <c r="H672" t="s">
        <v>79</v>
      </c>
    </row>
    <row r="673" spans="1:8" x14ac:dyDescent="0.3">
      <c r="A673" t="s">
        <v>1964</v>
      </c>
      <c r="B673" t="s">
        <v>79</v>
      </c>
      <c r="C673">
        <v>2026</v>
      </c>
      <c r="D673" t="s">
        <v>1231</v>
      </c>
      <c r="E673" t="s">
        <v>1885</v>
      </c>
      <c r="F673">
        <v>10263.13853090989</v>
      </c>
      <c r="G673" t="s">
        <v>30</v>
      </c>
      <c r="H673" t="s">
        <v>79</v>
      </c>
    </row>
    <row r="674" spans="1:8" x14ac:dyDescent="0.3">
      <c r="A674" t="s">
        <v>1965</v>
      </c>
      <c r="B674" t="s">
        <v>79</v>
      </c>
      <c r="C674">
        <v>2026</v>
      </c>
      <c r="D674" t="s">
        <v>1231</v>
      </c>
      <c r="E674" t="s">
        <v>1885</v>
      </c>
      <c r="F674">
        <v>1011</v>
      </c>
      <c r="G674" t="s">
        <v>54</v>
      </c>
      <c r="H674" t="s">
        <v>79</v>
      </c>
    </row>
    <row r="675" spans="1:8" x14ac:dyDescent="0.3">
      <c r="A675" t="s">
        <v>1966</v>
      </c>
      <c r="B675" t="s">
        <v>79</v>
      </c>
      <c r="C675">
        <v>2026</v>
      </c>
      <c r="D675" t="s">
        <v>1231</v>
      </c>
      <c r="E675" t="s">
        <v>1885</v>
      </c>
      <c r="F675">
        <v>10376033.054749899</v>
      </c>
      <c r="G675" t="s">
        <v>36</v>
      </c>
      <c r="H675" t="s">
        <v>79</v>
      </c>
    </row>
    <row r="676" spans="1:8" x14ac:dyDescent="0.3">
      <c r="A676" t="s">
        <v>1246</v>
      </c>
      <c r="B676" t="s">
        <v>79</v>
      </c>
      <c r="C676">
        <v>2026</v>
      </c>
      <c r="D676" t="s">
        <v>1231</v>
      </c>
      <c r="E676" t="s">
        <v>4</v>
      </c>
      <c r="F676">
        <v>10268.951620584583</v>
      </c>
      <c r="G676" t="s">
        <v>30</v>
      </c>
      <c r="H676" t="s">
        <v>79</v>
      </c>
    </row>
    <row r="677" spans="1:8" x14ac:dyDescent="0.3">
      <c r="A677" t="s">
        <v>1247</v>
      </c>
      <c r="B677" t="s">
        <v>79</v>
      </c>
      <c r="C677">
        <v>2026</v>
      </c>
      <c r="D677" t="s">
        <v>1231</v>
      </c>
      <c r="E677" t="s">
        <v>4</v>
      </c>
      <c r="F677">
        <v>1021</v>
      </c>
      <c r="G677" t="s">
        <v>54</v>
      </c>
      <c r="H677" t="s">
        <v>79</v>
      </c>
    </row>
    <row r="678" spans="1:8" x14ac:dyDescent="0.3">
      <c r="A678" t="s">
        <v>1248</v>
      </c>
      <c r="B678" t="s">
        <v>79</v>
      </c>
      <c r="C678">
        <v>2026</v>
      </c>
      <c r="D678" t="s">
        <v>1231</v>
      </c>
      <c r="E678" t="s">
        <v>4</v>
      </c>
      <c r="F678">
        <v>10484599.60461686</v>
      </c>
      <c r="G678" t="s">
        <v>36</v>
      </c>
      <c r="H678" t="s">
        <v>79</v>
      </c>
    </row>
    <row r="679" spans="1:8" x14ac:dyDescent="0.3">
      <c r="A679" t="s">
        <v>1249</v>
      </c>
      <c r="B679" t="s">
        <v>79</v>
      </c>
      <c r="C679">
        <v>2026</v>
      </c>
      <c r="D679" t="s">
        <v>1231</v>
      </c>
      <c r="E679" t="s">
        <v>38</v>
      </c>
      <c r="F679">
        <v>10192.183688776082</v>
      </c>
      <c r="G679" t="s">
        <v>30</v>
      </c>
      <c r="H679" t="s">
        <v>79</v>
      </c>
    </row>
    <row r="680" spans="1:8" x14ac:dyDescent="0.3">
      <c r="A680" t="s">
        <v>1250</v>
      </c>
      <c r="B680" t="s">
        <v>79</v>
      </c>
      <c r="C680">
        <v>2026</v>
      </c>
      <c r="D680" t="s">
        <v>1231</v>
      </c>
      <c r="E680" t="s">
        <v>38</v>
      </c>
      <c r="F680">
        <v>337</v>
      </c>
      <c r="G680" t="s">
        <v>54</v>
      </c>
      <c r="H680" t="s">
        <v>79</v>
      </c>
    </row>
    <row r="681" spans="1:8" x14ac:dyDescent="0.3">
      <c r="A681" t="s">
        <v>1251</v>
      </c>
      <c r="B681" t="s">
        <v>79</v>
      </c>
      <c r="C681">
        <v>2026</v>
      </c>
      <c r="D681" t="s">
        <v>1231</v>
      </c>
      <c r="E681" t="s">
        <v>38</v>
      </c>
      <c r="F681">
        <v>3434765.9031175398</v>
      </c>
      <c r="G681" t="s">
        <v>36</v>
      </c>
      <c r="H681" t="s">
        <v>79</v>
      </c>
    </row>
    <row r="682" spans="1:8" x14ac:dyDescent="0.3">
      <c r="A682" t="s">
        <v>1252</v>
      </c>
      <c r="B682" t="s">
        <v>80</v>
      </c>
      <c r="C682">
        <v>2026</v>
      </c>
      <c r="D682" t="s">
        <v>1253</v>
      </c>
      <c r="E682" t="s">
        <v>53</v>
      </c>
      <c r="F682">
        <v>0</v>
      </c>
      <c r="G682" t="s">
        <v>30</v>
      </c>
      <c r="H682" t="s">
        <v>80</v>
      </c>
    </row>
    <row r="683" spans="1:8" x14ac:dyDescent="0.3">
      <c r="A683" t="s">
        <v>1254</v>
      </c>
      <c r="B683" t="s">
        <v>80</v>
      </c>
      <c r="C683">
        <v>2026</v>
      </c>
      <c r="D683" t="s">
        <v>1253</v>
      </c>
      <c r="E683" t="s">
        <v>53</v>
      </c>
      <c r="F683">
        <v>0</v>
      </c>
      <c r="G683" t="s">
        <v>54</v>
      </c>
      <c r="H683" t="s">
        <v>80</v>
      </c>
    </row>
    <row r="684" spans="1:8" x14ac:dyDescent="0.3">
      <c r="A684" t="s">
        <v>1255</v>
      </c>
      <c r="B684" t="s">
        <v>80</v>
      </c>
      <c r="C684">
        <v>2026</v>
      </c>
      <c r="D684" t="s">
        <v>1253</v>
      </c>
      <c r="E684" t="s">
        <v>53</v>
      </c>
      <c r="F684">
        <v>0</v>
      </c>
      <c r="G684" t="s">
        <v>36</v>
      </c>
      <c r="H684" t="s">
        <v>80</v>
      </c>
    </row>
    <row r="685" spans="1:8" x14ac:dyDescent="0.3">
      <c r="A685" t="s">
        <v>1256</v>
      </c>
      <c r="B685" t="s">
        <v>80</v>
      </c>
      <c r="C685">
        <v>2026</v>
      </c>
      <c r="D685" t="s">
        <v>1253</v>
      </c>
      <c r="E685" t="s">
        <v>63</v>
      </c>
      <c r="F685">
        <v>0</v>
      </c>
      <c r="G685" t="s">
        <v>30</v>
      </c>
      <c r="H685" t="s">
        <v>80</v>
      </c>
    </row>
    <row r="686" spans="1:8" x14ac:dyDescent="0.3">
      <c r="A686" t="s">
        <v>1257</v>
      </c>
      <c r="B686" t="s">
        <v>80</v>
      </c>
      <c r="C686">
        <v>2026</v>
      </c>
      <c r="D686" t="s">
        <v>1253</v>
      </c>
      <c r="E686" t="s">
        <v>63</v>
      </c>
      <c r="F686">
        <v>0</v>
      </c>
      <c r="G686" t="s">
        <v>54</v>
      </c>
      <c r="H686" t="s">
        <v>80</v>
      </c>
    </row>
    <row r="687" spans="1:8" x14ac:dyDescent="0.3">
      <c r="A687" t="s">
        <v>1258</v>
      </c>
      <c r="B687" t="s">
        <v>80</v>
      </c>
      <c r="C687">
        <v>2026</v>
      </c>
      <c r="D687" t="s">
        <v>1253</v>
      </c>
      <c r="E687" t="s">
        <v>63</v>
      </c>
      <c r="F687">
        <v>0</v>
      </c>
      <c r="G687" t="s">
        <v>36</v>
      </c>
      <c r="H687" t="s">
        <v>80</v>
      </c>
    </row>
    <row r="688" spans="1:8" x14ac:dyDescent="0.3">
      <c r="A688" t="s">
        <v>1259</v>
      </c>
      <c r="B688" t="s">
        <v>80</v>
      </c>
      <c r="C688">
        <v>2026</v>
      </c>
      <c r="D688" t="s">
        <v>1253</v>
      </c>
      <c r="E688" t="s">
        <v>3</v>
      </c>
      <c r="F688">
        <v>0</v>
      </c>
      <c r="G688" t="s">
        <v>30</v>
      </c>
      <c r="H688" t="s">
        <v>80</v>
      </c>
    </row>
    <row r="689" spans="1:8" x14ac:dyDescent="0.3">
      <c r="A689" t="s">
        <v>1260</v>
      </c>
      <c r="B689" t="s">
        <v>80</v>
      </c>
      <c r="C689">
        <v>2026</v>
      </c>
      <c r="D689" t="s">
        <v>1253</v>
      </c>
      <c r="E689" t="s">
        <v>3</v>
      </c>
      <c r="F689">
        <v>0</v>
      </c>
      <c r="G689" t="s">
        <v>54</v>
      </c>
      <c r="H689" t="s">
        <v>80</v>
      </c>
    </row>
    <row r="690" spans="1:8" x14ac:dyDescent="0.3">
      <c r="A690" t="s">
        <v>1261</v>
      </c>
      <c r="B690" t="s">
        <v>80</v>
      </c>
      <c r="C690">
        <v>2026</v>
      </c>
      <c r="D690" t="s">
        <v>1253</v>
      </c>
      <c r="E690" t="s">
        <v>3</v>
      </c>
      <c r="F690">
        <v>0</v>
      </c>
      <c r="G690" t="s">
        <v>36</v>
      </c>
      <c r="H690" t="s">
        <v>80</v>
      </c>
    </row>
    <row r="691" spans="1:8" x14ac:dyDescent="0.3">
      <c r="A691" t="s">
        <v>1262</v>
      </c>
      <c r="B691" t="s">
        <v>80</v>
      </c>
      <c r="C691">
        <v>2026</v>
      </c>
      <c r="D691" t="s">
        <v>1253</v>
      </c>
      <c r="E691" t="s">
        <v>2</v>
      </c>
      <c r="F691">
        <v>8019.3624343516367</v>
      </c>
      <c r="G691" t="s">
        <v>30</v>
      </c>
      <c r="H691" t="s">
        <v>80</v>
      </c>
    </row>
    <row r="692" spans="1:8" x14ac:dyDescent="0.3">
      <c r="A692" t="s">
        <v>1263</v>
      </c>
      <c r="B692" t="s">
        <v>80</v>
      </c>
      <c r="C692">
        <v>2026</v>
      </c>
      <c r="D692" t="s">
        <v>1253</v>
      </c>
      <c r="E692" t="s">
        <v>2</v>
      </c>
      <c r="F692">
        <v>151</v>
      </c>
      <c r="G692" t="s">
        <v>54</v>
      </c>
      <c r="H692" t="s">
        <v>80</v>
      </c>
    </row>
    <row r="693" spans="1:8" x14ac:dyDescent="0.3">
      <c r="A693" t="s">
        <v>1264</v>
      </c>
      <c r="B693" t="s">
        <v>80</v>
      </c>
      <c r="C693">
        <v>2026</v>
      </c>
      <c r="D693" t="s">
        <v>1253</v>
      </c>
      <c r="E693" t="s">
        <v>2</v>
      </c>
      <c r="F693">
        <v>1210923.7275870971</v>
      </c>
      <c r="G693" t="s">
        <v>36</v>
      </c>
      <c r="H693" t="s">
        <v>80</v>
      </c>
    </row>
    <row r="694" spans="1:8" x14ac:dyDescent="0.3">
      <c r="A694" t="s">
        <v>1265</v>
      </c>
      <c r="B694" t="s">
        <v>80</v>
      </c>
      <c r="C694">
        <v>2026</v>
      </c>
      <c r="D694" t="s">
        <v>1253</v>
      </c>
      <c r="E694" t="s">
        <v>1</v>
      </c>
      <c r="F694">
        <v>12853.472914956013</v>
      </c>
      <c r="G694" t="s">
        <v>30</v>
      </c>
      <c r="H694" t="s">
        <v>80</v>
      </c>
    </row>
    <row r="695" spans="1:8" x14ac:dyDescent="0.3">
      <c r="A695" t="s">
        <v>1266</v>
      </c>
      <c r="B695" t="s">
        <v>80</v>
      </c>
      <c r="C695">
        <v>2026</v>
      </c>
      <c r="D695" t="s">
        <v>1253</v>
      </c>
      <c r="E695" t="s">
        <v>1</v>
      </c>
      <c r="F695">
        <v>1716</v>
      </c>
      <c r="G695" t="s">
        <v>54</v>
      </c>
      <c r="H695" t="s">
        <v>80</v>
      </c>
    </row>
    <row r="696" spans="1:8" x14ac:dyDescent="0.3">
      <c r="A696" t="s">
        <v>1267</v>
      </c>
      <c r="B696" t="s">
        <v>80</v>
      </c>
      <c r="C696">
        <v>2026</v>
      </c>
      <c r="D696" t="s">
        <v>1253</v>
      </c>
      <c r="E696" t="s">
        <v>1</v>
      </c>
      <c r="F696">
        <v>22056559.522064518</v>
      </c>
      <c r="G696" t="s">
        <v>36</v>
      </c>
      <c r="H696" t="s">
        <v>80</v>
      </c>
    </row>
    <row r="697" spans="1:8" x14ac:dyDescent="0.3">
      <c r="A697" t="s">
        <v>1967</v>
      </c>
      <c r="B697" t="s">
        <v>80</v>
      </c>
      <c r="C697">
        <v>2026</v>
      </c>
      <c r="D697" t="s">
        <v>1253</v>
      </c>
      <c r="E697" t="s">
        <v>1885</v>
      </c>
      <c r="F697">
        <v>12466.821428583718</v>
      </c>
      <c r="G697" t="s">
        <v>30</v>
      </c>
      <c r="H697" t="s">
        <v>80</v>
      </c>
    </row>
    <row r="698" spans="1:8" x14ac:dyDescent="0.3">
      <c r="A698" t="s">
        <v>1968</v>
      </c>
      <c r="B698" t="s">
        <v>80</v>
      </c>
      <c r="C698">
        <v>2026</v>
      </c>
      <c r="D698" t="s">
        <v>1253</v>
      </c>
      <c r="E698" t="s">
        <v>1885</v>
      </c>
      <c r="F698">
        <v>2016</v>
      </c>
      <c r="G698" t="s">
        <v>54</v>
      </c>
      <c r="H698" t="s">
        <v>80</v>
      </c>
    </row>
    <row r="699" spans="1:8" x14ac:dyDescent="0.3">
      <c r="A699" t="s">
        <v>1969</v>
      </c>
      <c r="B699" t="s">
        <v>80</v>
      </c>
      <c r="C699">
        <v>2026</v>
      </c>
      <c r="D699" t="s">
        <v>1253</v>
      </c>
      <c r="E699" t="s">
        <v>1885</v>
      </c>
      <c r="F699">
        <v>25133112.000024777</v>
      </c>
      <c r="G699" t="s">
        <v>36</v>
      </c>
      <c r="H699" t="s">
        <v>80</v>
      </c>
    </row>
    <row r="700" spans="1:8" x14ac:dyDescent="0.3">
      <c r="A700" t="s">
        <v>1268</v>
      </c>
      <c r="B700" t="s">
        <v>80</v>
      </c>
      <c r="C700">
        <v>2026</v>
      </c>
      <c r="D700" t="s">
        <v>1253</v>
      </c>
      <c r="E700" t="s">
        <v>4</v>
      </c>
      <c r="F700">
        <v>12504.035820907849</v>
      </c>
      <c r="G700" t="s">
        <v>30</v>
      </c>
      <c r="H700" t="s">
        <v>80</v>
      </c>
    </row>
    <row r="701" spans="1:8" x14ac:dyDescent="0.3">
      <c r="A701" t="s">
        <v>1269</v>
      </c>
      <c r="B701" t="s">
        <v>80</v>
      </c>
      <c r="C701">
        <v>2026</v>
      </c>
      <c r="D701" t="s">
        <v>1253</v>
      </c>
      <c r="E701" t="s">
        <v>4</v>
      </c>
      <c r="F701">
        <v>2010</v>
      </c>
      <c r="G701" t="s">
        <v>54</v>
      </c>
      <c r="H701" t="s">
        <v>80</v>
      </c>
    </row>
    <row r="702" spans="1:8" x14ac:dyDescent="0.3">
      <c r="A702" t="s">
        <v>1270</v>
      </c>
      <c r="B702" t="s">
        <v>80</v>
      </c>
      <c r="C702">
        <v>2026</v>
      </c>
      <c r="D702" t="s">
        <v>1253</v>
      </c>
      <c r="E702" t="s">
        <v>4</v>
      </c>
      <c r="F702">
        <v>25133112.000024777</v>
      </c>
      <c r="G702" t="s">
        <v>36</v>
      </c>
      <c r="H702" t="s">
        <v>80</v>
      </c>
    </row>
    <row r="703" spans="1:8" x14ac:dyDescent="0.3">
      <c r="A703" t="s">
        <v>1271</v>
      </c>
      <c r="B703" t="s">
        <v>80</v>
      </c>
      <c r="C703">
        <v>2026</v>
      </c>
      <c r="D703" t="s">
        <v>1253</v>
      </c>
      <c r="E703" t="s">
        <v>38</v>
      </c>
      <c r="F703">
        <v>13046.35489771442</v>
      </c>
      <c r="G703" t="s">
        <v>30</v>
      </c>
      <c r="H703" t="s">
        <v>80</v>
      </c>
    </row>
    <row r="704" spans="1:8" x14ac:dyDescent="0.3">
      <c r="A704" t="s">
        <v>1272</v>
      </c>
      <c r="B704" t="s">
        <v>80</v>
      </c>
      <c r="C704">
        <v>2026</v>
      </c>
      <c r="D704" t="s">
        <v>1253</v>
      </c>
      <c r="E704" t="s">
        <v>38</v>
      </c>
      <c r="F704">
        <v>143</v>
      </c>
      <c r="G704" t="s">
        <v>54</v>
      </c>
      <c r="H704" t="s">
        <v>80</v>
      </c>
    </row>
    <row r="705" spans="1:8" x14ac:dyDescent="0.3">
      <c r="A705" t="s">
        <v>1273</v>
      </c>
      <c r="B705" t="s">
        <v>80</v>
      </c>
      <c r="C705">
        <v>2026</v>
      </c>
      <c r="D705" t="s">
        <v>1253</v>
      </c>
      <c r="E705" t="s">
        <v>38</v>
      </c>
      <c r="F705">
        <v>1865628.7503731621</v>
      </c>
      <c r="G705" t="s">
        <v>36</v>
      </c>
      <c r="H705" t="s">
        <v>80</v>
      </c>
    </row>
    <row r="706" spans="1:8" x14ac:dyDescent="0.3">
      <c r="A706" t="s">
        <v>1274</v>
      </c>
      <c r="B706" t="s">
        <v>81</v>
      </c>
      <c r="C706">
        <v>2026</v>
      </c>
      <c r="D706" t="s">
        <v>14</v>
      </c>
      <c r="E706" t="s">
        <v>53</v>
      </c>
      <c r="F706">
        <v>0</v>
      </c>
      <c r="G706" t="s">
        <v>30</v>
      </c>
      <c r="H706" t="s">
        <v>81</v>
      </c>
    </row>
    <row r="707" spans="1:8" x14ac:dyDescent="0.3">
      <c r="A707" t="s">
        <v>1275</v>
      </c>
      <c r="B707" t="s">
        <v>81</v>
      </c>
      <c r="C707">
        <v>2026</v>
      </c>
      <c r="D707" t="s">
        <v>14</v>
      </c>
      <c r="E707" t="s">
        <v>53</v>
      </c>
      <c r="F707">
        <v>0</v>
      </c>
      <c r="G707" t="s">
        <v>54</v>
      </c>
      <c r="H707" t="s">
        <v>81</v>
      </c>
    </row>
    <row r="708" spans="1:8" x14ac:dyDescent="0.3">
      <c r="A708" t="s">
        <v>1276</v>
      </c>
      <c r="B708" t="s">
        <v>81</v>
      </c>
      <c r="C708">
        <v>2026</v>
      </c>
      <c r="D708" t="s">
        <v>14</v>
      </c>
      <c r="E708" t="s">
        <v>53</v>
      </c>
      <c r="F708">
        <v>0</v>
      </c>
      <c r="G708" t="s">
        <v>36</v>
      </c>
      <c r="H708" t="s">
        <v>81</v>
      </c>
    </row>
    <row r="709" spans="1:8" x14ac:dyDescent="0.3">
      <c r="A709" t="s">
        <v>1277</v>
      </c>
      <c r="B709" t="s">
        <v>81</v>
      </c>
      <c r="C709">
        <v>2026</v>
      </c>
      <c r="D709" t="s">
        <v>14</v>
      </c>
      <c r="E709" t="s">
        <v>63</v>
      </c>
      <c r="F709">
        <v>0</v>
      </c>
      <c r="G709" t="s">
        <v>30</v>
      </c>
      <c r="H709" t="s">
        <v>81</v>
      </c>
    </row>
    <row r="710" spans="1:8" x14ac:dyDescent="0.3">
      <c r="A710" t="s">
        <v>1278</v>
      </c>
      <c r="B710" t="s">
        <v>81</v>
      </c>
      <c r="C710">
        <v>2026</v>
      </c>
      <c r="D710" t="s">
        <v>14</v>
      </c>
      <c r="E710" t="s">
        <v>63</v>
      </c>
      <c r="F710">
        <v>0</v>
      </c>
      <c r="G710" t="s">
        <v>54</v>
      </c>
      <c r="H710" t="s">
        <v>81</v>
      </c>
    </row>
    <row r="711" spans="1:8" x14ac:dyDescent="0.3">
      <c r="A711" t="s">
        <v>1279</v>
      </c>
      <c r="B711" t="s">
        <v>81</v>
      </c>
      <c r="C711">
        <v>2026</v>
      </c>
      <c r="D711" t="s">
        <v>14</v>
      </c>
      <c r="E711" t="s">
        <v>63</v>
      </c>
      <c r="F711">
        <v>0</v>
      </c>
      <c r="G711" t="s">
        <v>36</v>
      </c>
      <c r="H711" t="s">
        <v>81</v>
      </c>
    </row>
    <row r="712" spans="1:8" x14ac:dyDescent="0.3">
      <c r="A712" t="s">
        <v>1280</v>
      </c>
      <c r="B712" t="s">
        <v>81</v>
      </c>
      <c r="C712">
        <v>2026</v>
      </c>
      <c r="D712" t="s">
        <v>14</v>
      </c>
      <c r="E712" t="s">
        <v>3</v>
      </c>
      <c r="F712">
        <v>0</v>
      </c>
      <c r="G712" t="s">
        <v>30</v>
      </c>
      <c r="H712" t="s">
        <v>81</v>
      </c>
    </row>
    <row r="713" spans="1:8" x14ac:dyDescent="0.3">
      <c r="A713" t="s">
        <v>1281</v>
      </c>
      <c r="B713" t="s">
        <v>81</v>
      </c>
      <c r="C713">
        <v>2026</v>
      </c>
      <c r="D713" t="s">
        <v>14</v>
      </c>
      <c r="E713" t="s">
        <v>3</v>
      </c>
      <c r="F713">
        <v>0</v>
      </c>
      <c r="G713" t="s">
        <v>54</v>
      </c>
      <c r="H713" t="s">
        <v>81</v>
      </c>
    </row>
    <row r="714" spans="1:8" x14ac:dyDescent="0.3">
      <c r="A714" t="s">
        <v>1282</v>
      </c>
      <c r="B714" t="s">
        <v>81</v>
      </c>
      <c r="C714">
        <v>2026</v>
      </c>
      <c r="D714" t="s">
        <v>14</v>
      </c>
      <c r="E714" t="s">
        <v>3</v>
      </c>
      <c r="F714">
        <v>0</v>
      </c>
      <c r="G714" t="s">
        <v>36</v>
      </c>
      <c r="H714" t="s">
        <v>81</v>
      </c>
    </row>
    <row r="715" spans="1:8" x14ac:dyDescent="0.3">
      <c r="A715" t="s">
        <v>1283</v>
      </c>
      <c r="B715" t="s">
        <v>81</v>
      </c>
      <c r="C715">
        <v>2026</v>
      </c>
      <c r="D715" t="s">
        <v>14</v>
      </c>
      <c r="E715" t="s">
        <v>2</v>
      </c>
      <c r="F715">
        <v>5842.7699078245505</v>
      </c>
      <c r="G715" t="s">
        <v>30</v>
      </c>
      <c r="H715" t="s">
        <v>81</v>
      </c>
    </row>
    <row r="716" spans="1:8" x14ac:dyDescent="0.3">
      <c r="A716" t="s">
        <v>1284</v>
      </c>
      <c r="B716" t="s">
        <v>81</v>
      </c>
      <c r="C716">
        <v>2026</v>
      </c>
      <c r="D716" t="s">
        <v>14</v>
      </c>
      <c r="E716" t="s">
        <v>2</v>
      </c>
      <c r="F716">
        <v>106</v>
      </c>
      <c r="G716" t="s">
        <v>54</v>
      </c>
      <c r="H716" t="s">
        <v>81</v>
      </c>
    </row>
    <row r="717" spans="1:8" x14ac:dyDescent="0.3">
      <c r="A717" t="s">
        <v>1285</v>
      </c>
      <c r="B717" t="s">
        <v>81</v>
      </c>
      <c r="C717">
        <v>2026</v>
      </c>
      <c r="D717" t="s">
        <v>14</v>
      </c>
      <c r="E717" t="s">
        <v>2</v>
      </c>
      <c r="F717">
        <v>619333.61022940231</v>
      </c>
      <c r="G717" t="s">
        <v>36</v>
      </c>
      <c r="H717" t="s">
        <v>81</v>
      </c>
    </row>
    <row r="718" spans="1:8" x14ac:dyDescent="0.3">
      <c r="A718" t="s">
        <v>1286</v>
      </c>
      <c r="B718" t="s">
        <v>81</v>
      </c>
      <c r="C718">
        <v>2026</v>
      </c>
      <c r="D718" t="s">
        <v>14</v>
      </c>
      <c r="E718" t="s">
        <v>1</v>
      </c>
      <c r="F718">
        <v>12076.849573695876</v>
      </c>
      <c r="G718" t="s">
        <v>30</v>
      </c>
      <c r="H718" t="s">
        <v>81</v>
      </c>
    </row>
    <row r="719" spans="1:8" x14ac:dyDescent="0.3">
      <c r="A719" t="s">
        <v>1287</v>
      </c>
      <c r="B719" t="s">
        <v>81</v>
      </c>
      <c r="C719">
        <v>2026</v>
      </c>
      <c r="D719" t="s">
        <v>14</v>
      </c>
      <c r="E719" t="s">
        <v>1</v>
      </c>
      <c r="F719">
        <v>1079</v>
      </c>
      <c r="G719" t="s">
        <v>54</v>
      </c>
      <c r="H719" t="s">
        <v>81</v>
      </c>
    </row>
    <row r="720" spans="1:8" x14ac:dyDescent="0.3">
      <c r="A720" t="s">
        <v>1288</v>
      </c>
      <c r="B720" t="s">
        <v>81</v>
      </c>
      <c r="C720">
        <v>2026</v>
      </c>
      <c r="D720" t="s">
        <v>14</v>
      </c>
      <c r="E720" t="s">
        <v>1</v>
      </c>
      <c r="F720">
        <v>13030920.690017849</v>
      </c>
      <c r="G720" t="s">
        <v>36</v>
      </c>
      <c r="H720" t="s">
        <v>81</v>
      </c>
    </row>
    <row r="721" spans="1:8" x14ac:dyDescent="0.3">
      <c r="A721" t="s">
        <v>1970</v>
      </c>
      <c r="B721" t="s">
        <v>81</v>
      </c>
      <c r="C721">
        <v>2026</v>
      </c>
      <c r="D721" t="s">
        <v>14</v>
      </c>
      <c r="E721" t="s">
        <v>1885</v>
      </c>
      <c r="F721">
        <v>11733.96485784841</v>
      </c>
      <c r="G721" t="s">
        <v>30</v>
      </c>
      <c r="H721" t="s">
        <v>81</v>
      </c>
    </row>
    <row r="722" spans="1:8" x14ac:dyDescent="0.3">
      <c r="A722" t="s">
        <v>1971</v>
      </c>
      <c r="B722" t="s">
        <v>81</v>
      </c>
      <c r="C722">
        <v>2026</v>
      </c>
      <c r="D722" t="s">
        <v>14</v>
      </c>
      <c r="E722" t="s">
        <v>1885</v>
      </c>
      <c r="F722">
        <v>1370</v>
      </c>
      <c r="G722" t="s">
        <v>54</v>
      </c>
      <c r="H722" t="s">
        <v>81</v>
      </c>
    </row>
    <row r="723" spans="1:8" x14ac:dyDescent="0.3">
      <c r="A723" t="s">
        <v>1972</v>
      </c>
      <c r="B723" t="s">
        <v>81</v>
      </c>
      <c r="C723">
        <v>2026</v>
      </c>
      <c r="D723" t="s">
        <v>14</v>
      </c>
      <c r="E723" t="s">
        <v>1885</v>
      </c>
      <c r="F723">
        <v>16075531.855252322</v>
      </c>
      <c r="G723" t="s">
        <v>36</v>
      </c>
      <c r="H723" t="s">
        <v>81</v>
      </c>
    </row>
    <row r="724" spans="1:8" x14ac:dyDescent="0.3">
      <c r="A724" t="s">
        <v>1289</v>
      </c>
      <c r="B724" t="s">
        <v>81</v>
      </c>
      <c r="C724">
        <v>2026</v>
      </c>
      <c r="D724" t="s">
        <v>14</v>
      </c>
      <c r="E724" t="s">
        <v>4</v>
      </c>
      <c r="F724">
        <v>11647.244857921331</v>
      </c>
      <c r="G724" t="s">
        <v>30</v>
      </c>
      <c r="H724" t="s">
        <v>81</v>
      </c>
    </row>
    <row r="725" spans="1:8" x14ac:dyDescent="0.3">
      <c r="A725" t="s">
        <v>1290</v>
      </c>
      <c r="B725" t="s">
        <v>81</v>
      </c>
      <c r="C725">
        <v>2026</v>
      </c>
      <c r="D725" t="s">
        <v>14</v>
      </c>
      <c r="E725" t="s">
        <v>4</v>
      </c>
      <c r="F725">
        <v>1371</v>
      </c>
      <c r="G725" t="s">
        <v>54</v>
      </c>
      <c r="H725" t="s">
        <v>81</v>
      </c>
    </row>
    <row r="726" spans="1:8" x14ac:dyDescent="0.3">
      <c r="A726" t="s">
        <v>1291</v>
      </c>
      <c r="B726" t="s">
        <v>81</v>
      </c>
      <c r="C726">
        <v>2026</v>
      </c>
      <c r="D726" t="s">
        <v>14</v>
      </c>
      <c r="E726" t="s">
        <v>4</v>
      </c>
      <c r="F726">
        <v>15968372.700210145</v>
      </c>
      <c r="G726" t="s">
        <v>36</v>
      </c>
      <c r="H726" t="s">
        <v>81</v>
      </c>
    </row>
    <row r="727" spans="1:8" x14ac:dyDescent="0.3">
      <c r="A727" t="s">
        <v>1292</v>
      </c>
      <c r="B727" t="s">
        <v>81</v>
      </c>
      <c r="C727">
        <v>2026</v>
      </c>
      <c r="D727" t="s">
        <v>14</v>
      </c>
      <c r="E727" t="s">
        <v>38</v>
      </c>
      <c r="F727">
        <v>12463.002150338136</v>
      </c>
      <c r="G727" t="s">
        <v>30</v>
      </c>
      <c r="H727" t="s">
        <v>81</v>
      </c>
    </row>
    <row r="728" spans="1:8" x14ac:dyDescent="0.3">
      <c r="A728" t="s">
        <v>1293</v>
      </c>
      <c r="B728" t="s">
        <v>81</v>
      </c>
      <c r="C728">
        <v>2026</v>
      </c>
      <c r="D728" t="s">
        <v>14</v>
      </c>
      <c r="E728" t="s">
        <v>38</v>
      </c>
      <c r="F728">
        <v>186</v>
      </c>
      <c r="G728" t="s">
        <v>54</v>
      </c>
      <c r="H728" t="s">
        <v>81</v>
      </c>
    </row>
    <row r="729" spans="1:8" x14ac:dyDescent="0.3">
      <c r="A729" t="s">
        <v>1294</v>
      </c>
      <c r="B729" t="s">
        <v>81</v>
      </c>
      <c r="C729">
        <v>2026</v>
      </c>
      <c r="D729" t="s">
        <v>14</v>
      </c>
      <c r="E729" t="s">
        <v>38</v>
      </c>
      <c r="F729">
        <v>2318118.3999628932</v>
      </c>
      <c r="G729" t="s">
        <v>36</v>
      </c>
      <c r="H729" t="s">
        <v>81</v>
      </c>
    </row>
    <row r="730" spans="1:8" x14ac:dyDescent="0.3">
      <c r="A730" t="s">
        <v>1295</v>
      </c>
      <c r="B730" t="s">
        <v>82</v>
      </c>
      <c r="C730">
        <v>2026</v>
      </c>
      <c r="D730" t="s">
        <v>7</v>
      </c>
      <c r="E730" t="s">
        <v>53</v>
      </c>
      <c r="F730">
        <v>0</v>
      </c>
      <c r="G730" t="s">
        <v>30</v>
      </c>
      <c r="H730" t="s">
        <v>82</v>
      </c>
    </row>
    <row r="731" spans="1:8" x14ac:dyDescent="0.3">
      <c r="A731" t="s">
        <v>1296</v>
      </c>
      <c r="B731" t="s">
        <v>82</v>
      </c>
      <c r="C731">
        <v>2026</v>
      </c>
      <c r="D731" t="s">
        <v>7</v>
      </c>
      <c r="E731" t="s">
        <v>53</v>
      </c>
      <c r="F731">
        <v>0</v>
      </c>
      <c r="G731" t="s">
        <v>54</v>
      </c>
      <c r="H731" t="s">
        <v>82</v>
      </c>
    </row>
    <row r="732" spans="1:8" x14ac:dyDescent="0.3">
      <c r="A732" t="s">
        <v>1297</v>
      </c>
      <c r="B732" t="s">
        <v>82</v>
      </c>
      <c r="C732">
        <v>2026</v>
      </c>
      <c r="D732" t="s">
        <v>7</v>
      </c>
      <c r="E732" t="s">
        <v>53</v>
      </c>
      <c r="F732">
        <v>0</v>
      </c>
      <c r="G732" t="s">
        <v>36</v>
      </c>
      <c r="H732" t="s">
        <v>82</v>
      </c>
    </row>
    <row r="733" spans="1:8" x14ac:dyDescent="0.3">
      <c r="A733" t="s">
        <v>1298</v>
      </c>
      <c r="B733" t="s">
        <v>82</v>
      </c>
      <c r="C733">
        <v>2026</v>
      </c>
      <c r="D733" t="s">
        <v>7</v>
      </c>
      <c r="E733" t="s">
        <v>63</v>
      </c>
      <c r="F733">
        <v>0</v>
      </c>
      <c r="G733" t="s">
        <v>30</v>
      </c>
      <c r="H733" t="s">
        <v>82</v>
      </c>
    </row>
    <row r="734" spans="1:8" x14ac:dyDescent="0.3">
      <c r="A734" t="s">
        <v>1299</v>
      </c>
      <c r="B734" t="s">
        <v>82</v>
      </c>
      <c r="C734">
        <v>2026</v>
      </c>
      <c r="D734" t="s">
        <v>7</v>
      </c>
      <c r="E734" t="s">
        <v>63</v>
      </c>
      <c r="F734">
        <v>0</v>
      </c>
      <c r="G734" t="s">
        <v>54</v>
      </c>
      <c r="H734" t="s">
        <v>82</v>
      </c>
    </row>
    <row r="735" spans="1:8" x14ac:dyDescent="0.3">
      <c r="A735" t="s">
        <v>1300</v>
      </c>
      <c r="B735" t="s">
        <v>82</v>
      </c>
      <c r="C735">
        <v>2026</v>
      </c>
      <c r="D735" t="s">
        <v>7</v>
      </c>
      <c r="E735" t="s">
        <v>63</v>
      </c>
      <c r="F735">
        <v>0</v>
      </c>
      <c r="G735" t="s">
        <v>36</v>
      </c>
      <c r="H735" t="s">
        <v>82</v>
      </c>
    </row>
    <row r="736" spans="1:8" x14ac:dyDescent="0.3">
      <c r="A736" t="s">
        <v>1301</v>
      </c>
      <c r="B736" t="s">
        <v>82</v>
      </c>
      <c r="C736">
        <v>2026</v>
      </c>
      <c r="D736" t="s">
        <v>7</v>
      </c>
      <c r="E736" t="s">
        <v>3</v>
      </c>
      <c r="F736">
        <v>0</v>
      </c>
      <c r="G736" t="s">
        <v>30</v>
      </c>
      <c r="H736" t="s">
        <v>82</v>
      </c>
    </row>
    <row r="737" spans="1:8" x14ac:dyDescent="0.3">
      <c r="A737" t="s">
        <v>1302</v>
      </c>
      <c r="B737" t="s">
        <v>82</v>
      </c>
      <c r="C737">
        <v>2026</v>
      </c>
      <c r="D737" t="s">
        <v>7</v>
      </c>
      <c r="E737" t="s">
        <v>3</v>
      </c>
      <c r="F737">
        <v>0</v>
      </c>
      <c r="G737" t="s">
        <v>54</v>
      </c>
      <c r="H737" t="s">
        <v>82</v>
      </c>
    </row>
    <row r="738" spans="1:8" x14ac:dyDescent="0.3">
      <c r="A738" t="s">
        <v>1303</v>
      </c>
      <c r="B738" t="s">
        <v>82</v>
      </c>
      <c r="C738">
        <v>2026</v>
      </c>
      <c r="D738" t="s">
        <v>7</v>
      </c>
      <c r="E738" t="s">
        <v>3</v>
      </c>
      <c r="F738">
        <v>0</v>
      </c>
      <c r="G738" t="s">
        <v>36</v>
      </c>
      <c r="H738" t="s">
        <v>82</v>
      </c>
    </row>
    <row r="739" spans="1:8" x14ac:dyDescent="0.3">
      <c r="A739" t="s">
        <v>1304</v>
      </c>
      <c r="B739" t="s">
        <v>82</v>
      </c>
      <c r="C739">
        <v>2026</v>
      </c>
      <c r="D739" t="s">
        <v>7</v>
      </c>
      <c r="E739" t="s">
        <v>2</v>
      </c>
      <c r="F739">
        <v>12374.093650358243</v>
      </c>
      <c r="G739" t="s">
        <v>30</v>
      </c>
      <c r="H739" t="s">
        <v>82</v>
      </c>
    </row>
    <row r="740" spans="1:8" x14ac:dyDescent="0.3">
      <c r="A740" t="s">
        <v>1305</v>
      </c>
      <c r="B740" t="s">
        <v>82</v>
      </c>
      <c r="C740">
        <v>2026</v>
      </c>
      <c r="D740" t="s">
        <v>7</v>
      </c>
      <c r="E740" t="s">
        <v>2</v>
      </c>
      <c r="F740">
        <v>28</v>
      </c>
      <c r="G740" t="s">
        <v>54</v>
      </c>
      <c r="H740" t="s">
        <v>82</v>
      </c>
    </row>
    <row r="741" spans="1:8" x14ac:dyDescent="0.3">
      <c r="A741" t="s">
        <v>1306</v>
      </c>
      <c r="B741" t="s">
        <v>82</v>
      </c>
      <c r="C741">
        <v>2026</v>
      </c>
      <c r="D741" t="s">
        <v>7</v>
      </c>
      <c r="E741" t="s">
        <v>2</v>
      </c>
      <c r="F741">
        <v>346474.62221003079</v>
      </c>
      <c r="G741" t="s">
        <v>36</v>
      </c>
      <c r="H741" t="s">
        <v>82</v>
      </c>
    </row>
    <row r="742" spans="1:8" x14ac:dyDescent="0.3">
      <c r="A742" t="s">
        <v>1307</v>
      </c>
      <c r="B742" t="s">
        <v>82</v>
      </c>
      <c r="C742">
        <v>2026</v>
      </c>
      <c r="D742" t="s">
        <v>7</v>
      </c>
      <c r="E742" t="s">
        <v>1</v>
      </c>
      <c r="F742">
        <v>13369.058331544127</v>
      </c>
      <c r="G742" t="s">
        <v>30</v>
      </c>
      <c r="H742" t="s">
        <v>82</v>
      </c>
    </row>
    <row r="743" spans="1:8" x14ac:dyDescent="0.3">
      <c r="A743" t="s">
        <v>1308</v>
      </c>
      <c r="B743" t="s">
        <v>82</v>
      </c>
      <c r="C743">
        <v>2026</v>
      </c>
      <c r="D743" t="s">
        <v>7</v>
      </c>
      <c r="E743" t="s">
        <v>1</v>
      </c>
      <c r="F743">
        <v>1131</v>
      </c>
      <c r="G743" t="s">
        <v>54</v>
      </c>
      <c r="H743" t="s">
        <v>82</v>
      </c>
    </row>
    <row r="744" spans="1:8" x14ac:dyDescent="0.3">
      <c r="A744" t="s">
        <v>1309</v>
      </c>
      <c r="B744" t="s">
        <v>82</v>
      </c>
      <c r="C744">
        <v>2026</v>
      </c>
      <c r="D744" t="s">
        <v>7</v>
      </c>
      <c r="E744" t="s">
        <v>1</v>
      </c>
      <c r="F744">
        <v>15120404.972976409</v>
      </c>
      <c r="G744" t="s">
        <v>36</v>
      </c>
      <c r="H744" t="s">
        <v>82</v>
      </c>
    </row>
    <row r="745" spans="1:8" x14ac:dyDescent="0.3">
      <c r="A745" t="s">
        <v>1973</v>
      </c>
      <c r="B745" t="s">
        <v>82</v>
      </c>
      <c r="C745">
        <v>2026</v>
      </c>
      <c r="D745" t="s">
        <v>7</v>
      </c>
      <c r="E745" t="s">
        <v>1885</v>
      </c>
      <c r="F745">
        <v>13328.00715225288</v>
      </c>
      <c r="G745" t="s">
        <v>30</v>
      </c>
      <c r="H745" t="s">
        <v>82</v>
      </c>
    </row>
    <row r="746" spans="1:8" x14ac:dyDescent="0.3">
      <c r="A746" t="s">
        <v>1974</v>
      </c>
      <c r="B746" t="s">
        <v>82</v>
      </c>
      <c r="C746">
        <v>2026</v>
      </c>
      <c r="D746" t="s">
        <v>7</v>
      </c>
      <c r="E746" t="s">
        <v>1885</v>
      </c>
      <c r="F746">
        <v>1220</v>
      </c>
      <c r="G746" t="s">
        <v>54</v>
      </c>
      <c r="H746" t="s">
        <v>82</v>
      </c>
    </row>
    <row r="747" spans="1:8" x14ac:dyDescent="0.3">
      <c r="A747" t="s">
        <v>1975</v>
      </c>
      <c r="B747" t="s">
        <v>82</v>
      </c>
      <c r="C747">
        <v>2026</v>
      </c>
      <c r="D747" t="s">
        <v>7</v>
      </c>
      <c r="E747" t="s">
        <v>1885</v>
      </c>
      <c r="F747">
        <v>16260168.725748513</v>
      </c>
      <c r="G747" t="s">
        <v>36</v>
      </c>
      <c r="H747" t="s">
        <v>82</v>
      </c>
    </row>
    <row r="748" spans="1:8" x14ac:dyDescent="0.3">
      <c r="A748" t="s">
        <v>1310</v>
      </c>
      <c r="B748" t="s">
        <v>82</v>
      </c>
      <c r="C748">
        <v>2026</v>
      </c>
      <c r="D748" t="s">
        <v>7</v>
      </c>
      <c r="E748" t="s">
        <v>4</v>
      </c>
      <c r="F748">
        <v>13345.021221040932</v>
      </c>
      <c r="G748" t="s">
        <v>30</v>
      </c>
      <c r="H748" t="s">
        <v>82</v>
      </c>
    </row>
    <row r="749" spans="1:8" x14ac:dyDescent="0.3">
      <c r="A749" t="s">
        <v>1311</v>
      </c>
      <c r="B749" t="s">
        <v>82</v>
      </c>
      <c r="C749">
        <v>2026</v>
      </c>
      <c r="D749" t="s">
        <v>7</v>
      </c>
      <c r="E749" t="s">
        <v>4</v>
      </c>
      <c r="F749">
        <v>1159</v>
      </c>
      <c r="G749" t="s">
        <v>54</v>
      </c>
      <c r="H749" t="s">
        <v>82</v>
      </c>
    </row>
    <row r="750" spans="1:8" x14ac:dyDescent="0.3">
      <c r="A750" t="s">
        <v>1312</v>
      </c>
      <c r="B750" t="s">
        <v>82</v>
      </c>
      <c r="C750">
        <v>2026</v>
      </c>
      <c r="D750" t="s">
        <v>7</v>
      </c>
      <c r="E750" t="s">
        <v>4</v>
      </c>
      <c r="F750">
        <v>15466879.59518644</v>
      </c>
      <c r="G750" t="s">
        <v>36</v>
      </c>
      <c r="H750" t="s">
        <v>82</v>
      </c>
    </row>
    <row r="751" spans="1:8" x14ac:dyDescent="0.3">
      <c r="A751" t="s">
        <v>1313</v>
      </c>
      <c r="B751" t="s">
        <v>82</v>
      </c>
      <c r="C751">
        <v>2026</v>
      </c>
      <c r="D751" t="s">
        <v>7</v>
      </c>
      <c r="E751" t="s">
        <v>38</v>
      </c>
      <c r="F751">
        <v>0</v>
      </c>
      <c r="G751" t="s">
        <v>30</v>
      </c>
      <c r="H751" t="s">
        <v>82</v>
      </c>
    </row>
    <row r="752" spans="1:8" x14ac:dyDescent="0.3">
      <c r="A752" t="s">
        <v>1314</v>
      </c>
      <c r="B752" t="s">
        <v>82</v>
      </c>
      <c r="C752">
        <v>2026</v>
      </c>
      <c r="D752" t="s">
        <v>7</v>
      </c>
      <c r="E752" t="s">
        <v>38</v>
      </c>
      <c r="F752">
        <v>0</v>
      </c>
      <c r="G752" t="s">
        <v>54</v>
      </c>
      <c r="H752" t="s">
        <v>82</v>
      </c>
    </row>
    <row r="753" spans="1:8" x14ac:dyDescent="0.3">
      <c r="A753" t="s">
        <v>1315</v>
      </c>
      <c r="B753" t="s">
        <v>82</v>
      </c>
      <c r="C753">
        <v>2026</v>
      </c>
      <c r="D753" t="s">
        <v>7</v>
      </c>
      <c r="E753" t="s">
        <v>38</v>
      </c>
      <c r="F753">
        <v>0</v>
      </c>
      <c r="G753" t="s">
        <v>36</v>
      </c>
      <c r="H753" t="s">
        <v>82</v>
      </c>
    </row>
    <row r="754" spans="1:8" x14ac:dyDescent="0.3">
      <c r="A754" t="s">
        <v>1316</v>
      </c>
      <c r="B754" t="s">
        <v>83</v>
      </c>
      <c r="C754">
        <v>2026</v>
      </c>
      <c r="D754" t="s">
        <v>17</v>
      </c>
      <c r="E754" t="s">
        <v>53</v>
      </c>
      <c r="F754">
        <v>0</v>
      </c>
      <c r="G754" t="s">
        <v>30</v>
      </c>
      <c r="H754" t="s">
        <v>83</v>
      </c>
    </row>
    <row r="755" spans="1:8" x14ac:dyDescent="0.3">
      <c r="A755" t="s">
        <v>1317</v>
      </c>
      <c r="B755" t="s">
        <v>83</v>
      </c>
      <c r="C755">
        <v>2026</v>
      </c>
      <c r="D755" t="s">
        <v>17</v>
      </c>
      <c r="E755" t="s">
        <v>53</v>
      </c>
      <c r="F755">
        <v>0</v>
      </c>
      <c r="G755" t="s">
        <v>54</v>
      </c>
      <c r="H755" t="s">
        <v>83</v>
      </c>
    </row>
    <row r="756" spans="1:8" x14ac:dyDescent="0.3">
      <c r="A756" t="s">
        <v>1318</v>
      </c>
      <c r="B756" t="s">
        <v>83</v>
      </c>
      <c r="C756">
        <v>2026</v>
      </c>
      <c r="D756" t="s">
        <v>17</v>
      </c>
      <c r="E756" t="s">
        <v>53</v>
      </c>
      <c r="F756">
        <v>0</v>
      </c>
      <c r="G756" t="s">
        <v>36</v>
      </c>
      <c r="H756" t="s">
        <v>83</v>
      </c>
    </row>
    <row r="757" spans="1:8" x14ac:dyDescent="0.3">
      <c r="A757" t="s">
        <v>1319</v>
      </c>
      <c r="B757" t="s">
        <v>83</v>
      </c>
      <c r="C757">
        <v>2026</v>
      </c>
      <c r="D757" t="s">
        <v>17</v>
      </c>
      <c r="E757" t="s">
        <v>63</v>
      </c>
      <c r="F757">
        <v>2059.5603082287244</v>
      </c>
      <c r="G757" t="s">
        <v>30</v>
      </c>
      <c r="H757" t="s">
        <v>83</v>
      </c>
    </row>
    <row r="758" spans="1:8" x14ac:dyDescent="0.3">
      <c r="A758" t="s">
        <v>1320</v>
      </c>
      <c r="B758" t="s">
        <v>83</v>
      </c>
      <c r="C758">
        <v>2026</v>
      </c>
      <c r="D758" t="s">
        <v>17</v>
      </c>
      <c r="E758" t="s">
        <v>63</v>
      </c>
      <c r="F758">
        <v>1</v>
      </c>
      <c r="G758" t="s">
        <v>54</v>
      </c>
      <c r="H758" t="s">
        <v>83</v>
      </c>
    </row>
    <row r="759" spans="1:8" x14ac:dyDescent="0.3">
      <c r="A759" t="s">
        <v>1321</v>
      </c>
      <c r="B759" t="s">
        <v>83</v>
      </c>
      <c r="C759">
        <v>2026</v>
      </c>
      <c r="D759" t="s">
        <v>17</v>
      </c>
      <c r="E759" t="s">
        <v>63</v>
      </c>
      <c r="F759">
        <v>2059.5603082287244</v>
      </c>
      <c r="G759" t="s">
        <v>36</v>
      </c>
      <c r="H759" t="s">
        <v>83</v>
      </c>
    </row>
    <row r="760" spans="1:8" x14ac:dyDescent="0.3">
      <c r="A760" t="s">
        <v>1322</v>
      </c>
      <c r="B760" t="s">
        <v>83</v>
      </c>
      <c r="C760">
        <v>2026</v>
      </c>
      <c r="D760" t="s">
        <v>17</v>
      </c>
      <c r="E760" t="s">
        <v>3</v>
      </c>
      <c r="F760">
        <v>0</v>
      </c>
      <c r="G760" t="s">
        <v>30</v>
      </c>
      <c r="H760" t="s">
        <v>83</v>
      </c>
    </row>
    <row r="761" spans="1:8" x14ac:dyDescent="0.3">
      <c r="A761" t="s">
        <v>1323</v>
      </c>
      <c r="B761" t="s">
        <v>83</v>
      </c>
      <c r="C761">
        <v>2026</v>
      </c>
      <c r="D761" t="s">
        <v>17</v>
      </c>
      <c r="E761" t="s">
        <v>3</v>
      </c>
      <c r="F761">
        <v>0</v>
      </c>
      <c r="G761" t="s">
        <v>54</v>
      </c>
      <c r="H761" t="s">
        <v>83</v>
      </c>
    </row>
    <row r="762" spans="1:8" x14ac:dyDescent="0.3">
      <c r="A762" t="s">
        <v>1324</v>
      </c>
      <c r="B762" t="s">
        <v>83</v>
      </c>
      <c r="C762">
        <v>2026</v>
      </c>
      <c r="D762" t="s">
        <v>17</v>
      </c>
      <c r="E762" t="s">
        <v>3</v>
      </c>
      <c r="F762">
        <v>0</v>
      </c>
      <c r="G762" t="s">
        <v>36</v>
      </c>
      <c r="H762" t="s">
        <v>83</v>
      </c>
    </row>
    <row r="763" spans="1:8" x14ac:dyDescent="0.3">
      <c r="A763" t="s">
        <v>1325</v>
      </c>
      <c r="B763" t="s">
        <v>83</v>
      </c>
      <c r="C763">
        <v>2026</v>
      </c>
      <c r="D763" t="s">
        <v>17</v>
      </c>
      <c r="E763" t="s">
        <v>2</v>
      </c>
      <c r="F763">
        <v>4629.3217332409331</v>
      </c>
      <c r="G763" t="s">
        <v>30</v>
      </c>
      <c r="H763" t="s">
        <v>83</v>
      </c>
    </row>
    <row r="764" spans="1:8" x14ac:dyDescent="0.3">
      <c r="A764" t="s">
        <v>1326</v>
      </c>
      <c r="B764" t="s">
        <v>83</v>
      </c>
      <c r="C764">
        <v>2026</v>
      </c>
      <c r="D764" t="s">
        <v>17</v>
      </c>
      <c r="E764" t="s">
        <v>2</v>
      </c>
      <c r="F764">
        <v>154</v>
      </c>
      <c r="G764" t="s">
        <v>54</v>
      </c>
      <c r="H764" t="s">
        <v>83</v>
      </c>
    </row>
    <row r="765" spans="1:8" x14ac:dyDescent="0.3">
      <c r="A765" t="s">
        <v>1327</v>
      </c>
      <c r="B765" t="s">
        <v>83</v>
      </c>
      <c r="C765">
        <v>2026</v>
      </c>
      <c r="D765" t="s">
        <v>17</v>
      </c>
      <c r="E765" t="s">
        <v>2</v>
      </c>
      <c r="F765">
        <v>712915.54691910371</v>
      </c>
      <c r="G765" t="s">
        <v>36</v>
      </c>
      <c r="H765" t="s">
        <v>83</v>
      </c>
    </row>
    <row r="766" spans="1:8" x14ac:dyDescent="0.3">
      <c r="A766" t="s">
        <v>1328</v>
      </c>
      <c r="B766" t="s">
        <v>83</v>
      </c>
      <c r="C766">
        <v>2026</v>
      </c>
      <c r="D766" t="s">
        <v>17</v>
      </c>
      <c r="E766" t="s">
        <v>1</v>
      </c>
      <c r="F766">
        <v>11813.399729122097</v>
      </c>
      <c r="G766" t="s">
        <v>30</v>
      </c>
      <c r="H766" t="s">
        <v>83</v>
      </c>
    </row>
    <row r="767" spans="1:8" x14ac:dyDescent="0.3">
      <c r="A767" t="s">
        <v>1329</v>
      </c>
      <c r="B767" t="s">
        <v>83</v>
      </c>
      <c r="C767">
        <v>2026</v>
      </c>
      <c r="D767" t="s">
        <v>17</v>
      </c>
      <c r="E767" t="s">
        <v>1</v>
      </c>
      <c r="F767">
        <v>762</v>
      </c>
      <c r="G767" t="s">
        <v>54</v>
      </c>
      <c r="H767" t="s">
        <v>83</v>
      </c>
    </row>
    <row r="768" spans="1:8" x14ac:dyDescent="0.3">
      <c r="A768" t="s">
        <v>1330</v>
      </c>
      <c r="B768" t="s">
        <v>83</v>
      </c>
      <c r="C768">
        <v>2026</v>
      </c>
      <c r="D768" t="s">
        <v>17</v>
      </c>
      <c r="E768" t="s">
        <v>1</v>
      </c>
      <c r="F768">
        <v>9001810.5935910381</v>
      </c>
      <c r="G768" t="s">
        <v>36</v>
      </c>
      <c r="H768" t="s">
        <v>83</v>
      </c>
    </row>
    <row r="769" spans="1:8" x14ac:dyDescent="0.3">
      <c r="A769" t="s">
        <v>1976</v>
      </c>
      <c r="B769" t="s">
        <v>83</v>
      </c>
      <c r="C769">
        <v>2026</v>
      </c>
      <c r="D769" t="s">
        <v>17</v>
      </c>
      <c r="E769" t="s">
        <v>1885</v>
      </c>
      <c r="F769">
        <v>10528.734151661005</v>
      </c>
      <c r="G769" t="s">
        <v>30</v>
      </c>
      <c r="H769" t="s">
        <v>83</v>
      </c>
    </row>
    <row r="770" spans="1:8" x14ac:dyDescent="0.3">
      <c r="A770" t="s">
        <v>1977</v>
      </c>
      <c r="B770" t="s">
        <v>83</v>
      </c>
      <c r="C770">
        <v>2026</v>
      </c>
      <c r="D770" t="s">
        <v>17</v>
      </c>
      <c r="E770" t="s">
        <v>1885</v>
      </c>
      <c r="F770">
        <v>1340</v>
      </c>
      <c r="G770" t="s">
        <v>54</v>
      </c>
      <c r="H770" t="s">
        <v>83</v>
      </c>
    </row>
    <row r="771" spans="1:8" x14ac:dyDescent="0.3">
      <c r="A771" t="s">
        <v>1978</v>
      </c>
      <c r="B771" t="s">
        <v>83</v>
      </c>
      <c r="C771">
        <v>2026</v>
      </c>
      <c r="D771" t="s">
        <v>17</v>
      </c>
      <c r="E771" t="s">
        <v>1885</v>
      </c>
      <c r="F771">
        <v>14108503.763225747</v>
      </c>
      <c r="G771" t="s">
        <v>36</v>
      </c>
      <c r="H771" t="s">
        <v>83</v>
      </c>
    </row>
    <row r="772" spans="1:8" x14ac:dyDescent="0.3">
      <c r="A772" t="s">
        <v>1331</v>
      </c>
      <c r="B772" t="s">
        <v>83</v>
      </c>
      <c r="C772">
        <v>2026</v>
      </c>
      <c r="D772" t="s">
        <v>17</v>
      </c>
      <c r="E772" t="s">
        <v>4</v>
      </c>
      <c r="F772">
        <v>10622.789820121041</v>
      </c>
      <c r="G772" t="s">
        <v>30</v>
      </c>
      <c r="H772" t="s">
        <v>83</v>
      </c>
    </row>
    <row r="773" spans="1:8" x14ac:dyDescent="0.3">
      <c r="A773" t="s">
        <v>1332</v>
      </c>
      <c r="B773" t="s">
        <v>83</v>
      </c>
      <c r="C773">
        <v>2026</v>
      </c>
      <c r="D773" t="s">
        <v>17</v>
      </c>
      <c r="E773" t="s">
        <v>4</v>
      </c>
      <c r="F773">
        <v>1200</v>
      </c>
      <c r="G773" t="s">
        <v>54</v>
      </c>
      <c r="H773" t="s">
        <v>83</v>
      </c>
    </row>
    <row r="774" spans="1:8" x14ac:dyDescent="0.3">
      <c r="A774" t="s">
        <v>1333</v>
      </c>
      <c r="B774" t="s">
        <v>83</v>
      </c>
      <c r="C774">
        <v>2026</v>
      </c>
      <c r="D774" t="s">
        <v>17</v>
      </c>
      <c r="E774" t="s">
        <v>4</v>
      </c>
      <c r="F774">
        <v>12747347.784145249</v>
      </c>
      <c r="G774" t="s">
        <v>36</v>
      </c>
      <c r="H774" t="s">
        <v>83</v>
      </c>
    </row>
    <row r="775" spans="1:8" x14ac:dyDescent="0.3">
      <c r="A775" t="s">
        <v>1334</v>
      </c>
      <c r="B775" t="s">
        <v>83</v>
      </c>
      <c r="C775">
        <v>2026</v>
      </c>
      <c r="D775" t="s">
        <v>17</v>
      </c>
      <c r="E775" t="s">
        <v>38</v>
      </c>
      <c r="F775">
        <v>10708.699941084376</v>
      </c>
      <c r="G775" t="s">
        <v>30</v>
      </c>
      <c r="H775" t="s">
        <v>83</v>
      </c>
    </row>
    <row r="776" spans="1:8" x14ac:dyDescent="0.3">
      <c r="A776" t="s">
        <v>1335</v>
      </c>
      <c r="B776" t="s">
        <v>83</v>
      </c>
      <c r="C776">
        <v>2026</v>
      </c>
      <c r="D776" t="s">
        <v>17</v>
      </c>
      <c r="E776" t="s">
        <v>38</v>
      </c>
      <c r="F776">
        <v>283</v>
      </c>
      <c r="G776" t="s">
        <v>54</v>
      </c>
      <c r="H776" t="s">
        <v>83</v>
      </c>
    </row>
    <row r="777" spans="1:8" x14ac:dyDescent="0.3">
      <c r="A777" t="s">
        <v>1336</v>
      </c>
      <c r="B777" t="s">
        <v>83</v>
      </c>
      <c r="C777">
        <v>2026</v>
      </c>
      <c r="D777" t="s">
        <v>17</v>
      </c>
      <c r="E777" t="s">
        <v>38</v>
      </c>
      <c r="F777">
        <v>3030562.0833268785</v>
      </c>
      <c r="G777" t="s">
        <v>36</v>
      </c>
      <c r="H777" t="s">
        <v>83</v>
      </c>
    </row>
    <row r="778" spans="1:8" x14ac:dyDescent="0.3">
      <c r="A778" t="s">
        <v>1337</v>
      </c>
      <c r="B778" t="s">
        <v>84</v>
      </c>
      <c r="C778">
        <v>2026</v>
      </c>
      <c r="D778" t="s">
        <v>26</v>
      </c>
      <c r="E778" t="s">
        <v>53</v>
      </c>
      <c r="F778">
        <v>0</v>
      </c>
      <c r="G778" t="s">
        <v>30</v>
      </c>
      <c r="H778" t="s">
        <v>84</v>
      </c>
    </row>
    <row r="779" spans="1:8" x14ac:dyDescent="0.3">
      <c r="A779" t="s">
        <v>1338</v>
      </c>
      <c r="B779" t="s">
        <v>84</v>
      </c>
      <c r="C779">
        <v>2026</v>
      </c>
      <c r="D779" t="s">
        <v>26</v>
      </c>
      <c r="E779" t="s">
        <v>53</v>
      </c>
      <c r="F779">
        <v>0</v>
      </c>
      <c r="G779" t="s">
        <v>54</v>
      </c>
      <c r="H779" t="s">
        <v>84</v>
      </c>
    </row>
    <row r="780" spans="1:8" x14ac:dyDescent="0.3">
      <c r="A780" t="s">
        <v>1339</v>
      </c>
      <c r="B780" t="s">
        <v>84</v>
      </c>
      <c r="C780">
        <v>2026</v>
      </c>
      <c r="D780" t="s">
        <v>26</v>
      </c>
      <c r="E780" t="s">
        <v>53</v>
      </c>
      <c r="F780">
        <v>0</v>
      </c>
      <c r="G780" t="s">
        <v>36</v>
      </c>
      <c r="H780" t="s">
        <v>84</v>
      </c>
    </row>
    <row r="781" spans="1:8" x14ac:dyDescent="0.3">
      <c r="A781" t="s">
        <v>1340</v>
      </c>
      <c r="B781" t="s">
        <v>84</v>
      </c>
      <c r="C781">
        <v>2026</v>
      </c>
      <c r="D781" t="s">
        <v>26</v>
      </c>
      <c r="E781" t="s">
        <v>63</v>
      </c>
      <c r="F781">
        <v>12689.374152872791</v>
      </c>
      <c r="G781" t="s">
        <v>30</v>
      </c>
      <c r="H781" t="s">
        <v>84</v>
      </c>
    </row>
    <row r="782" spans="1:8" x14ac:dyDescent="0.3">
      <c r="A782" t="s">
        <v>1341</v>
      </c>
      <c r="B782" t="s">
        <v>84</v>
      </c>
      <c r="C782">
        <v>2026</v>
      </c>
      <c r="D782" t="s">
        <v>26</v>
      </c>
      <c r="E782" t="s">
        <v>63</v>
      </c>
      <c r="F782">
        <v>4</v>
      </c>
      <c r="G782" t="s">
        <v>54</v>
      </c>
      <c r="H782" t="s">
        <v>84</v>
      </c>
    </row>
    <row r="783" spans="1:8" x14ac:dyDescent="0.3">
      <c r="A783" t="s">
        <v>1342</v>
      </c>
      <c r="B783" t="s">
        <v>84</v>
      </c>
      <c r="C783">
        <v>2026</v>
      </c>
      <c r="D783" t="s">
        <v>26</v>
      </c>
      <c r="E783" t="s">
        <v>63</v>
      </c>
      <c r="F783">
        <v>50757.496611491166</v>
      </c>
      <c r="G783" t="s">
        <v>36</v>
      </c>
      <c r="H783" t="s">
        <v>84</v>
      </c>
    </row>
    <row r="784" spans="1:8" x14ac:dyDescent="0.3">
      <c r="A784" t="s">
        <v>1343</v>
      </c>
      <c r="B784" t="s">
        <v>84</v>
      </c>
      <c r="C784">
        <v>2026</v>
      </c>
      <c r="D784" t="s">
        <v>26</v>
      </c>
      <c r="E784" t="s">
        <v>3</v>
      </c>
      <c r="F784">
        <v>4708.8623222857786</v>
      </c>
      <c r="G784" t="s">
        <v>30</v>
      </c>
      <c r="H784" t="s">
        <v>84</v>
      </c>
    </row>
    <row r="785" spans="1:8" x14ac:dyDescent="0.3">
      <c r="A785" t="s">
        <v>1344</v>
      </c>
      <c r="B785" t="s">
        <v>84</v>
      </c>
      <c r="C785">
        <v>2026</v>
      </c>
      <c r="D785" t="s">
        <v>26</v>
      </c>
      <c r="E785" t="s">
        <v>3</v>
      </c>
      <c r="F785">
        <v>22</v>
      </c>
      <c r="G785" t="s">
        <v>54</v>
      </c>
      <c r="H785" t="s">
        <v>84</v>
      </c>
    </row>
    <row r="786" spans="1:8" x14ac:dyDescent="0.3">
      <c r="A786" t="s">
        <v>1345</v>
      </c>
      <c r="B786" t="s">
        <v>84</v>
      </c>
      <c r="C786">
        <v>2026</v>
      </c>
      <c r="D786" t="s">
        <v>26</v>
      </c>
      <c r="E786" t="s">
        <v>3</v>
      </c>
      <c r="F786">
        <v>103594.97109028713</v>
      </c>
      <c r="G786" t="s">
        <v>36</v>
      </c>
      <c r="H786" t="s">
        <v>84</v>
      </c>
    </row>
    <row r="787" spans="1:8" x14ac:dyDescent="0.3">
      <c r="A787" t="s">
        <v>1346</v>
      </c>
      <c r="B787" t="s">
        <v>84</v>
      </c>
      <c r="C787">
        <v>2026</v>
      </c>
      <c r="D787" t="s">
        <v>26</v>
      </c>
      <c r="E787" t="s">
        <v>2</v>
      </c>
      <c r="F787">
        <v>13777.889872365498</v>
      </c>
      <c r="G787" t="s">
        <v>30</v>
      </c>
      <c r="H787" t="s">
        <v>84</v>
      </c>
    </row>
    <row r="788" spans="1:8" x14ac:dyDescent="0.3">
      <c r="A788" t="s">
        <v>1347</v>
      </c>
      <c r="B788" t="s">
        <v>84</v>
      </c>
      <c r="C788">
        <v>2026</v>
      </c>
      <c r="D788" t="s">
        <v>26</v>
      </c>
      <c r="E788" t="s">
        <v>2</v>
      </c>
      <c r="F788">
        <v>115</v>
      </c>
      <c r="G788" t="s">
        <v>54</v>
      </c>
      <c r="H788" t="s">
        <v>84</v>
      </c>
    </row>
    <row r="789" spans="1:8" x14ac:dyDescent="0.3">
      <c r="A789" t="s">
        <v>1348</v>
      </c>
      <c r="B789" t="s">
        <v>84</v>
      </c>
      <c r="C789">
        <v>2026</v>
      </c>
      <c r="D789" t="s">
        <v>26</v>
      </c>
      <c r="E789" t="s">
        <v>2</v>
      </c>
      <c r="F789">
        <v>1584457.3353220322</v>
      </c>
      <c r="G789" t="s">
        <v>36</v>
      </c>
      <c r="H789" t="s">
        <v>84</v>
      </c>
    </row>
    <row r="790" spans="1:8" x14ac:dyDescent="0.3">
      <c r="A790" t="s">
        <v>1349</v>
      </c>
      <c r="B790" t="s">
        <v>84</v>
      </c>
      <c r="C790">
        <v>2026</v>
      </c>
      <c r="D790" t="s">
        <v>26</v>
      </c>
      <c r="E790" t="s">
        <v>1</v>
      </c>
      <c r="F790">
        <v>11903.75599703371</v>
      </c>
      <c r="G790" t="s">
        <v>30</v>
      </c>
      <c r="H790" t="s">
        <v>84</v>
      </c>
    </row>
    <row r="791" spans="1:8" x14ac:dyDescent="0.3">
      <c r="A791" t="s">
        <v>1350</v>
      </c>
      <c r="B791" t="s">
        <v>84</v>
      </c>
      <c r="C791">
        <v>2026</v>
      </c>
      <c r="D791" t="s">
        <v>26</v>
      </c>
      <c r="E791" t="s">
        <v>1</v>
      </c>
      <c r="F791">
        <v>770</v>
      </c>
      <c r="G791" t="s">
        <v>54</v>
      </c>
      <c r="H791" t="s">
        <v>84</v>
      </c>
    </row>
    <row r="792" spans="1:8" x14ac:dyDescent="0.3">
      <c r="A792" t="s">
        <v>1351</v>
      </c>
      <c r="B792" t="s">
        <v>84</v>
      </c>
      <c r="C792">
        <v>2026</v>
      </c>
      <c r="D792" t="s">
        <v>26</v>
      </c>
      <c r="E792" t="s">
        <v>1</v>
      </c>
      <c r="F792">
        <v>9165892.1177159566</v>
      </c>
      <c r="G792" t="s">
        <v>36</v>
      </c>
      <c r="H792" t="s">
        <v>84</v>
      </c>
    </row>
    <row r="793" spans="1:8" x14ac:dyDescent="0.3">
      <c r="A793" t="s">
        <v>1979</v>
      </c>
      <c r="B793" t="s">
        <v>84</v>
      </c>
      <c r="C793">
        <v>2026</v>
      </c>
      <c r="D793" t="s">
        <v>26</v>
      </c>
      <c r="E793" t="s">
        <v>1885</v>
      </c>
      <c r="F793">
        <v>11773.393024122648</v>
      </c>
      <c r="G793" t="s">
        <v>30</v>
      </c>
      <c r="H793" t="s">
        <v>84</v>
      </c>
    </row>
    <row r="794" spans="1:8" x14ac:dyDescent="0.3">
      <c r="A794" t="s">
        <v>1980</v>
      </c>
      <c r="B794" t="s">
        <v>84</v>
      </c>
      <c r="C794">
        <v>2026</v>
      </c>
      <c r="D794" t="s">
        <v>26</v>
      </c>
      <c r="E794" t="s">
        <v>1885</v>
      </c>
      <c r="F794">
        <v>1557</v>
      </c>
      <c r="G794" t="s">
        <v>54</v>
      </c>
      <c r="H794" t="s">
        <v>84</v>
      </c>
    </row>
    <row r="795" spans="1:8" x14ac:dyDescent="0.3">
      <c r="A795" t="s">
        <v>1981</v>
      </c>
      <c r="B795" t="s">
        <v>84</v>
      </c>
      <c r="C795">
        <v>2026</v>
      </c>
      <c r="D795" t="s">
        <v>26</v>
      </c>
      <c r="E795" t="s">
        <v>1885</v>
      </c>
      <c r="F795">
        <v>18331172.938558962</v>
      </c>
      <c r="G795" t="s">
        <v>36</v>
      </c>
      <c r="H795" t="s">
        <v>84</v>
      </c>
    </row>
    <row r="796" spans="1:8" x14ac:dyDescent="0.3">
      <c r="A796" t="s">
        <v>1352</v>
      </c>
      <c r="B796" t="s">
        <v>84</v>
      </c>
      <c r="C796">
        <v>2026</v>
      </c>
      <c r="D796" t="s">
        <v>26</v>
      </c>
      <c r="E796" t="s">
        <v>4</v>
      </c>
      <c r="F796">
        <v>11794.842421625879</v>
      </c>
      <c r="G796" t="s">
        <v>30</v>
      </c>
      <c r="H796" t="s">
        <v>84</v>
      </c>
    </row>
    <row r="797" spans="1:8" x14ac:dyDescent="0.3">
      <c r="A797" t="s">
        <v>1353</v>
      </c>
      <c r="B797" t="s">
        <v>84</v>
      </c>
      <c r="C797">
        <v>2026</v>
      </c>
      <c r="D797" t="s">
        <v>26</v>
      </c>
      <c r="E797" t="s">
        <v>4</v>
      </c>
      <c r="F797">
        <v>1456</v>
      </c>
      <c r="G797" t="s">
        <v>54</v>
      </c>
      <c r="H797" t="s">
        <v>84</v>
      </c>
    </row>
    <row r="798" spans="1:8" x14ac:dyDescent="0.3">
      <c r="A798" t="s">
        <v>1354</v>
      </c>
      <c r="B798" t="s">
        <v>84</v>
      </c>
      <c r="C798">
        <v>2026</v>
      </c>
      <c r="D798" t="s">
        <v>26</v>
      </c>
      <c r="E798" t="s">
        <v>4</v>
      </c>
      <c r="F798">
        <v>17173290.56588728</v>
      </c>
      <c r="G798" t="s">
        <v>36</v>
      </c>
      <c r="H798" t="s">
        <v>84</v>
      </c>
    </row>
    <row r="799" spans="1:8" x14ac:dyDescent="0.3">
      <c r="A799" t="s">
        <v>1355</v>
      </c>
      <c r="B799" t="s">
        <v>84</v>
      </c>
      <c r="C799">
        <v>2026</v>
      </c>
      <c r="D799" t="s">
        <v>26</v>
      </c>
      <c r="E799" t="s">
        <v>38</v>
      </c>
      <c r="F799">
        <v>11501.997514032137</v>
      </c>
      <c r="G799" t="s">
        <v>30</v>
      </c>
      <c r="H799" t="s">
        <v>84</v>
      </c>
    </row>
    <row r="800" spans="1:8" x14ac:dyDescent="0.3">
      <c r="A800" t="s">
        <v>1356</v>
      </c>
      <c r="B800" t="s">
        <v>84</v>
      </c>
      <c r="C800">
        <v>2026</v>
      </c>
      <c r="D800" t="s">
        <v>26</v>
      </c>
      <c r="E800" t="s">
        <v>38</v>
      </c>
      <c r="F800">
        <v>545</v>
      </c>
      <c r="G800" t="s">
        <v>54</v>
      </c>
      <c r="H800" t="s">
        <v>84</v>
      </c>
    </row>
    <row r="801" spans="1:8" x14ac:dyDescent="0.3">
      <c r="A801" t="s">
        <v>1357</v>
      </c>
      <c r="B801" t="s">
        <v>84</v>
      </c>
      <c r="C801">
        <v>2026</v>
      </c>
      <c r="D801" t="s">
        <v>26</v>
      </c>
      <c r="E801" t="s">
        <v>38</v>
      </c>
      <c r="F801">
        <v>6268588.6451475145</v>
      </c>
      <c r="G801" t="s">
        <v>36</v>
      </c>
      <c r="H801" t="s">
        <v>84</v>
      </c>
    </row>
    <row r="802" spans="1:8" x14ac:dyDescent="0.3">
      <c r="A802" t="s">
        <v>1358</v>
      </c>
      <c r="B802" t="s">
        <v>643</v>
      </c>
      <c r="C802">
        <v>2026</v>
      </c>
      <c r="D802" t="s">
        <v>1359</v>
      </c>
      <c r="E802" t="s">
        <v>53</v>
      </c>
      <c r="F802">
        <v>0</v>
      </c>
      <c r="G802" t="s">
        <v>30</v>
      </c>
      <c r="H802" t="s">
        <v>643</v>
      </c>
    </row>
    <row r="803" spans="1:8" x14ac:dyDescent="0.3">
      <c r="A803" t="s">
        <v>1360</v>
      </c>
      <c r="B803" t="s">
        <v>643</v>
      </c>
      <c r="C803">
        <v>2026</v>
      </c>
      <c r="D803" t="s">
        <v>1359</v>
      </c>
      <c r="E803" t="s">
        <v>53</v>
      </c>
      <c r="F803">
        <v>0</v>
      </c>
      <c r="G803" t="s">
        <v>54</v>
      </c>
      <c r="H803" t="s">
        <v>643</v>
      </c>
    </row>
    <row r="804" spans="1:8" x14ac:dyDescent="0.3">
      <c r="A804" t="s">
        <v>1361</v>
      </c>
      <c r="B804" t="s">
        <v>643</v>
      </c>
      <c r="C804">
        <v>2026</v>
      </c>
      <c r="D804" t="s">
        <v>1359</v>
      </c>
      <c r="E804" t="s">
        <v>53</v>
      </c>
      <c r="F804">
        <v>0</v>
      </c>
      <c r="G804" t="s">
        <v>36</v>
      </c>
      <c r="H804" t="s">
        <v>643</v>
      </c>
    </row>
    <row r="805" spans="1:8" x14ac:dyDescent="0.3">
      <c r="A805" t="s">
        <v>1362</v>
      </c>
      <c r="B805" t="s">
        <v>643</v>
      </c>
      <c r="C805">
        <v>2026</v>
      </c>
      <c r="D805" t="s">
        <v>1359</v>
      </c>
      <c r="E805" t="s">
        <v>63</v>
      </c>
      <c r="F805">
        <v>0</v>
      </c>
      <c r="G805" t="s">
        <v>30</v>
      </c>
      <c r="H805" t="s">
        <v>643</v>
      </c>
    </row>
    <row r="806" spans="1:8" x14ac:dyDescent="0.3">
      <c r="A806" t="s">
        <v>1363</v>
      </c>
      <c r="B806" t="s">
        <v>643</v>
      </c>
      <c r="C806">
        <v>2026</v>
      </c>
      <c r="D806" t="s">
        <v>1359</v>
      </c>
      <c r="E806" t="s">
        <v>63</v>
      </c>
      <c r="F806">
        <v>0</v>
      </c>
      <c r="G806" t="s">
        <v>54</v>
      </c>
      <c r="H806" t="s">
        <v>643</v>
      </c>
    </row>
    <row r="807" spans="1:8" x14ac:dyDescent="0.3">
      <c r="A807" t="s">
        <v>1364</v>
      </c>
      <c r="B807" t="s">
        <v>643</v>
      </c>
      <c r="C807">
        <v>2026</v>
      </c>
      <c r="D807" t="s">
        <v>1359</v>
      </c>
      <c r="E807" t="s">
        <v>63</v>
      </c>
      <c r="F807">
        <v>0</v>
      </c>
      <c r="G807" t="s">
        <v>36</v>
      </c>
      <c r="H807" t="s">
        <v>643</v>
      </c>
    </row>
    <row r="808" spans="1:8" x14ac:dyDescent="0.3">
      <c r="A808" t="s">
        <v>1365</v>
      </c>
      <c r="B808" t="s">
        <v>643</v>
      </c>
      <c r="C808">
        <v>2026</v>
      </c>
      <c r="D808" t="s">
        <v>1359</v>
      </c>
      <c r="E808" t="s">
        <v>3</v>
      </c>
      <c r="F808">
        <v>0</v>
      </c>
      <c r="G808" t="s">
        <v>30</v>
      </c>
      <c r="H808" t="s">
        <v>643</v>
      </c>
    </row>
    <row r="809" spans="1:8" x14ac:dyDescent="0.3">
      <c r="A809" t="s">
        <v>1366</v>
      </c>
      <c r="B809" t="s">
        <v>643</v>
      </c>
      <c r="C809">
        <v>2026</v>
      </c>
      <c r="D809" t="s">
        <v>1359</v>
      </c>
      <c r="E809" t="s">
        <v>3</v>
      </c>
      <c r="F809">
        <v>0</v>
      </c>
      <c r="G809" t="s">
        <v>54</v>
      </c>
      <c r="H809" t="s">
        <v>643</v>
      </c>
    </row>
    <row r="810" spans="1:8" x14ac:dyDescent="0.3">
      <c r="A810" t="s">
        <v>1367</v>
      </c>
      <c r="B810" t="s">
        <v>643</v>
      </c>
      <c r="C810">
        <v>2026</v>
      </c>
      <c r="D810" t="s">
        <v>1359</v>
      </c>
      <c r="E810" t="s">
        <v>3</v>
      </c>
      <c r="F810">
        <v>0</v>
      </c>
      <c r="G810" t="s">
        <v>36</v>
      </c>
      <c r="H810" t="s">
        <v>643</v>
      </c>
    </row>
    <row r="811" spans="1:8" x14ac:dyDescent="0.3">
      <c r="A811" t="s">
        <v>1368</v>
      </c>
      <c r="B811" t="s">
        <v>643</v>
      </c>
      <c r="C811">
        <v>2026</v>
      </c>
      <c r="D811" t="s">
        <v>1359</v>
      </c>
      <c r="E811" t="s">
        <v>2</v>
      </c>
      <c r="F811">
        <v>4586.5437788018444</v>
      </c>
      <c r="G811" t="s">
        <v>30</v>
      </c>
      <c r="H811" t="s">
        <v>643</v>
      </c>
    </row>
    <row r="812" spans="1:8" x14ac:dyDescent="0.3">
      <c r="A812" t="s">
        <v>1369</v>
      </c>
      <c r="B812" t="s">
        <v>643</v>
      </c>
      <c r="C812">
        <v>2026</v>
      </c>
      <c r="D812" t="s">
        <v>1359</v>
      </c>
      <c r="E812" t="s">
        <v>2</v>
      </c>
      <c r="F812">
        <v>84</v>
      </c>
      <c r="G812" t="s">
        <v>54</v>
      </c>
      <c r="H812" t="s">
        <v>643</v>
      </c>
    </row>
    <row r="813" spans="1:8" x14ac:dyDescent="0.3">
      <c r="A813" t="s">
        <v>1370</v>
      </c>
      <c r="B813" t="s">
        <v>643</v>
      </c>
      <c r="C813">
        <v>2026</v>
      </c>
      <c r="D813" t="s">
        <v>1359</v>
      </c>
      <c r="E813" t="s">
        <v>2</v>
      </c>
      <c r="F813">
        <v>385269.67741935491</v>
      </c>
      <c r="G813" t="s">
        <v>36</v>
      </c>
      <c r="H813" t="s">
        <v>643</v>
      </c>
    </row>
    <row r="814" spans="1:8" x14ac:dyDescent="0.3">
      <c r="A814" t="s">
        <v>1371</v>
      </c>
      <c r="B814" t="s">
        <v>643</v>
      </c>
      <c r="C814">
        <v>2026</v>
      </c>
      <c r="D814" t="s">
        <v>1359</v>
      </c>
      <c r="E814" t="s">
        <v>1</v>
      </c>
      <c r="F814">
        <v>5044.0249021441005</v>
      </c>
      <c r="G814" t="s">
        <v>30</v>
      </c>
      <c r="H814" t="s">
        <v>643</v>
      </c>
    </row>
    <row r="815" spans="1:8" x14ac:dyDescent="0.3">
      <c r="A815" t="s">
        <v>1372</v>
      </c>
      <c r="B815" t="s">
        <v>643</v>
      </c>
      <c r="C815">
        <v>2026</v>
      </c>
      <c r="D815" t="s">
        <v>1359</v>
      </c>
      <c r="E815" t="s">
        <v>1</v>
      </c>
      <c r="F815">
        <v>501</v>
      </c>
      <c r="G815" t="s">
        <v>54</v>
      </c>
      <c r="H815" t="s">
        <v>643</v>
      </c>
    </row>
    <row r="816" spans="1:8" x14ac:dyDescent="0.3">
      <c r="A816" t="s">
        <v>1373</v>
      </c>
      <c r="B816" t="s">
        <v>643</v>
      </c>
      <c r="C816">
        <v>2026</v>
      </c>
      <c r="D816" t="s">
        <v>1359</v>
      </c>
      <c r="E816" t="s">
        <v>1</v>
      </c>
      <c r="F816">
        <v>2527056.4759741942</v>
      </c>
      <c r="G816" t="s">
        <v>36</v>
      </c>
      <c r="H816" t="s">
        <v>643</v>
      </c>
    </row>
    <row r="817" spans="1:8" x14ac:dyDescent="0.3">
      <c r="A817" t="s">
        <v>1982</v>
      </c>
      <c r="B817" t="s">
        <v>643</v>
      </c>
      <c r="C817">
        <v>2026</v>
      </c>
      <c r="D817" t="s">
        <v>1359</v>
      </c>
      <c r="E817" t="s">
        <v>1885</v>
      </c>
      <c r="F817">
        <v>4978.3353049462376</v>
      </c>
      <c r="G817" t="s">
        <v>30</v>
      </c>
      <c r="H817" t="s">
        <v>643</v>
      </c>
    </row>
    <row r="818" spans="1:8" x14ac:dyDescent="0.3">
      <c r="A818" t="s">
        <v>1983</v>
      </c>
      <c r="B818" t="s">
        <v>643</v>
      </c>
      <c r="C818">
        <v>2026</v>
      </c>
      <c r="D818" t="s">
        <v>1359</v>
      </c>
      <c r="E818" t="s">
        <v>1885</v>
      </c>
      <c r="F818">
        <v>585</v>
      </c>
      <c r="G818" t="s">
        <v>54</v>
      </c>
      <c r="H818" t="s">
        <v>643</v>
      </c>
    </row>
    <row r="819" spans="1:8" x14ac:dyDescent="0.3">
      <c r="A819" t="s">
        <v>1984</v>
      </c>
      <c r="B819" t="s">
        <v>643</v>
      </c>
      <c r="C819">
        <v>2026</v>
      </c>
      <c r="D819" t="s">
        <v>1359</v>
      </c>
      <c r="E819" t="s">
        <v>1885</v>
      </c>
      <c r="F819">
        <v>2912326.1533935489</v>
      </c>
      <c r="G819" t="s">
        <v>36</v>
      </c>
      <c r="H819" t="s">
        <v>643</v>
      </c>
    </row>
    <row r="820" spans="1:8" x14ac:dyDescent="0.3">
      <c r="A820" t="s">
        <v>1374</v>
      </c>
      <c r="B820" t="s">
        <v>643</v>
      </c>
      <c r="C820">
        <v>2026</v>
      </c>
      <c r="D820" t="s">
        <v>1359</v>
      </c>
      <c r="E820" t="s">
        <v>4</v>
      </c>
      <c r="F820">
        <v>4978.3353049462376</v>
      </c>
      <c r="G820" t="s">
        <v>30</v>
      </c>
      <c r="H820" t="s">
        <v>643</v>
      </c>
    </row>
    <row r="821" spans="1:8" x14ac:dyDescent="0.3">
      <c r="A821" t="s">
        <v>1375</v>
      </c>
      <c r="B821" t="s">
        <v>643</v>
      </c>
      <c r="C821">
        <v>2026</v>
      </c>
      <c r="D821" t="s">
        <v>1359</v>
      </c>
      <c r="E821" t="s">
        <v>4</v>
      </c>
      <c r="F821">
        <v>585</v>
      </c>
      <c r="G821" t="s">
        <v>54</v>
      </c>
      <c r="H821" t="s">
        <v>643</v>
      </c>
    </row>
    <row r="822" spans="1:8" x14ac:dyDescent="0.3">
      <c r="A822" t="s">
        <v>1376</v>
      </c>
      <c r="B822" t="s">
        <v>643</v>
      </c>
      <c r="C822">
        <v>2026</v>
      </c>
      <c r="D822" t="s">
        <v>1359</v>
      </c>
      <c r="E822" t="s">
        <v>4</v>
      </c>
      <c r="F822">
        <v>2912326.1533935489</v>
      </c>
      <c r="G822" t="s">
        <v>36</v>
      </c>
      <c r="H822" t="s">
        <v>643</v>
      </c>
    </row>
    <row r="823" spans="1:8" x14ac:dyDescent="0.3">
      <c r="A823" t="s">
        <v>1377</v>
      </c>
      <c r="B823" t="s">
        <v>643</v>
      </c>
      <c r="C823">
        <v>2026</v>
      </c>
      <c r="D823" t="s">
        <v>1359</v>
      </c>
      <c r="E823" t="s">
        <v>38</v>
      </c>
      <c r="F823">
        <v>0</v>
      </c>
      <c r="G823" t="s">
        <v>30</v>
      </c>
      <c r="H823" t="s">
        <v>643</v>
      </c>
    </row>
    <row r="824" spans="1:8" x14ac:dyDescent="0.3">
      <c r="A824" t="s">
        <v>1378</v>
      </c>
      <c r="B824" t="s">
        <v>643</v>
      </c>
      <c r="C824">
        <v>2026</v>
      </c>
      <c r="D824" t="s">
        <v>1359</v>
      </c>
      <c r="E824" t="s">
        <v>38</v>
      </c>
      <c r="F824">
        <v>0</v>
      </c>
      <c r="G824" t="s">
        <v>54</v>
      </c>
      <c r="H824" t="s">
        <v>643</v>
      </c>
    </row>
    <row r="825" spans="1:8" x14ac:dyDescent="0.3">
      <c r="A825" t="s">
        <v>1379</v>
      </c>
      <c r="B825" t="s">
        <v>643</v>
      </c>
      <c r="C825">
        <v>2026</v>
      </c>
      <c r="D825" t="s">
        <v>1359</v>
      </c>
      <c r="E825" t="s">
        <v>38</v>
      </c>
      <c r="F825">
        <v>0</v>
      </c>
      <c r="G825" t="s">
        <v>36</v>
      </c>
      <c r="H825" t="s">
        <v>643</v>
      </c>
    </row>
    <row r="826" spans="1:8" x14ac:dyDescent="0.3">
      <c r="A826" t="s">
        <v>1380</v>
      </c>
      <c r="B826" t="s">
        <v>85</v>
      </c>
      <c r="C826">
        <v>2026</v>
      </c>
      <c r="D826" t="s">
        <v>16</v>
      </c>
      <c r="E826" t="s">
        <v>53</v>
      </c>
      <c r="F826">
        <v>0</v>
      </c>
      <c r="G826" t="s">
        <v>30</v>
      </c>
      <c r="H826" t="s">
        <v>85</v>
      </c>
    </row>
    <row r="827" spans="1:8" x14ac:dyDescent="0.3">
      <c r="A827" t="s">
        <v>1381</v>
      </c>
      <c r="B827" t="s">
        <v>85</v>
      </c>
      <c r="C827">
        <v>2026</v>
      </c>
      <c r="D827" t="s">
        <v>16</v>
      </c>
      <c r="E827" t="s">
        <v>53</v>
      </c>
      <c r="F827">
        <v>0</v>
      </c>
      <c r="G827" t="s">
        <v>54</v>
      </c>
      <c r="H827" t="s">
        <v>85</v>
      </c>
    </row>
    <row r="828" spans="1:8" x14ac:dyDescent="0.3">
      <c r="A828" t="s">
        <v>1382</v>
      </c>
      <c r="B828" t="s">
        <v>85</v>
      </c>
      <c r="C828">
        <v>2026</v>
      </c>
      <c r="D828" t="s">
        <v>16</v>
      </c>
      <c r="E828" t="s">
        <v>53</v>
      </c>
      <c r="F828">
        <v>0</v>
      </c>
      <c r="G828" t="s">
        <v>36</v>
      </c>
      <c r="H828" t="s">
        <v>85</v>
      </c>
    </row>
    <row r="829" spans="1:8" x14ac:dyDescent="0.3">
      <c r="A829" t="s">
        <v>1383</v>
      </c>
      <c r="B829" t="s">
        <v>85</v>
      </c>
      <c r="C829">
        <v>2026</v>
      </c>
      <c r="D829" t="s">
        <v>16</v>
      </c>
      <c r="E829" t="s">
        <v>63</v>
      </c>
      <c r="F829">
        <v>13507.470910948987</v>
      </c>
      <c r="G829" t="s">
        <v>30</v>
      </c>
      <c r="H829" t="s">
        <v>85</v>
      </c>
    </row>
    <row r="830" spans="1:8" x14ac:dyDescent="0.3">
      <c r="A830" t="s">
        <v>1384</v>
      </c>
      <c r="B830" t="s">
        <v>85</v>
      </c>
      <c r="C830">
        <v>2026</v>
      </c>
      <c r="D830" t="s">
        <v>16</v>
      </c>
      <c r="E830" t="s">
        <v>63</v>
      </c>
      <c r="F830">
        <v>4</v>
      </c>
      <c r="G830" t="s">
        <v>54</v>
      </c>
      <c r="H830" t="s">
        <v>85</v>
      </c>
    </row>
    <row r="831" spans="1:8" x14ac:dyDescent="0.3">
      <c r="A831" t="s">
        <v>1385</v>
      </c>
      <c r="B831" t="s">
        <v>85</v>
      </c>
      <c r="C831">
        <v>2026</v>
      </c>
      <c r="D831" t="s">
        <v>16</v>
      </c>
      <c r="E831" t="s">
        <v>63</v>
      </c>
      <c r="F831">
        <v>54029.883643795947</v>
      </c>
      <c r="G831" t="s">
        <v>36</v>
      </c>
      <c r="H831" t="s">
        <v>85</v>
      </c>
    </row>
    <row r="832" spans="1:8" x14ac:dyDescent="0.3">
      <c r="A832" t="s">
        <v>1386</v>
      </c>
      <c r="B832" t="s">
        <v>85</v>
      </c>
      <c r="C832">
        <v>2026</v>
      </c>
      <c r="D832" t="s">
        <v>16</v>
      </c>
      <c r="E832" t="s">
        <v>3</v>
      </c>
      <c r="F832">
        <v>24796.049699806339</v>
      </c>
      <c r="G832" t="s">
        <v>30</v>
      </c>
      <c r="H832" t="s">
        <v>85</v>
      </c>
    </row>
    <row r="833" spans="1:8" x14ac:dyDescent="0.3">
      <c r="A833" t="s">
        <v>1387</v>
      </c>
      <c r="B833" t="s">
        <v>85</v>
      </c>
      <c r="C833">
        <v>2026</v>
      </c>
      <c r="D833" t="s">
        <v>16</v>
      </c>
      <c r="E833" t="s">
        <v>3</v>
      </c>
      <c r="F833">
        <v>22</v>
      </c>
      <c r="G833" t="s">
        <v>54</v>
      </c>
      <c r="H833" t="s">
        <v>85</v>
      </c>
    </row>
    <row r="834" spans="1:8" x14ac:dyDescent="0.3">
      <c r="A834" t="s">
        <v>1388</v>
      </c>
      <c r="B834" t="s">
        <v>85</v>
      </c>
      <c r="C834">
        <v>2026</v>
      </c>
      <c r="D834" t="s">
        <v>16</v>
      </c>
      <c r="E834" t="s">
        <v>3</v>
      </c>
      <c r="F834">
        <v>545513.09339573944</v>
      </c>
      <c r="G834" t="s">
        <v>36</v>
      </c>
      <c r="H834" t="s">
        <v>85</v>
      </c>
    </row>
    <row r="835" spans="1:8" x14ac:dyDescent="0.3">
      <c r="A835" t="s">
        <v>1389</v>
      </c>
      <c r="B835" t="s">
        <v>85</v>
      </c>
      <c r="C835">
        <v>2026</v>
      </c>
      <c r="D835" t="s">
        <v>16</v>
      </c>
      <c r="E835" t="s">
        <v>2</v>
      </c>
      <c r="F835">
        <v>10227.996596579456</v>
      </c>
      <c r="G835" t="s">
        <v>30</v>
      </c>
      <c r="H835" t="s">
        <v>85</v>
      </c>
    </row>
    <row r="836" spans="1:8" x14ac:dyDescent="0.3">
      <c r="A836" t="s">
        <v>1390</v>
      </c>
      <c r="B836" t="s">
        <v>85</v>
      </c>
      <c r="C836">
        <v>2026</v>
      </c>
      <c r="D836" t="s">
        <v>16</v>
      </c>
      <c r="E836" t="s">
        <v>2</v>
      </c>
      <c r="F836">
        <v>139</v>
      </c>
      <c r="G836" t="s">
        <v>54</v>
      </c>
      <c r="H836" t="s">
        <v>85</v>
      </c>
    </row>
    <row r="837" spans="1:8" x14ac:dyDescent="0.3">
      <c r="A837" t="s">
        <v>1391</v>
      </c>
      <c r="B837" t="s">
        <v>85</v>
      </c>
      <c r="C837">
        <v>2026</v>
      </c>
      <c r="D837" t="s">
        <v>16</v>
      </c>
      <c r="E837" t="s">
        <v>2</v>
      </c>
      <c r="F837">
        <v>1421691.5269245445</v>
      </c>
      <c r="G837" t="s">
        <v>36</v>
      </c>
      <c r="H837" t="s">
        <v>85</v>
      </c>
    </row>
    <row r="838" spans="1:8" x14ac:dyDescent="0.3">
      <c r="A838" t="s">
        <v>1392</v>
      </c>
      <c r="B838" t="s">
        <v>85</v>
      </c>
      <c r="C838">
        <v>2026</v>
      </c>
      <c r="D838" t="s">
        <v>16</v>
      </c>
      <c r="E838" t="s">
        <v>1</v>
      </c>
      <c r="F838">
        <v>13243.587869119887</v>
      </c>
      <c r="G838" t="s">
        <v>30</v>
      </c>
      <c r="H838" t="s">
        <v>85</v>
      </c>
    </row>
    <row r="839" spans="1:8" x14ac:dyDescent="0.3">
      <c r="A839" t="s">
        <v>1393</v>
      </c>
      <c r="B839" t="s">
        <v>85</v>
      </c>
      <c r="C839">
        <v>2026</v>
      </c>
      <c r="D839" t="s">
        <v>16</v>
      </c>
      <c r="E839" t="s">
        <v>1</v>
      </c>
      <c r="F839">
        <v>694</v>
      </c>
      <c r="G839" t="s">
        <v>54</v>
      </c>
      <c r="H839" t="s">
        <v>85</v>
      </c>
    </row>
    <row r="840" spans="1:8" x14ac:dyDescent="0.3">
      <c r="A840" t="s">
        <v>1394</v>
      </c>
      <c r="B840" t="s">
        <v>85</v>
      </c>
      <c r="C840">
        <v>2026</v>
      </c>
      <c r="D840" t="s">
        <v>16</v>
      </c>
      <c r="E840" t="s">
        <v>1</v>
      </c>
      <c r="F840">
        <v>9191049.9811692014</v>
      </c>
      <c r="G840" t="s">
        <v>36</v>
      </c>
      <c r="H840" t="s">
        <v>85</v>
      </c>
    </row>
    <row r="841" spans="1:8" x14ac:dyDescent="0.3">
      <c r="A841" t="s">
        <v>1985</v>
      </c>
      <c r="B841" t="s">
        <v>85</v>
      </c>
      <c r="C841">
        <v>2026</v>
      </c>
      <c r="D841" t="s">
        <v>16</v>
      </c>
      <c r="E841" t="s">
        <v>1885</v>
      </c>
      <c r="F841">
        <v>12551.730954248276</v>
      </c>
      <c r="G841" t="s">
        <v>30</v>
      </c>
      <c r="H841" t="s">
        <v>85</v>
      </c>
    </row>
    <row r="842" spans="1:8" x14ac:dyDescent="0.3">
      <c r="A842" t="s">
        <v>1986</v>
      </c>
      <c r="B842" t="s">
        <v>85</v>
      </c>
      <c r="C842">
        <v>2026</v>
      </c>
      <c r="D842" t="s">
        <v>16</v>
      </c>
      <c r="E842" t="s">
        <v>1885</v>
      </c>
      <c r="F842">
        <v>1634</v>
      </c>
      <c r="G842" t="s">
        <v>54</v>
      </c>
      <c r="H842" t="s">
        <v>85</v>
      </c>
    </row>
    <row r="843" spans="1:8" x14ac:dyDescent="0.3">
      <c r="A843" t="s">
        <v>1987</v>
      </c>
      <c r="B843" t="s">
        <v>85</v>
      </c>
      <c r="C843">
        <v>2026</v>
      </c>
      <c r="D843" t="s">
        <v>16</v>
      </c>
      <c r="E843" t="s">
        <v>1885</v>
      </c>
      <c r="F843">
        <v>20509528.379241683</v>
      </c>
      <c r="G843" t="s">
        <v>36</v>
      </c>
      <c r="H843" t="s">
        <v>85</v>
      </c>
    </row>
    <row r="844" spans="1:8" x14ac:dyDescent="0.3">
      <c r="A844" t="s">
        <v>1395</v>
      </c>
      <c r="B844" t="s">
        <v>85</v>
      </c>
      <c r="C844">
        <v>2026</v>
      </c>
      <c r="D844" t="s">
        <v>16</v>
      </c>
      <c r="E844" t="s">
        <v>4</v>
      </c>
      <c r="F844">
        <v>12581.361183816747</v>
      </c>
      <c r="G844" t="s">
        <v>30</v>
      </c>
      <c r="H844" t="s">
        <v>85</v>
      </c>
    </row>
    <row r="845" spans="1:8" x14ac:dyDescent="0.3">
      <c r="A845" t="s">
        <v>1396</v>
      </c>
      <c r="B845" t="s">
        <v>85</v>
      </c>
      <c r="C845">
        <v>2026</v>
      </c>
      <c r="D845" t="s">
        <v>16</v>
      </c>
      <c r="E845" t="s">
        <v>4</v>
      </c>
      <c r="F845">
        <v>1434</v>
      </c>
      <c r="G845" t="s">
        <v>54</v>
      </c>
      <c r="H845" t="s">
        <v>85</v>
      </c>
    </row>
    <row r="846" spans="1:8" x14ac:dyDescent="0.3">
      <c r="A846" t="s">
        <v>1397</v>
      </c>
      <c r="B846" t="s">
        <v>85</v>
      </c>
      <c r="C846">
        <v>2026</v>
      </c>
      <c r="D846" t="s">
        <v>16</v>
      </c>
      <c r="E846" t="s">
        <v>4</v>
      </c>
      <c r="F846">
        <v>18041671.937593214</v>
      </c>
      <c r="G846" t="s">
        <v>36</v>
      </c>
      <c r="H846" t="s">
        <v>85</v>
      </c>
    </row>
    <row r="847" spans="1:8" x14ac:dyDescent="0.3">
      <c r="A847" t="s">
        <v>1398</v>
      </c>
      <c r="B847" t="s">
        <v>85</v>
      </c>
      <c r="C847">
        <v>2026</v>
      </c>
      <c r="D847" t="s">
        <v>16</v>
      </c>
      <c r="E847" t="s">
        <v>38</v>
      </c>
      <c r="F847">
        <v>11877.195569495532</v>
      </c>
      <c r="G847" t="s">
        <v>30</v>
      </c>
      <c r="H847" t="s">
        <v>85</v>
      </c>
    </row>
    <row r="848" spans="1:8" x14ac:dyDescent="0.3">
      <c r="A848" t="s">
        <v>1399</v>
      </c>
      <c r="B848" t="s">
        <v>85</v>
      </c>
      <c r="C848">
        <v>2026</v>
      </c>
      <c r="D848" t="s">
        <v>16</v>
      </c>
      <c r="E848" t="s">
        <v>38</v>
      </c>
      <c r="F848">
        <v>575</v>
      </c>
      <c r="G848" t="s">
        <v>54</v>
      </c>
      <c r="H848" t="s">
        <v>85</v>
      </c>
    </row>
    <row r="849" spans="1:8" x14ac:dyDescent="0.3">
      <c r="A849" t="s">
        <v>1400</v>
      </c>
      <c r="B849" t="s">
        <v>85</v>
      </c>
      <c r="C849">
        <v>2026</v>
      </c>
      <c r="D849" t="s">
        <v>16</v>
      </c>
      <c r="E849" t="s">
        <v>38</v>
      </c>
      <c r="F849">
        <v>6829387.4524599314</v>
      </c>
      <c r="G849" t="s">
        <v>36</v>
      </c>
      <c r="H849" t="s">
        <v>85</v>
      </c>
    </row>
    <row r="850" spans="1:8" x14ac:dyDescent="0.3">
      <c r="A850" t="s">
        <v>1401</v>
      </c>
      <c r="B850" t="s">
        <v>86</v>
      </c>
      <c r="C850">
        <v>2026</v>
      </c>
      <c r="D850" t="s">
        <v>8</v>
      </c>
      <c r="E850" t="s">
        <v>53</v>
      </c>
      <c r="F850">
        <v>0</v>
      </c>
      <c r="G850" t="s">
        <v>30</v>
      </c>
      <c r="H850" t="s">
        <v>86</v>
      </c>
    </row>
    <row r="851" spans="1:8" x14ac:dyDescent="0.3">
      <c r="A851" t="s">
        <v>1402</v>
      </c>
      <c r="B851" t="s">
        <v>86</v>
      </c>
      <c r="C851">
        <v>2026</v>
      </c>
      <c r="D851" t="s">
        <v>8</v>
      </c>
      <c r="E851" t="s">
        <v>53</v>
      </c>
      <c r="F851">
        <v>0</v>
      </c>
      <c r="G851" t="s">
        <v>54</v>
      </c>
      <c r="H851" t="s">
        <v>86</v>
      </c>
    </row>
    <row r="852" spans="1:8" x14ac:dyDescent="0.3">
      <c r="A852" t="s">
        <v>1403</v>
      </c>
      <c r="B852" t="s">
        <v>86</v>
      </c>
      <c r="C852">
        <v>2026</v>
      </c>
      <c r="D852" t="s">
        <v>8</v>
      </c>
      <c r="E852" t="s">
        <v>53</v>
      </c>
      <c r="F852">
        <v>0</v>
      </c>
      <c r="G852" t="s">
        <v>36</v>
      </c>
      <c r="H852" t="s">
        <v>86</v>
      </c>
    </row>
    <row r="853" spans="1:8" x14ac:dyDescent="0.3">
      <c r="A853" t="s">
        <v>1404</v>
      </c>
      <c r="B853" t="s">
        <v>86</v>
      </c>
      <c r="C853">
        <v>2026</v>
      </c>
      <c r="D853" t="s">
        <v>8</v>
      </c>
      <c r="E853" t="s">
        <v>63</v>
      </c>
      <c r="F853">
        <v>4186.0315423087113</v>
      </c>
      <c r="G853" t="s">
        <v>30</v>
      </c>
      <c r="H853" t="s">
        <v>86</v>
      </c>
    </row>
    <row r="854" spans="1:8" x14ac:dyDescent="0.3">
      <c r="A854" t="s">
        <v>1405</v>
      </c>
      <c r="B854" t="s">
        <v>86</v>
      </c>
      <c r="C854">
        <v>2026</v>
      </c>
      <c r="D854" t="s">
        <v>8</v>
      </c>
      <c r="E854" t="s">
        <v>63</v>
      </c>
      <c r="F854">
        <v>1</v>
      </c>
      <c r="G854" t="s">
        <v>54</v>
      </c>
      <c r="H854" t="s">
        <v>86</v>
      </c>
    </row>
    <row r="855" spans="1:8" x14ac:dyDescent="0.3">
      <c r="A855" t="s">
        <v>1406</v>
      </c>
      <c r="B855" t="s">
        <v>86</v>
      </c>
      <c r="C855">
        <v>2026</v>
      </c>
      <c r="D855" t="s">
        <v>8</v>
      </c>
      <c r="E855" t="s">
        <v>63</v>
      </c>
      <c r="F855">
        <v>4186.0315423087113</v>
      </c>
      <c r="G855" t="s">
        <v>36</v>
      </c>
      <c r="H855" t="s">
        <v>86</v>
      </c>
    </row>
    <row r="856" spans="1:8" x14ac:dyDescent="0.3">
      <c r="A856" t="s">
        <v>1407</v>
      </c>
      <c r="B856" t="s">
        <v>86</v>
      </c>
      <c r="C856">
        <v>2026</v>
      </c>
      <c r="D856" t="s">
        <v>8</v>
      </c>
      <c r="E856" t="s">
        <v>3</v>
      </c>
      <c r="F856">
        <v>48258.676642364917</v>
      </c>
      <c r="G856" t="s">
        <v>30</v>
      </c>
      <c r="H856" t="s">
        <v>86</v>
      </c>
    </row>
    <row r="857" spans="1:8" x14ac:dyDescent="0.3">
      <c r="A857" t="s">
        <v>1408</v>
      </c>
      <c r="B857" t="s">
        <v>86</v>
      </c>
      <c r="C857">
        <v>2026</v>
      </c>
      <c r="D857" t="s">
        <v>8</v>
      </c>
      <c r="E857" t="s">
        <v>3</v>
      </c>
      <c r="F857">
        <v>18</v>
      </c>
      <c r="G857" t="s">
        <v>54</v>
      </c>
      <c r="H857" t="s">
        <v>86</v>
      </c>
    </row>
    <row r="858" spans="1:8" x14ac:dyDescent="0.3">
      <c r="A858" t="s">
        <v>1409</v>
      </c>
      <c r="B858" t="s">
        <v>86</v>
      </c>
      <c r="C858">
        <v>2026</v>
      </c>
      <c r="D858" t="s">
        <v>8</v>
      </c>
      <c r="E858" t="s">
        <v>3</v>
      </c>
      <c r="F858">
        <v>868656.17956256855</v>
      </c>
      <c r="G858" t="s">
        <v>36</v>
      </c>
      <c r="H858" t="s">
        <v>86</v>
      </c>
    </row>
    <row r="859" spans="1:8" x14ac:dyDescent="0.3">
      <c r="A859" t="s">
        <v>1410</v>
      </c>
      <c r="B859" t="s">
        <v>86</v>
      </c>
      <c r="C859">
        <v>2026</v>
      </c>
      <c r="D859" t="s">
        <v>8</v>
      </c>
      <c r="E859" t="s">
        <v>2</v>
      </c>
      <c r="F859">
        <v>9713.7942190139329</v>
      </c>
      <c r="G859" t="s">
        <v>30</v>
      </c>
      <c r="H859" t="s">
        <v>86</v>
      </c>
    </row>
    <row r="860" spans="1:8" x14ac:dyDescent="0.3">
      <c r="A860" t="s">
        <v>1411</v>
      </c>
      <c r="B860" t="s">
        <v>86</v>
      </c>
      <c r="C860">
        <v>2026</v>
      </c>
      <c r="D860" t="s">
        <v>8</v>
      </c>
      <c r="E860" t="s">
        <v>2</v>
      </c>
      <c r="F860">
        <v>221</v>
      </c>
      <c r="G860" t="s">
        <v>54</v>
      </c>
      <c r="H860" t="s">
        <v>86</v>
      </c>
    </row>
    <row r="861" spans="1:8" x14ac:dyDescent="0.3">
      <c r="A861" t="s">
        <v>1412</v>
      </c>
      <c r="B861" t="s">
        <v>86</v>
      </c>
      <c r="C861">
        <v>2026</v>
      </c>
      <c r="D861" t="s">
        <v>8</v>
      </c>
      <c r="E861" t="s">
        <v>2</v>
      </c>
      <c r="F861">
        <v>2146748.5224020793</v>
      </c>
      <c r="G861" t="s">
        <v>36</v>
      </c>
      <c r="H861" t="s">
        <v>86</v>
      </c>
    </row>
    <row r="862" spans="1:8" x14ac:dyDescent="0.3">
      <c r="A862" t="s">
        <v>1413</v>
      </c>
      <c r="B862" t="s">
        <v>86</v>
      </c>
      <c r="C862">
        <v>2026</v>
      </c>
      <c r="D862" t="s">
        <v>8</v>
      </c>
      <c r="E862" t="s">
        <v>1</v>
      </c>
      <c r="F862">
        <v>11712.206740833057</v>
      </c>
      <c r="G862" t="s">
        <v>30</v>
      </c>
      <c r="H862" t="s">
        <v>86</v>
      </c>
    </row>
    <row r="863" spans="1:8" x14ac:dyDescent="0.3">
      <c r="A863" t="s">
        <v>1414</v>
      </c>
      <c r="B863" t="s">
        <v>86</v>
      </c>
      <c r="C863">
        <v>2026</v>
      </c>
      <c r="D863" t="s">
        <v>8</v>
      </c>
      <c r="E863" t="s">
        <v>1</v>
      </c>
      <c r="F863">
        <v>496</v>
      </c>
      <c r="G863" t="s">
        <v>54</v>
      </c>
      <c r="H863" t="s">
        <v>86</v>
      </c>
    </row>
    <row r="864" spans="1:8" x14ac:dyDescent="0.3">
      <c r="A864" t="s">
        <v>1415</v>
      </c>
      <c r="B864" t="s">
        <v>86</v>
      </c>
      <c r="C864">
        <v>2026</v>
      </c>
      <c r="D864" t="s">
        <v>8</v>
      </c>
      <c r="E864" t="s">
        <v>1</v>
      </c>
      <c r="F864">
        <v>5809254.5434531961</v>
      </c>
      <c r="G864" t="s">
        <v>36</v>
      </c>
      <c r="H864" t="s">
        <v>86</v>
      </c>
    </row>
    <row r="865" spans="1:8" x14ac:dyDescent="0.3">
      <c r="A865" t="s">
        <v>1988</v>
      </c>
      <c r="B865" t="s">
        <v>86</v>
      </c>
      <c r="C865">
        <v>2026</v>
      </c>
      <c r="D865" t="s">
        <v>8</v>
      </c>
      <c r="E865" t="s">
        <v>1885</v>
      </c>
      <c r="F865">
        <v>11519.413683582907</v>
      </c>
      <c r="G865" t="s">
        <v>30</v>
      </c>
      <c r="H865" t="s">
        <v>86</v>
      </c>
    </row>
    <row r="866" spans="1:8" x14ac:dyDescent="0.3">
      <c r="A866" t="s">
        <v>1989</v>
      </c>
      <c r="B866" t="s">
        <v>86</v>
      </c>
      <c r="C866">
        <v>2026</v>
      </c>
      <c r="D866" t="s">
        <v>8</v>
      </c>
      <c r="E866" t="s">
        <v>1885</v>
      </c>
      <c r="F866">
        <v>1481</v>
      </c>
      <c r="G866" t="s">
        <v>54</v>
      </c>
      <c r="H866" t="s">
        <v>86</v>
      </c>
    </row>
    <row r="867" spans="1:8" x14ac:dyDescent="0.3">
      <c r="A867" t="s">
        <v>1990</v>
      </c>
      <c r="B867" t="s">
        <v>86</v>
      </c>
      <c r="C867">
        <v>2026</v>
      </c>
      <c r="D867" t="s">
        <v>8</v>
      </c>
      <c r="E867" t="s">
        <v>1885</v>
      </c>
      <c r="F867">
        <v>17060251.665386286</v>
      </c>
      <c r="G867" t="s">
        <v>36</v>
      </c>
      <c r="H867" t="s">
        <v>86</v>
      </c>
    </row>
    <row r="868" spans="1:8" x14ac:dyDescent="0.3">
      <c r="A868" t="s">
        <v>1416</v>
      </c>
      <c r="B868" t="s">
        <v>86</v>
      </c>
      <c r="C868">
        <v>2026</v>
      </c>
      <c r="D868" t="s">
        <v>8</v>
      </c>
      <c r="E868" t="s">
        <v>4</v>
      </c>
      <c r="F868">
        <v>11587.007908158554</v>
      </c>
      <c r="G868" t="s">
        <v>30</v>
      </c>
      <c r="H868" t="s">
        <v>86</v>
      </c>
    </row>
    <row r="869" spans="1:8" x14ac:dyDescent="0.3">
      <c r="A869" t="s">
        <v>1417</v>
      </c>
      <c r="B869" t="s">
        <v>86</v>
      </c>
      <c r="C869">
        <v>2026</v>
      </c>
      <c r="D869" t="s">
        <v>8</v>
      </c>
      <c r="E869" t="s">
        <v>4</v>
      </c>
      <c r="F869">
        <v>1378</v>
      </c>
      <c r="G869" t="s">
        <v>54</v>
      </c>
      <c r="H869" t="s">
        <v>86</v>
      </c>
    </row>
    <row r="870" spans="1:8" x14ac:dyDescent="0.3">
      <c r="A870" t="s">
        <v>1418</v>
      </c>
      <c r="B870" t="s">
        <v>86</v>
      </c>
      <c r="C870">
        <v>2026</v>
      </c>
      <c r="D870" t="s">
        <v>8</v>
      </c>
      <c r="E870" t="s">
        <v>4</v>
      </c>
      <c r="F870">
        <v>15966896.897442486</v>
      </c>
      <c r="G870" t="s">
        <v>36</v>
      </c>
      <c r="H870" t="s">
        <v>86</v>
      </c>
    </row>
    <row r="871" spans="1:8" x14ac:dyDescent="0.3">
      <c r="A871" t="s">
        <v>1419</v>
      </c>
      <c r="B871" t="s">
        <v>86</v>
      </c>
      <c r="C871">
        <v>2026</v>
      </c>
      <c r="D871" t="s">
        <v>8</v>
      </c>
      <c r="E871" t="s">
        <v>38</v>
      </c>
      <c r="F871">
        <v>11118.460468041019</v>
      </c>
      <c r="G871" t="s">
        <v>30</v>
      </c>
      <c r="H871" t="s">
        <v>86</v>
      </c>
    </row>
    <row r="872" spans="1:8" x14ac:dyDescent="0.3">
      <c r="A872" t="s">
        <v>1420</v>
      </c>
      <c r="B872" t="s">
        <v>86</v>
      </c>
      <c r="C872">
        <v>2026</v>
      </c>
      <c r="D872" t="s">
        <v>8</v>
      </c>
      <c r="E872" t="s">
        <v>38</v>
      </c>
      <c r="F872">
        <v>642</v>
      </c>
      <c r="G872" t="s">
        <v>54</v>
      </c>
      <c r="H872" t="s">
        <v>86</v>
      </c>
    </row>
    <row r="873" spans="1:8" x14ac:dyDescent="0.3">
      <c r="A873" t="s">
        <v>1421</v>
      </c>
      <c r="B873" t="s">
        <v>86</v>
      </c>
      <c r="C873">
        <v>2026</v>
      </c>
      <c r="D873" t="s">
        <v>8</v>
      </c>
      <c r="E873" t="s">
        <v>38</v>
      </c>
      <c r="F873">
        <v>7138051.6204823339</v>
      </c>
      <c r="G873" t="s">
        <v>36</v>
      </c>
      <c r="H873" t="s">
        <v>86</v>
      </c>
    </row>
    <row r="874" spans="1:8" x14ac:dyDescent="0.3">
      <c r="A874" t="s">
        <v>1422</v>
      </c>
      <c r="B874" t="s">
        <v>87</v>
      </c>
      <c r="C874">
        <v>2026</v>
      </c>
      <c r="D874" t="s">
        <v>634</v>
      </c>
      <c r="E874" t="s">
        <v>53</v>
      </c>
      <c r="F874">
        <v>0</v>
      </c>
      <c r="G874" t="s">
        <v>30</v>
      </c>
      <c r="H874" t="s">
        <v>87</v>
      </c>
    </row>
    <row r="875" spans="1:8" x14ac:dyDescent="0.3">
      <c r="A875" t="s">
        <v>1423</v>
      </c>
      <c r="B875" t="s">
        <v>87</v>
      </c>
      <c r="C875">
        <v>2026</v>
      </c>
      <c r="D875" t="s">
        <v>634</v>
      </c>
      <c r="E875" t="s">
        <v>53</v>
      </c>
      <c r="F875">
        <v>0</v>
      </c>
      <c r="G875" t="s">
        <v>54</v>
      </c>
      <c r="H875" t="s">
        <v>87</v>
      </c>
    </row>
    <row r="876" spans="1:8" x14ac:dyDescent="0.3">
      <c r="A876" t="s">
        <v>1424</v>
      </c>
      <c r="B876" t="s">
        <v>87</v>
      </c>
      <c r="C876">
        <v>2026</v>
      </c>
      <c r="D876" t="s">
        <v>634</v>
      </c>
      <c r="E876" t="s">
        <v>53</v>
      </c>
      <c r="F876">
        <v>0</v>
      </c>
      <c r="G876" t="s">
        <v>36</v>
      </c>
      <c r="H876" t="s">
        <v>87</v>
      </c>
    </row>
    <row r="877" spans="1:8" x14ac:dyDescent="0.3">
      <c r="A877" t="s">
        <v>1425</v>
      </c>
      <c r="B877" t="s">
        <v>87</v>
      </c>
      <c r="C877">
        <v>2026</v>
      </c>
      <c r="D877" t="s">
        <v>634</v>
      </c>
      <c r="E877" t="s">
        <v>63</v>
      </c>
      <c r="F877">
        <v>0</v>
      </c>
      <c r="G877" t="s">
        <v>30</v>
      </c>
      <c r="H877" t="s">
        <v>87</v>
      </c>
    </row>
    <row r="878" spans="1:8" x14ac:dyDescent="0.3">
      <c r="A878" t="s">
        <v>1426</v>
      </c>
      <c r="B878" t="s">
        <v>87</v>
      </c>
      <c r="C878">
        <v>2026</v>
      </c>
      <c r="D878" t="s">
        <v>634</v>
      </c>
      <c r="E878" t="s">
        <v>63</v>
      </c>
      <c r="F878">
        <v>0</v>
      </c>
      <c r="G878" t="s">
        <v>54</v>
      </c>
      <c r="H878" t="s">
        <v>87</v>
      </c>
    </row>
    <row r="879" spans="1:8" x14ac:dyDescent="0.3">
      <c r="A879" t="s">
        <v>1427</v>
      </c>
      <c r="B879" t="s">
        <v>87</v>
      </c>
      <c r="C879">
        <v>2026</v>
      </c>
      <c r="D879" t="s">
        <v>634</v>
      </c>
      <c r="E879" t="s">
        <v>63</v>
      </c>
      <c r="F879">
        <v>0</v>
      </c>
      <c r="G879" t="s">
        <v>36</v>
      </c>
      <c r="H879" t="s">
        <v>87</v>
      </c>
    </row>
    <row r="880" spans="1:8" x14ac:dyDescent="0.3">
      <c r="A880" t="s">
        <v>1428</v>
      </c>
      <c r="B880" t="s">
        <v>87</v>
      </c>
      <c r="C880">
        <v>2026</v>
      </c>
      <c r="D880" t="s">
        <v>634</v>
      </c>
      <c r="E880" t="s">
        <v>3</v>
      </c>
      <c r="F880">
        <v>0</v>
      </c>
      <c r="G880" t="s">
        <v>30</v>
      </c>
      <c r="H880" t="s">
        <v>87</v>
      </c>
    </row>
    <row r="881" spans="1:8" x14ac:dyDescent="0.3">
      <c r="A881" t="s">
        <v>1429</v>
      </c>
      <c r="B881" t="s">
        <v>87</v>
      </c>
      <c r="C881">
        <v>2026</v>
      </c>
      <c r="D881" t="s">
        <v>634</v>
      </c>
      <c r="E881" t="s">
        <v>3</v>
      </c>
      <c r="F881">
        <v>0</v>
      </c>
      <c r="G881" t="s">
        <v>54</v>
      </c>
      <c r="H881" t="s">
        <v>87</v>
      </c>
    </row>
    <row r="882" spans="1:8" x14ac:dyDescent="0.3">
      <c r="A882" t="s">
        <v>1430</v>
      </c>
      <c r="B882" t="s">
        <v>87</v>
      </c>
      <c r="C882">
        <v>2026</v>
      </c>
      <c r="D882" t="s">
        <v>634</v>
      </c>
      <c r="E882" t="s">
        <v>3</v>
      </c>
      <c r="F882">
        <v>0</v>
      </c>
      <c r="G882" t="s">
        <v>36</v>
      </c>
      <c r="H882" t="s">
        <v>87</v>
      </c>
    </row>
    <row r="883" spans="1:8" x14ac:dyDescent="0.3">
      <c r="A883" t="s">
        <v>1431</v>
      </c>
      <c r="B883" t="s">
        <v>87</v>
      </c>
      <c r="C883">
        <v>2026</v>
      </c>
      <c r="D883" t="s">
        <v>634</v>
      </c>
      <c r="E883" t="s">
        <v>2</v>
      </c>
      <c r="F883">
        <v>7974.0968085007444</v>
      </c>
      <c r="G883" t="s">
        <v>30</v>
      </c>
      <c r="H883" t="s">
        <v>87</v>
      </c>
    </row>
    <row r="884" spans="1:8" x14ac:dyDescent="0.3">
      <c r="A884" t="s">
        <v>1432</v>
      </c>
      <c r="B884" t="s">
        <v>87</v>
      </c>
      <c r="C884">
        <v>2026</v>
      </c>
      <c r="D884" t="s">
        <v>634</v>
      </c>
      <c r="E884" t="s">
        <v>2</v>
      </c>
      <c r="F884">
        <v>126</v>
      </c>
      <c r="G884" t="s">
        <v>54</v>
      </c>
      <c r="H884" t="s">
        <v>87</v>
      </c>
    </row>
    <row r="885" spans="1:8" x14ac:dyDescent="0.3">
      <c r="A885" t="s">
        <v>1433</v>
      </c>
      <c r="B885" t="s">
        <v>87</v>
      </c>
      <c r="C885">
        <v>2026</v>
      </c>
      <c r="D885" t="s">
        <v>634</v>
      </c>
      <c r="E885" t="s">
        <v>2</v>
      </c>
      <c r="F885">
        <v>1004736.1978710938</v>
      </c>
      <c r="G885" t="s">
        <v>36</v>
      </c>
      <c r="H885" t="s">
        <v>87</v>
      </c>
    </row>
    <row r="886" spans="1:8" x14ac:dyDescent="0.3">
      <c r="A886" t="s">
        <v>1434</v>
      </c>
      <c r="B886" t="s">
        <v>87</v>
      </c>
      <c r="C886">
        <v>2026</v>
      </c>
      <c r="D886" t="s">
        <v>634</v>
      </c>
      <c r="E886" t="s">
        <v>1</v>
      </c>
      <c r="F886">
        <v>12141.361884617238</v>
      </c>
      <c r="G886" t="s">
        <v>30</v>
      </c>
      <c r="H886" t="s">
        <v>87</v>
      </c>
    </row>
    <row r="887" spans="1:8" x14ac:dyDescent="0.3">
      <c r="A887" t="s">
        <v>1435</v>
      </c>
      <c r="B887" t="s">
        <v>87</v>
      </c>
      <c r="C887">
        <v>2026</v>
      </c>
      <c r="D887" t="s">
        <v>634</v>
      </c>
      <c r="E887" t="s">
        <v>1</v>
      </c>
      <c r="F887">
        <v>1245</v>
      </c>
      <c r="G887" t="s">
        <v>54</v>
      </c>
      <c r="H887" t="s">
        <v>87</v>
      </c>
    </row>
    <row r="888" spans="1:8" x14ac:dyDescent="0.3">
      <c r="A888" t="s">
        <v>1436</v>
      </c>
      <c r="B888" t="s">
        <v>87</v>
      </c>
      <c r="C888">
        <v>2026</v>
      </c>
      <c r="D888" t="s">
        <v>634</v>
      </c>
      <c r="E888" t="s">
        <v>1</v>
      </c>
      <c r="F888">
        <v>15115995.546348462</v>
      </c>
      <c r="G888" t="s">
        <v>36</v>
      </c>
      <c r="H888" t="s">
        <v>87</v>
      </c>
    </row>
    <row r="889" spans="1:8" x14ac:dyDescent="0.3">
      <c r="A889" t="s">
        <v>1991</v>
      </c>
      <c r="B889" t="s">
        <v>87</v>
      </c>
      <c r="C889">
        <v>2026</v>
      </c>
      <c r="D889" t="s">
        <v>634</v>
      </c>
      <c r="E889" t="s">
        <v>1885</v>
      </c>
      <c r="F889">
        <v>11713.684274459334</v>
      </c>
      <c r="G889" t="s">
        <v>30</v>
      </c>
      <c r="H889" t="s">
        <v>87</v>
      </c>
    </row>
    <row r="890" spans="1:8" x14ac:dyDescent="0.3">
      <c r="A890" t="s">
        <v>1992</v>
      </c>
      <c r="B890" t="s">
        <v>87</v>
      </c>
      <c r="C890">
        <v>2026</v>
      </c>
      <c r="D890" t="s">
        <v>634</v>
      </c>
      <c r="E890" t="s">
        <v>1885</v>
      </c>
      <c r="F890">
        <v>1738</v>
      </c>
      <c r="G890" t="s">
        <v>54</v>
      </c>
      <c r="H890" t="s">
        <v>87</v>
      </c>
    </row>
    <row r="891" spans="1:8" x14ac:dyDescent="0.3">
      <c r="A891" t="s">
        <v>1993</v>
      </c>
      <c r="B891" t="s">
        <v>87</v>
      </c>
      <c r="C891">
        <v>2026</v>
      </c>
      <c r="D891" t="s">
        <v>634</v>
      </c>
      <c r="E891" t="s">
        <v>1885</v>
      </c>
      <c r="F891">
        <v>20358383.269010324</v>
      </c>
      <c r="G891" t="s">
        <v>36</v>
      </c>
      <c r="H891" t="s">
        <v>87</v>
      </c>
    </row>
    <row r="892" spans="1:8" x14ac:dyDescent="0.3">
      <c r="A892" t="s">
        <v>1437</v>
      </c>
      <c r="B892" t="s">
        <v>87</v>
      </c>
      <c r="C892">
        <v>2026</v>
      </c>
      <c r="D892" t="s">
        <v>634</v>
      </c>
      <c r="E892" t="s">
        <v>4</v>
      </c>
      <c r="F892">
        <v>11734.484299289998</v>
      </c>
      <c r="G892" t="s">
        <v>30</v>
      </c>
      <c r="H892" t="s">
        <v>87</v>
      </c>
    </row>
    <row r="893" spans="1:8" x14ac:dyDescent="0.3">
      <c r="A893" t="s">
        <v>1438</v>
      </c>
      <c r="B893" t="s">
        <v>87</v>
      </c>
      <c r="C893">
        <v>2026</v>
      </c>
      <c r="D893" t="s">
        <v>634</v>
      </c>
      <c r="E893" t="s">
        <v>4</v>
      </c>
      <c r="F893">
        <v>1553</v>
      </c>
      <c r="G893" t="s">
        <v>54</v>
      </c>
      <c r="H893" t="s">
        <v>87</v>
      </c>
    </row>
    <row r="894" spans="1:8" x14ac:dyDescent="0.3">
      <c r="A894" t="s">
        <v>1439</v>
      </c>
      <c r="B894" t="s">
        <v>87</v>
      </c>
      <c r="C894">
        <v>2026</v>
      </c>
      <c r="D894" t="s">
        <v>634</v>
      </c>
      <c r="E894" t="s">
        <v>4</v>
      </c>
      <c r="F894">
        <v>18223654.116797365</v>
      </c>
      <c r="G894" t="s">
        <v>36</v>
      </c>
      <c r="H894" t="s">
        <v>87</v>
      </c>
    </row>
    <row r="895" spans="1:8" x14ac:dyDescent="0.3">
      <c r="A895" t="s">
        <v>1440</v>
      </c>
      <c r="B895" t="s">
        <v>87</v>
      </c>
      <c r="C895">
        <v>2026</v>
      </c>
      <c r="D895" t="s">
        <v>634</v>
      </c>
      <c r="E895" t="s">
        <v>38</v>
      </c>
      <c r="F895">
        <v>11554.518530647296</v>
      </c>
      <c r="G895" t="s">
        <v>30</v>
      </c>
      <c r="H895" t="s">
        <v>87</v>
      </c>
    </row>
    <row r="896" spans="1:8" x14ac:dyDescent="0.3">
      <c r="A896" t="s">
        <v>1441</v>
      </c>
      <c r="B896" t="s">
        <v>87</v>
      </c>
      <c r="C896">
        <v>2026</v>
      </c>
      <c r="D896" t="s">
        <v>634</v>
      </c>
      <c r="E896" t="s">
        <v>38</v>
      </c>
      <c r="F896">
        <v>182</v>
      </c>
      <c r="G896" t="s">
        <v>54</v>
      </c>
      <c r="H896" t="s">
        <v>87</v>
      </c>
    </row>
    <row r="897" spans="1:8" x14ac:dyDescent="0.3">
      <c r="A897" t="s">
        <v>1442</v>
      </c>
      <c r="B897" t="s">
        <v>87</v>
      </c>
      <c r="C897">
        <v>2026</v>
      </c>
      <c r="D897" t="s">
        <v>634</v>
      </c>
      <c r="E897" t="s">
        <v>38</v>
      </c>
      <c r="F897">
        <v>2102922.3725778079</v>
      </c>
      <c r="G897" t="s">
        <v>36</v>
      </c>
      <c r="H897" t="s">
        <v>87</v>
      </c>
    </row>
    <row r="898" spans="1:8" x14ac:dyDescent="0.3">
      <c r="A898" t="s">
        <v>1443</v>
      </c>
      <c r="B898" t="s">
        <v>1444</v>
      </c>
      <c r="C898">
        <v>2026</v>
      </c>
      <c r="D898" t="s">
        <v>1445</v>
      </c>
      <c r="E898" t="s">
        <v>53</v>
      </c>
      <c r="F898">
        <v>0</v>
      </c>
      <c r="G898" t="s">
        <v>30</v>
      </c>
      <c r="H898" t="s">
        <v>1444</v>
      </c>
    </row>
    <row r="899" spans="1:8" x14ac:dyDescent="0.3">
      <c r="A899" t="s">
        <v>1446</v>
      </c>
      <c r="B899" t="s">
        <v>1444</v>
      </c>
      <c r="C899">
        <v>2026</v>
      </c>
      <c r="D899" t="s">
        <v>1445</v>
      </c>
      <c r="E899" t="s">
        <v>53</v>
      </c>
      <c r="F899">
        <v>0</v>
      </c>
      <c r="G899" t="s">
        <v>54</v>
      </c>
      <c r="H899" t="s">
        <v>1444</v>
      </c>
    </row>
    <row r="900" spans="1:8" x14ac:dyDescent="0.3">
      <c r="A900" t="s">
        <v>1447</v>
      </c>
      <c r="B900" t="s">
        <v>1444</v>
      </c>
      <c r="C900">
        <v>2026</v>
      </c>
      <c r="D900" t="s">
        <v>1445</v>
      </c>
      <c r="E900" t="s">
        <v>53</v>
      </c>
      <c r="F900">
        <v>0</v>
      </c>
      <c r="G900" t="s">
        <v>36</v>
      </c>
      <c r="H900" t="s">
        <v>1444</v>
      </c>
    </row>
    <row r="901" spans="1:8" x14ac:dyDescent="0.3">
      <c r="A901" t="s">
        <v>1448</v>
      </c>
      <c r="B901" t="s">
        <v>1444</v>
      </c>
      <c r="C901">
        <v>2026</v>
      </c>
      <c r="D901" t="s">
        <v>1445</v>
      </c>
      <c r="E901" t="s">
        <v>63</v>
      </c>
      <c r="F901">
        <v>0</v>
      </c>
      <c r="G901" t="s">
        <v>30</v>
      </c>
      <c r="H901" t="s">
        <v>1444</v>
      </c>
    </row>
    <row r="902" spans="1:8" x14ac:dyDescent="0.3">
      <c r="A902" t="s">
        <v>1449</v>
      </c>
      <c r="B902" t="s">
        <v>1444</v>
      </c>
      <c r="C902">
        <v>2026</v>
      </c>
      <c r="D902" t="s">
        <v>1445</v>
      </c>
      <c r="E902" t="s">
        <v>63</v>
      </c>
      <c r="F902">
        <v>0</v>
      </c>
      <c r="G902" t="s">
        <v>54</v>
      </c>
      <c r="H902" t="s">
        <v>1444</v>
      </c>
    </row>
    <row r="903" spans="1:8" x14ac:dyDescent="0.3">
      <c r="A903" t="s">
        <v>1450</v>
      </c>
      <c r="B903" t="s">
        <v>1444</v>
      </c>
      <c r="C903">
        <v>2026</v>
      </c>
      <c r="D903" t="s">
        <v>1445</v>
      </c>
      <c r="E903" t="s">
        <v>63</v>
      </c>
      <c r="F903">
        <v>0</v>
      </c>
      <c r="G903" t="s">
        <v>36</v>
      </c>
      <c r="H903" t="s">
        <v>1444</v>
      </c>
    </row>
    <row r="904" spans="1:8" x14ac:dyDescent="0.3">
      <c r="A904" t="s">
        <v>1451</v>
      </c>
      <c r="B904" t="s">
        <v>1444</v>
      </c>
      <c r="C904">
        <v>2026</v>
      </c>
      <c r="D904" t="s">
        <v>1445</v>
      </c>
      <c r="E904" t="s">
        <v>3</v>
      </c>
      <c r="F904">
        <v>0</v>
      </c>
      <c r="G904" t="s">
        <v>30</v>
      </c>
      <c r="H904" t="s">
        <v>1444</v>
      </c>
    </row>
    <row r="905" spans="1:8" x14ac:dyDescent="0.3">
      <c r="A905" t="s">
        <v>1452</v>
      </c>
      <c r="B905" t="s">
        <v>1444</v>
      </c>
      <c r="C905">
        <v>2026</v>
      </c>
      <c r="D905" t="s">
        <v>1445</v>
      </c>
      <c r="E905" t="s">
        <v>3</v>
      </c>
      <c r="F905">
        <v>0</v>
      </c>
      <c r="G905" t="s">
        <v>54</v>
      </c>
      <c r="H905" t="s">
        <v>1444</v>
      </c>
    </row>
    <row r="906" spans="1:8" x14ac:dyDescent="0.3">
      <c r="A906" t="s">
        <v>1453</v>
      </c>
      <c r="B906" t="s">
        <v>1444</v>
      </c>
      <c r="C906">
        <v>2026</v>
      </c>
      <c r="D906" t="s">
        <v>1445</v>
      </c>
      <c r="E906" t="s">
        <v>3</v>
      </c>
      <c r="F906">
        <v>0</v>
      </c>
      <c r="G906" t="s">
        <v>36</v>
      </c>
      <c r="H906" t="s">
        <v>1444</v>
      </c>
    </row>
    <row r="907" spans="1:8" x14ac:dyDescent="0.3">
      <c r="A907" t="s">
        <v>1454</v>
      </c>
      <c r="B907" t="s">
        <v>1444</v>
      </c>
      <c r="C907">
        <v>2026</v>
      </c>
      <c r="D907" t="s">
        <v>1445</v>
      </c>
      <c r="E907" t="s">
        <v>2</v>
      </c>
      <c r="F907">
        <v>5804.0941841040903</v>
      </c>
      <c r="G907" t="s">
        <v>30</v>
      </c>
      <c r="H907" t="s">
        <v>1444</v>
      </c>
    </row>
    <row r="908" spans="1:8" x14ac:dyDescent="0.3">
      <c r="A908" t="s">
        <v>1455</v>
      </c>
      <c r="B908" t="s">
        <v>1444</v>
      </c>
      <c r="C908">
        <v>2026</v>
      </c>
      <c r="D908" t="s">
        <v>1445</v>
      </c>
      <c r="E908" t="s">
        <v>2</v>
      </c>
      <c r="F908">
        <v>136</v>
      </c>
      <c r="G908" t="s">
        <v>54</v>
      </c>
      <c r="H908" t="s">
        <v>1444</v>
      </c>
    </row>
    <row r="909" spans="1:8" x14ac:dyDescent="0.3">
      <c r="A909" t="s">
        <v>1456</v>
      </c>
      <c r="B909" t="s">
        <v>1444</v>
      </c>
      <c r="C909">
        <v>2026</v>
      </c>
      <c r="D909" t="s">
        <v>1445</v>
      </c>
      <c r="E909" t="s">
        <v>2</v>
      </c>
      <c r="F909">
        <v>789356.80903815629</v>
      </c>
      <c r="G909" t="s">
        <v>36</v>
      </c>
      <c r="H909" t="s">
        <v>1444</v>
      </c>
    </row>
    <row r="910" spans="1:8" x14ac:dyDescent="0.3">
      <c r="A910" t="s">
        <v>1457</v>
      </c>
      <c r="B910" t="s">
        <v>1444</v>
      </c>
      <c r="C910">
        <v>2026</v>
      </c>
      <c r="D910" t="s">
        <v>1445</v>
      </c>
      <c r="E910" t="s">
        <v>1</v>
      </c>
      <c r="F910">
        <v>12065.392185645005</v>
      </c>
      <c r="G910" t="s">
        <v>30</v>
      </c>
      <c r="H910" t="s">
        <v>1444</v>
      </c>
    </row>
    <row r="911" spans="1:8" x14ac:dyDescent="0.3">
      <c r="A911" t="s">
        <v>1458</v>
      </c>
      <c r="B911" t="s">
        <v>1444</v>
      </c>
      <c r="C911">
        <v>2026</v>
      </c>
      <c r="D911" t="s">
        <v>1445</v>
      </c>
      <c r="E911" t="s">
        <v>1</v>
      </c>
      <c r="F911">
        <v>1163</v>
      </c>
      <c r="G911" t="s">
        <v>54</v>
      </c>
      <c r="H911" t="s">
        <v>1444</v>
      </c>
    </row>
    <row r="912" spans="1:8" x14ac:dyDescent="0.3">
      <c r="A912" t="s">
        <v>1459</v>
      </c>
      <c r="B912" t="s">
        <v>1444</v>
      </c>
      <c r="C912">
        <v>2026</v>
      </c>
      <c r="D912" t="s">
        <v>1445</v>
      </c>
      <c r="E912" t="s">
        <v>1</v>
      </c>
      <c r="F912">
        <v>14032051.111905141</v>
      </c>
      <c r="G912" t="s">
        <v>36</v>
      </c>
      <c r="H912" t="s">
        <v>1444</v>
      </c>
    </row>
    <row r="913" spans="1:8" x14ac:dyDescent="0.3">
      <c r="A913" t="s">
        <v>1994</v>
      </c>
      <c r="B913" t="s">
        <v>1444</v>
      </c>
      <c r="C913">
        <v>2026</v>
      </c>
      <c r="D913" t="s">
        <v>1445</v>
      </c>
      <c r="E913" t="s">
        <v>1885</v>
      </c>
      <c r="F913">
        <v>11543.912785813824</v>
      </c>
      <c r="G913" t="s">
        <v>30</v>
      </c>
      <c r="H913" t="s">
        <v>1444</v>
      </c>
    </row>
    <row r="914" spans="1:8" x14ac:dyDescent="0.3">
      <c r="A914" t="s">
        <v>1995</v>
      </c>
      <c r="B914" t="s">
        <v>1444</v>
      </c>
      <c r="C914">
        <v>2026</v>
      </c>
      <c r="D914" t="s">
        <v>1445</v>
      </c>
      <c r="E914" t="s">
        <v>1885</v>
      </c>
      <c r="F914">
        <v>1291</v>
      </c>
      <c r="G914" t="s">
        <v>54</v>
      </c>
      <c r="H914" t="s">
        <v>1444</v>
      </c>
    </row>
    <row r="915" spans="1:8" x14ac:dyDescent="0.3">
      <c r="A915" t="s">
        <v>1996</v>
      </c>
      <c r="B915" t="s">
        <v>1444</v>
      </c>
      <c r="C915">
        <v>2026</v>
      </c>
      <c r="D915" t="s">
        <v>1445</v>
      </c>
      <c r="E915" t="s">
        <v>1885</v>
      </c>
      <c r="F915">
        <v>14903191.406485645</v>
      </c>
      <c r="G915" t="s">
        <v>36</v>
      </c>
      <c r="H915" t="s">
        <v>1444</v>
      </c>
    </row>
    <row r="916" spans="1:8" x14ac:dyDescent="0.3">
      <c r="A916" t="s">
        <v>1460</v>
      </c>
      <c r="B916" t="s">
        <v>1444</v>
      </c>
      <c r="C916">
        <v>2026</v>
      </c>
      <c r="D916" t="s">
        <v>1445</v>
      </c>
      <c r="E916" t="s">
        <v>4</v>
      </c>
      <c r="F916">
        <v>11409.859831365126</v>
      </c>
      <c r="G916" t="s">
        <v>30</v>
      </c>
      <c r="H916" t="s">
        <v>1444</v>
      </c>
    </row>
    <row r="917" spans="1:8" x14ac:dyDescent="0.3">
      <c r="A917" t="s">
        <v>1461</v>
      </c>
      <c r="B917" t="s">
        <v>1444</v>
      </c>
      <c r="C917">
        <v>2026</v>
      </c>
      <c r="D917" t="s">
        <v>1445</v>
      </c>
      <c r="E917" t="s">
        <v>4</v>
      </c>
      <c r="F917">
        <v>1299</v>
      </c>
      <c r="G917" t="s">
        <v>54</v>
      </c>
      <c r="H917" t="s">
        <v>1444</v>
      </c>
    </row>
    <row r="918" spans="1:8" x14ac:dyDescent="0.3">
      <c r="A918" t="s">
        <v>1462</v>
      </c>
      <c r="B918" t="s">
        <v>1444</v>
      </c>
      <c r="C918">
        <v>2026</v>
      </c>
      <c r="D918" t="s">
        <v>1445</v>
      </c>
      <c r="E918" t="s">
        <v>4</v>
      </c>
      <c r="F918">
        <v>14821407.920943297</v>
      </c>
      <c r="G918" t="s">
        <v>36</v>
      </c>
      <c r="H918" t="s">
        <v>1444</v>
      </c>
    </row>
    <row r="919" spans="1:8" x14ac:dyDescent="0.3">
      <c r="A919" t="s">
        <v>1463</v>
      </c>
      <c r="B919" t="s">
        <v>1444</v>
      </c>
      <c r="C919">
        <v>2026</v>
      </c>
      <c r="D919" t="s">
        <v>1445</v>
      </c>
      <c r="E919" t="s">
        <v>38</v>
      </c>
      <c r="F919">
        <v>0</v>
      </c>
      <c r="G919" t="s">
        <v>30</v>
      </c>
      <c r="H919" t="s">
        <v>1444</v>
      </c>
    </row>
    <row r="920" spans="1:8" x14ac:dyDescent="0.3">
      <c r="A920" t="s">
        <v>1464</v>
      </c>
      <c r="B920" t="s">
        <v>1444</v>
      </c>
      <c r="C920">
        <v>2026</v>
      </c>
      <c r="D920" t="s">
        <v>1445</v>
      </c>
      <c r="E920" t="s">
        <v>38</v>
      </c>
      <c r="F920">
        <v>0</v>
      </c>
      <c r="G920" t="s">
        <v>54</v>
      </c>
      <c r="H920" t="s">
        <v>1444</v>
      </c>
    </row>
    <row r="921" spans="1:8" x14ac:dyDescent="0.3">
      <c r="A921" t="s">
        <v>1465</v>
      </c>
      <c r="B921" t="s">
        <v>1444</v>
      </c>
      <c r="C921">
        <v>2026</v>
      </c>
      <c r="D921" t="s">
        <v>1445</v>
      </c>
      <c r="E921" t="s">
        <v>38</v>
      </c>
      <c r="F921">
        <v>0</v>
      </c>
      <c r="G921" t="s">
        <v>36</v>
      </c>
      <c r="H921" t="s">
        <v>1444</v>
      </c>
    </row>
    <row r="922" spans="1:8" x14ac:dyDescent="0.3">
      <c r="A922" t="s">
        <v>1466</v>
      </c>
      <c r="B922" t="s">
        <v>1467</v>
      </c>
      <c r="C922">
        <v>2026</v>
      </c>
      <c r="D922" t="s">
        <v>1468</v>
      </c>
      <c r="E922" t="s">
        <v>53</v>
      </c>
      <c r="F922">
        <v>0</v>
      </c>
      <c r="G922" t="s">
        <v>30</v>
      </c>
      <c r="H922" t="s">
        <v>1467</v>
      </c>
    </row>
    <row r="923" spans="1:8" x14ac:dyDescent="0.3">
      <c r="A923" t="s">
        <v>1469</v>
      </c>
      <c r="B923" t="s">
        <v>1467</v>
      </c>
      <c r="C923">
        <v>2026</v>
      </c>
      <c r="D923" t="s">
        <v>1468</v>
      </c>
      <c r="E923" t="s">
        <v>53</v>
      </c>
      <c r="F923">
        <v>0</v>
      </c>
      <c r="G923" t="s">
        <v>54</v>
      </c>
      <c r="H923" t="s">
        <v>1467</v>
      </c>
    </row>
    <row r="924" spans="1:8" x14ac:dyDescent="0.3">
      <c r="A924" t="s">
        <v>1470</v>
      </c>
      <c r="B924" t="s">
        <v>1467</v>
      </c>
      <c r="C924">
        <v>2026</v>
      </c>
      <c r="D924" t="s">
        <v>1468</v>
      </c>
      <c r="E924" t="s">
        <v>53</v>
      </c>
      <c r="F924">
        <v>0</v>
      </c>
      <c r="G924" t="s">
        <v>36</v>
      </c>
      <c r="H924" t="s">
        <v>1467</v>
      </c>
    </row>
    <row r="925" spans="1:8" x14ac:dyDescent="0.3">
      <c r="A925" t="s">
        <v>1471</v>
      </c>
      <c r="B925" t="s">
        <v>1467</v>
      </c>
      <c r="C925">
        <v>2026</v>
      </c>
      <c r="D925" t="s">
        <v>1468</v>
      </c>
      <c r="E925" t="s">
        <v>63</v>
      </c>
      <c r="F925">
        <v>0</v>
      </c>
      <c r="G925" t="s">
        <v>30</v>
      </c>
      <c r="H925" t="s">
        <v>1467</v>
      </c>
    </row>
    <row r="926" spans="1:8" x14ac:dyDescent="0.3">
      <c r="A926" t="s">
        <v>1472</v>
      </c>
      <c r="B926" t="s">
        <v>1467</v>
      </c>
      <c r="C926">
        <v>2026</v>
      </c>
      <c r="D926" t="s">
        <v>1468</v>
      </c>
      <c r="E926" t="s">
        <v>63</v>
      </c>
      <c r="F926">
        <v>0</v>
      </c>
      <c r="G926" t="s">
        <v>54</v>
      </c>
      <c r="H926" t="s">
        <v>1467</v>
      </c>
    </row>
    <row r="927" spans="1:8" x14ac:dyDescent="0.3">
      <c r="A927" t="s">
        <v>1473</v>
      </c>
      <c r="B927" t="s">
        <v>1467</v>
      </c>
      <c r="C927">
        <v>2026</v>
      </c>
      <c r="D927" t="s">
        <v>1468</v>
      </c>
      <c r="E927" t="s">
        <v>63</v>
      </c>
      <c r="F927">
        <v>0</v>
      </c>
      <c r="G927" t="s">
        <v>36</v>
      </c>
      <c r="H927" t="s">
        <v>1467</v>
      </c>
    </row>
    <row r="928" spans="1:8" x14ac:dyDescent="0.3">
      <c r="A928" t="s">
        <v>1474</v>
      </c>
      <c r="B928" t="s">
        <v>1467</v>
      </c>
      <c r="C928">
        <v>2026</v>
      </c>
      <c r="D928" t="s">
        <v>1468</v>
      </c>
      <c r="E928" t="s">
        <v>3</v>
      </c>
      <c r="F928">
        <v>0</v>
      </c>
      <c r="G928" t="s">
        <v>30</v>
      </c>
      <c r="H928" t="s">
        <v>1467</v>
      </c>
    </row>
    <row r="929" spans="1:8" x14ac:dyDescent="0.3">
      <c r="A929" t="s">
        <v>1475</v>
      </c>
      <c r="B929" t="s">
        <v>1467</v>
      </c>
      <c r="C929">
        <v>2026</v>
      </c>
      <c r="D929" t="s">
        <v>1468</v>
      </c>
      <c r="E929" t="s">
        <v>3</v>
      </c>
      <c r="F929">
        <v>0</v>
      </c>
      <c r="G929" t="s">
        <v>54</v>
      </c>
      <c r="H929" t="s">
        <v>1467</v>
      </c>
    </row>
    <row r="930" spans="1:8" x14ac:dyDescent="0.3">
      <c r="A930" t="s">
        <v>1476</v>
      </c>
      <c r="B930" t="s">
        <v>1467</v>
      </c>
      <c r="C930">
        <v>2026</v>
      </c>
      <c r="D930" t="s">
        <v>1468</v>
      </c>
      <c r="E930" t="s">
        <v>3</v>
      </c>
      <c r="F930">
        <v>0</v>
      </c>
      <c r="G930" t="s">
        <v>36</v>
      </c>
      <c r="H930" t="s">
        <v>1467</v>
      </c>
    </row>
    <row r="931" spans="1:8" x14ac:dyDescent="0.3">
      <c r="A931" t="s">
        <v>1477</v>
      </c>
      <c r="B931" t="s">
        <v>1467</v>
      </c>
      <c r="C931">
        <v>2026</v>
      </c>
      <c r="D931" t="s">
        <v>1468</v>
      </c>
      <c r="E931" t="s">
        <v>2</v>
      </c>
      <c r="F931">
        <v>12231.682186297356</v>
      </c>
      <c r="G931" t="s">
        <v>30</v>
      </c>
      <c r="H931" t="s">
        <v>1467</v>
      </c>
    </row>
    <row r="932" spans="1:8" x14ac:dyDescent="0.3">
      <c r="A932" t="s">
        <v>1478</v>
      </c>
      <c r="B932" t="s">
        <v>1467</v>
      </c>
      <c r="C932">
        <v>2026</v>
      </c>
      <c r="D932" t="s">
        <v>1468</v>
      </c>
      <c r="E932" t="s">
        <v>2</v>
      </c>
      <c r="F932">
        <v>50</v>
      </c>
      <c r="G932" t="s">
        <v>54</v>
      </c>
      <c r="H932" t="s">
        <v>1467</v>
      </c>
    </row>
    <row r="933" spans="1:8" x14ac:dyDescent="0.3">
      <c r="A933" t="s">
        <v>1479</v>
      </c>
      <c r="B933" t="s">
        <v>1467</v>
      </c>
      <c r="C933">
        <v>2026</v>
      </c>
      <c r="D933" t="s">
        <v>1468</v>
      </c>
      <c r="E933" t="s">
        <v>2</v>
      </c>
      <c r="F933">
        <v>611584.10931486776</v>
      </c>
      <c r="G933" t="s">
        <v>36</v>
      </c>
      <c r="H933" t="s">
        <v>1467</v>
      </c>
    </row>
    <row r="934" spans="1:8" x14ac:dyDescent="0.3">
      <c r="A934" t="s">
        <v>1480</v>
      </c>
      <c r="B934" t="s">
        <v>1467</v>
      </c>
      <c r="C934">
        <v>2026</v>
      </c>
      <c r="D934" t="s">
        <v>1468</v>
      </c>
      <c r="E934" t="s">
        <v>1</v>
      </c>
      <c r="F934">
        <v>11822.786455370722</v>
      </c>
      <c r="G934" t="s">
        <v>30</v>
      </c>
      <c r="H934" t="s">
        <v>1467</v>
      </c>
    </row>
    <row r="935" spans="1:8" x14ac:dyDescent="0.3">
      <c r="A935" t="s">
        <v>1481</v>
      </c>
      <c r="B935" t="s">
        <v>1467</v>
      </c>
      <c r="C935">
        <v>2026</v>
      </c>
      <c r="D935" t="s">
        <v>1468</v>
      </c>
      <c r="E935" t="s">
        <v>1</v>
      </c>
      <c r="F935">
        <v>824</v>
      </c>
      <c r="G935" t="s">
        <v>54</v>
      </c>
      <c r="H935" t="s">
        <v>1467</v>
      </c>
    </row>
    <row r="936" spans="1:8" x14ac:dyDescent="0.3">
      <c r="A936" t="s">
        <v>1482</v>
      </c>
      <c r="B936" t="s">
        <v>1467</v>
      </c>
      <c r="C936">
        <v>2026</v>
      </c>
      <c r="D936" t="s">
        <v>1468</v>
      </c>
      <c r="E936" t="s">
        <v>1</v>
      </c>
      <c r="F936">
        <v>9741976.0392254759</v>
      </c>
      <c r="G936" t="s">
        <v>36</v>
      </c>
      <c r="H936" t="s">
        <v>1467</v>
      </c>
    </row>
    <row r="937" spans="1:8" x14ac:dyDescent="0.3">
      <c r="A937" t="s">
        <v>1997</v>
      </c>
      <c r="B937" t="s">
        <v>1467</v>
      </c>
      <c r="C937">
        <v>2026</v>
      </c>
      <c r="D937" t="s">
        <v>1468</v>
      </c>
      <c r="E937" t="s">
        <v>1885</v>
      </c>
      <c r="F937">
        <v>11817.144611059364</v>
      </c>
      <c r="G937" t="s">
        <v>30</v>
      </c>
      <c r="H937" t="s">
        <v>1467</v>
      </c>
    </row>
    <row r="938" spans="1:8" x14ac:dyDescent="0.3">
      <c r="A938" t="s">
        <v>1998</v>
      </c>
      <c r="B938" t="s">
        <v>1467</v>
      </c>
      <c r="C938">
        <v>2026</v>
      </c>
      <c r="D938" t="s">
        <v>1468</v>
      </c>
      <c r="E938" t="s">
        <v>1885</v>
      </c>
      <c r="F938">
        <v>978</v>
      </c>
      <c r="G938" t="s">
        <v>54</v>
      </c>
      <c r="H938" t="s">
        <v>1467</v>
      </c>
    </row>
    <row r="939" spans="1:8" x14ac:dyDescent="0.3">
      <c r="A939" t="s">
        <v>1999</v>
      </c>
      <c r="B939" t="s">
        <v>1467</v>
      </c>
      <c r="C939">
        <v>2026</v>
      </c>
      <c r="D939" t="s">
        <v>1468</v>
      </c>
      <c r="E939" t="s">
        <v>1885</v>
      </c>
      <c r="F939">
        <v>11557167.429616058</v>
      </c>
      <c r="G939" t="s">
        <v>36</v>
      </c>
      <c r="H939" t="s">
        <v>1467</v>
      </c>
    </row>
    <row r="940" spans="1:8" x14ac:dyDescent="0.3">
      <c r="A940" t="s">
        <v>1483</v>
      </c>
      <c r="B940" t="s">
        <v>1467</v>
      </c>
      <c r="C940">
        <v>2026</v>
      </c>
      <c r="D940" t="s">
        <v>1468</v>
      </c>
      <c r="E940" t="s">
        <v>4</v>
      </c>
      <c r="F940">
        <v>11846.178659657144</v>
      </c>
      <c r="G940" t="s">
        <v>30</v>
      </c>
      <c r="H940" t="s">
        <v>1467</v>
      </c>
    </row>
    <row r="941" spans="1:8" x14ac:dyDescent="0.3">
      <c r="A941" t="s">
        <v>1484</v>
      </c>
      <c r="B941" t="s">
        <v>1467</v>
      </c>
      <c r="C941">
        <v>2026</v>
      </c>
      <c r="D941" t="s">
        <v>1468</v>
      </c>
      <c r="E941" t="s">
        <v>4</v>
      </c>
      <c r="F941">
        <v>874</v>
      </c>
      <c r="G941" t="s">
        <v>54</v>
      </c>
      <c r="H941" t="s">
        <v>1467</v>
      </c>
    </row>
    <row r="942" spans="1:8" x14ac:dyDescent="0.3">
      <c r="A942" t="s">
        <v>1485</v>
      </c>
      <c r="B942" t="s">
        <v>1467</v>
      </c>
      <c r="C942">
        <v>2026</v>
      </c>
      <c r="D942" t="s">
        <v>1468</v>
      </c>
      <c r="E942" t="s">
        <v>4</v>
      </c>
      <c r="F942">
        <v>10353560.148540344</v>
      </c>
      <c r="G942" t="s">
        <v>36</v>
      </c>
      <c r="H942" t="s">
        <v>1467</v>
      </c>
    </row>
    <row r="943" spans="1:8" x14ac:dyDescent="0.3">
      <c r="A943" t="s">
        <v>1486</v>
      </c>
      <c r="B943" t="s">
        <v>1467</v>
      </c>
      <c r="C943">
        <v>2026</v>
      </c>
      <c r="D943" t="s">
        <v>1468</v>
      </c>
      <c r="E943" t="s">
        <v>38</v>
      </c>
      <c r="F943">
        <v>0</v>
      </c>
      <c r="G943" t="s">
        <v>30</v>
      </c>
      <c r="H943" t="s">
        <v>1467</v>
      </c>
    </row>
    <row r="944" spans="1:8" x14ac:dyDescent="0.3">
      <c r="A944" t="s">
        <v>1487</v>
      </c>
      <c r="B944" t="s">
        <v>1467</v>
      </c>
      <c r="C944">
        <v>2026</v>
      </c>
      <c r="D944" t="s">
        <v>1468</v>
      </c>
      <c r="E944" t="s">
        <v>38</v>
      </c>
      <c r="F944">
        <v>0</v>
      </c>
      <c r="G944" t="s">
        <v>54</v>
      </c>
      <c r="H944" t="s">
        <v>1467</v>
      </c>
    </row>
    <row r="945" spans="1:8" x14ac:dyDescent="0.3">
      <c r="A945" t="s">
        <v>1488</v>
      </c>
      <c r="B945" t="s">
        <v>1467</v>
      </c>
      <c r="C945">
        <v>2026</v>
      </c>
      <c r="D945" t="s">
        <v>1468</v>
      </c>
      <c r="E945" t="s">
        <v>38</v>
      </c>
      <c r="F945">
        <v>0</v>
      </c>
      <c r="G945" t="s">
        <v>36</v>
      </c>
      <c r="H945" t="s">
        <v>1467</v>
      </c>
    </row>
    <row r="946" spans="1:8" x14ac:dyDescent="0.3">
      <c r="A946" t="s">
        <v>1489</v>
      </c>
      <c r="B946" t="s">
        <v>88</v>
      </c>
      <c r="C946">
        <v>2026</v>
      </c>
      <c r="D946" t="s">
        <v>1490</v>
      </c>
      <c r="E946" t="s">
        <v>53</v>
      </c>
      <c r="F946">
        <v>0</v>
      </c>
      <c r="G946" t="s">
        <v>30</v>
      </c>
      <c r="H946" t="s">
        <v>88</v>
      </c>
    </row>
    <row r="947" spans="1:8" x14ac:dyDescent="0.3">
      <c r="A947" t="s">
        <v>1491</v>
      </c>
      <c r="B947" t="s">
        <v>88</v>
      </c>
      <c r="C947">
        <v>2026</v>
      </c>
      <c r="D947" t="s">
        <v>1490</v>
      </c>
      <c r="E947" t="s">
        <v>53</v>
      </c>
      <c r="F947">
        <v>0</v>
      </c>
      <c r="G947" t="s">
        <v>54</v>
      </c>
      <c r="H947" t="s">
        <v>88</v>
      </c>
    </row>
    <row r="948" spans="1:8" x14ac:dyDescent="0.3">
      <c r="A948" t="s">
        <v>1492</v>
      </c>
      <c r="B948" t="s">
        <v>88</v>
      </c>
      <c r="C948">
        <v>2026</v>
      </c>
      <c r="D948" t="s">
        <v>1490</v>
      </c>
      <c r="E948" t="s">
        <v>53</v>
      </c>
      <c r="F948">
        <v>0</v>
      </c>
      <c r="G948" t="s">
        <v>36</v>
      </c>
      <c r="H948" t="s">
        <v>88</v>
      </c>
    </row>
    <row r="949" spans="1:8" x14ac:dyDescent="0.3">
      <c r="A949" t="s">
        <v>1493</v>
      </c>
      <c r="B949" t="s">
        <v>88</v>
      </c>
      <c r="C949">
        <v>2026</v>
      </c>
      <c r="D949" t="s">
        <v>1490</v>
      </c>
      <c r="E949" t="s">
        <v>63</v>
      </c>
      <c r="F949">
        <v>0</v>
      </c>
      <c r="G949" t="s">
        <v>30</v>
      </c>
      <c r="H949" t="s">
        <v>88</v>
      </c>
    </row>
    <row r="950" spans="1:8" x14ac:dyDescent="0.3">
      <c r="A950" t="s">
        <v>1494</v>
      </c>
      <c r="B950" t="s">
        <v>88</v>
      </c>
      <c r="C950">
        <v>2026</v>
      </c>
      <c r="D950" t="s">
        <v>1490</v>
      </c>
      <c r="E950" t="s">
        <v>63</v>
      </c>
      <c r="F950">
        <v>0</v>
      </c>
      <c r="G950" t="s">
        <v>54</v>
      </c>
      <c r="H950" t="s">
        <v>88</v>
      </c>
    </row>
    <row r="951" spans="1:8" x14ac:dyDescent="0.3">
      <c r="A951" t="s">
        <v>1495</v>
      </c>
      <c r="B951" t="s">
        <v>88</v>
      </c>
      <c r="C951">
        <v>2026</v>
      </c>
      <c r="D951" t="s">
        <v>1490</v>
      </c>
      <c r="E951" t="s">
        <v>63</v>
      </c>
      <c r="F951">
        <v>0</v>
      </c>
      <c r="G951" t="s">
        <v>36</v>
      </c>
      <c r="H951" t="s">
        <v>88</v>
      </c>
    </row>
    <row r="952" spans="1:8" x14ac:dyDescent="0.3">
      <c r="A952" t="s">
        <v>1496</v>
      </c>
      <c r="B952" t="s">
        <v>88</v>
      </c>
      <c r="C952">
        <v>2026</v>
      </c>
      <c r="D952" t="s">
        <v>1490</v>
      </c>
      <c r="E952" t="s">
        <v>3</v>
      </c>
      <c r="F952">
        <v>0</v>
      </c>
      <c r="G952" t="s">
        <v>30</v>
      </c>
      <c r="H952" t="s">
        <v>88</v>
      </c>
    </row>
    <row r="953" spans="1:8" x14ac:dyDescent="0.3">
      <c r="A953" t="s">
        <v>1497</v>
      </c>
      <c r="B953" t="s">
        <v>88</v>
      </c>
      <c r="C953">
        <v>2026</v>
      </c>
      <c r="D953" t="s">
        <v>1490</v>
      </c>
      <c r="E953" t="s">
        <v>3</v>
      </c>
      <c r="F953">
        <v>0</v>
      </c>
      <c r="G953" t="s">
        <v>54</v>
      </c>
      <c r="H953" t="s">
        <v>88</v>
      </c>
    </row>
    <row r="954" spans="1:8" x14ac:dyDescent="0.3">
      <c r="A954" t="s">
        <v>1498</v>
      </c>
      <c r="B954" t="s">
        <v>88</v>
      </c>
      <c r="C954">
        <v>2026</v>
      </c>
      <c r="D954" t="s">
        <v>1490</v>
      </c>
      <c r="E954" t="s">
        <v>3</v>
      </c>
      <c r="F954">
        <v>0</v>
      </c>
      <c r="G954" t="s">
        <v>36</v>
      </c>
      <c r="H954" t="s">
        <v>88</v>
      </c>
    </row>
    <row r="955" spans="1:8" x14ac:dyDescent="0.3">
      <c r="A955" t="s">
        <v>1499</v>
      </c>
      <c r="B955" t="s">
        <v>88</v>
      </c>
      <c r="C955">
        <v>2026</v>
      </c>
      <c r="D955" t="s">
        <v>1490</v>
      </c>
      <c r="E955" t="s">
        <v>2</v>
      </c>
      <c r="F955">
        <v>24383.939453713316</v>
      </c>
      <c r="G955" t="s">
        <v>30</v>
      </c>
      <c r="H955" t="s">
        <v>88</v>
      </c>
    </row>
    <row r="956" spans="1:8" x14ac:dyDescent="0.3">
      <c r="A956" t="s">
        <v>1500</v>
      </c>
      <c r="B956" t="s">
        <v>88</v>
      </c>
      <c r="C956">
        <v>2026</v>
      </c>
      <c r="D956" t="s">
        <v>1490</v>
      </c>
      <c r="E956" t="s">
        <v>2</v>
      </c>
      <c r="F956">
        <v>46</v>
      </c>
      <c r="G956" t="s">
        <v>54</v>
      </c>
      <c r="H956" t="s">
        <v>88</v>
      </c>
    </row>
    <row r="957" spans="1:8" x14ac:dyDescent="0.3">
      <c r="A957" t="s">
        <v>1501</v>
      </c>
      <c r="B957" t="s">
        <v>88</v>
      </c>
      <c r="C957">
        <v>2026</v>
      </c>
      <c r="D957" t="s">
        <v>1490</v>
      </c>
      <c r="E957" t="s">
        <v>2</v>
      </c>
      <c r="F957">
        <v>1121661.2148708126</v>
      </c>
      <c r="G957" t="s">
        <v>36</v>
      </c>
      <c r="H957" t="s">
        <v>88</v>
      </c>
    </row>
    <row r="958" spans="1:8" x14ac:dyDescent="0.3">
      <c r="A958" t="s">
        <v>1502</v>
      </c>
      <c r="B958" t="s">
        <v>88</v>
      </c>
      <c r="C958">
        <v>2026</v>
      </c>
      <c r="D958" t="s">
        <v>1490</v>
      </c>
      <c r="E958" t="s">
        <v>1</v>
      </c>
      <c r="F958">
        <v>13874.028091647369</v>
      </c>
      <c r="G958" t="s">
        <v>30</v>
      </c>
      <c r="H958" t="s">
        <v>88</v>
      </c>
    </row>
    <row r="959" spans="1:8" x14ac:dyDescent="0.3">
      <c r="A959" t="s">
        <v>1503</v>
      </c>
      <c r="B959" t="s">
        <v>88</v>
      </c>
      <c r="C959">
        <v>2026</v>
      </c>
      <c r="D959" t="s">
        <v>1490</v>
      </c>
      <c r="E959" t="s">
        <v>1</v>
      </c>
      <c r="F959">
        <v>1320</v>
      </c>
      <c r="G959" t="s">
        <v>54</v>
      </c>
      <c r="H959" t="s">
        <v>88</v>
      </c>
    </row>
    <row r="960" spans="1:8" x14ac:dyDescent="0.3">
      <c r="A960" t="s">
        <v>1504</v>
      </c>
      <c r="B960" t="s">
        <v>88</v>
      </c>
      <c r="C960">
        <v>2026</v>
      </c>
      <c r="D960" t="s">
        <v>1490</v>
      </c>
      <c r="E960" t="s">
        <v>1</v>
      </c>
      <c r="F960">
        <v>18313717.080974527</v>
      </c>
      <c r="G960" t="s">
        <v>36</v>
      </c>
      <c r="H960" t="s">
        <v>88</v>
      </c>
    </row>
    <row r="961" spans="1:8" x14ac:dyDescent="0.3">
      <c r="A961" t="s">
        <v>2000</v>
      </c>
      <c r="B961" t="s">
        <v>88</v>
      </c>
      <c r="C961">
        <v>2026</v>
      </c>
      <c r="D961" t="s">
        <v>1490</v>
      </c>
      <c r="E961" t="s">
        <v>1885</v>
      </c>
      <c r="F961">
        <v>14463.220702219964</v>
      </c>
      <c r="G961" t="s">
        <v>30</v>
      </c>
      <c r="H961" t="s">
        <v>88</v>
      </c>
    </row>
    <row r="962" spans="1:8" x14ac:dyDescent="0.3">
      <c r="A962" t="s">
        <v>2001</v>
      </c>
      <c r="B962" t="s">
        <v>88</v>
      </c>
      <c r="C962">
        <v>2026</v>
      </c>
      <c r="D962" t="s">
        <v>1490</v>
      </c>
      <c r="E962" t="s">
        <v>1885</v>
      </c>
      <c r="F962">
        <v>1519</v>
      </c>
      <c r="G962" t="s">
        <v>54</v>
      </c>
      <c r="H962" t="s">
        <v>88</v>
      </c>
    </row>
    <row r="963" spans="1:8" x14ac:dyDescent="0.3">
      <c r="A963" t="s">
        <v>2002</v>
      </c>
      <c r="B963" t="s">
        <v>88</v>
      </c>
      <c r="C963">
        <v>2026</v>
      </c>
      <c r="D963" t="s">
        <v>1490</v>
      </c>
      <c r="E963" t="s">
        <v>1885</v>
      </c>
      <c r="F963">
        <v>21969632.246672124</v>
      </c>
      <c r="G963" t="s">
        <v>36</v>
      </c>
      <c r="H963" t="s">
        <v>88</v>
      </c>
    </row>
    <row r="964" spans="1:8" x14ac:dyDescent="0.3">
      <c r="A964" t="s">
        <v>1505</v>
      </c>
      <c r="B964" t="s">
        <v>88</v>
      </c>
      <c r="C964">
        <v>2026</v>
      </c>
      <c r="D964" t="s">
        <v>1490</v>
      </c>
      <c r="E964" t="s">
        <v>4</v>
      </c>
      <c r="F964">
        <v>14227.948972068332</v>
      </c>
      <c r="G964" t="s">
        <v>30</v>
      </c>
      <c r="H964" t="s">
        <v>88</v>
      </c>
    </row>
    <row r="965" spans="1:8" x14ac:dyDescent="0.3">
      <c r="A965" t="s">
        <v>1506</v>
      </c>
      <c r="B965" t="s">
        <v>88</v>
      </c>
      <c r="C965">
        <v>2026</v>
      </c>
      <c r="D965" t="s">
        <v>1490</v>
      </c>
      <c r="E965" t="s">
        <v>4</v>
      </c>
      <c r="F965">
        <v>1366</v>
      </c>
      <c r="G965" t="s">
        <v>54</v>
      </c>
      <c r="H965" t="s">
        <v>88</v>
      </c>
    </row>
    <row r="966" spans="1:8" x14ac:dyDescent="0.3">
      <c r="A966" t="s">
        <v>1507</v>
      </c>
      <c r="B966" t="s">
        <v>88</v>
      </c>
      <c r="C966">
        <v>2026</v>
      </c>
      <c r="D966" t="s">
        <v>1490</v>
      </c>
      <c r="E966" t="s">
        <v>4</v>
      </c>
      <c r="F966">
        <v>19435378.295845341</v>
      </c>
      <c r="G966" t="s">
        <v>36</v>
      </c>
      <c r="H966" t="s">
        <v>88</v>
      </c>
    </row>
    <row r="967" spans="1:8" x14ac:dyDescent="0.3">
      <c r="A967" t="s">
        <v>1508</v>
      </c>
      <c r="B967" t="s">
        <v>88</v>
      </c>
      <c r="C967">
        <v>2026</v>
      </c>
      <c r="D967" t="s">
        <v>1490</v>
      </c>
      <c r="E967" t="s">
        <v>38</v>
      </c>
      <c r="F967">
        <v>0</v>
      </c>
      <c r="G967" t="s">
        <v>30</v>
      </c>
      <c r="H967" t="s">
        <v>88</v>
      </c>
    </row>
    <row r="968" spans="1:8" x14ac:dyDescent="0.3">
      <c r="A968" t="s">
        <v>1509</v>
      </c>
      <c r="B968" t="s">
        <v>88</v>
      </c>
      <c r="C968">
        <v>2026</v>
      </c>
      <c r="D968" t="s">
        <v>1490</v>
      </c>
      <c r="E968" t="s">
        <v>38</v>
      </c>
      <c r="F968">
        <v>0</v>
      </c>
      <c r="G968" t="s">
        <v>54</v>
      </c>
      <c r="H968" t="s">
        <v>88</v>
      </c>
    </row>
    <row r="969" spans="1:8" x14ac:dyDescent="0.3">
      <c r="A969" t="s">
        <v>1510</v>
      </c>
      <c r="B969" t="s">
        <v>88</v>
      </c>
      <c r="C969">
        <v>2026</v>
      </c>
      <c r="D969" t="s">
        <v>1490</v>
      </c>
      <c r="E969" t="s">
        <v>38</v>
      </c>
      <c r="F969">
        <v>0</v>
      </c>
      <c r="G969" t="s">
        <v>36</v>
      </c>
      <c r="H969" t="s">
        <v>88</v>
      </c>
    </row>
    <row r="970" spans="1:8" x14ac:dyDescent="0.3">
      <c r="A970" t="s">
        <v>1511</v>
      </c>
      <c r="B970" t="s">
        <v>89</v>
      </c>
      <c r="C970">
        <v>2026</v>
      </c>
      <c r="D970" t="s">
        <v>52</v>
      </c>
      <c r="E970" t="s">
        <v>53</v>
      </c>
      <c r="F970">
        <v>0</v>
      </c>
      <c r="G970" t="s">
        <v>30</v>
      </c>
      <c r="H970" t="s">
        <v>89</v>
      </c>
    </row>
    <row r="971" spans="1:8" x14ac:dyDescent="0.3">
      <c r="A971" t="s">
        <v>1512</v>
      </c>
      <c r="B971" t="s">
        <v>89</v>
      </c>
      <c r="C971">
        <v>2026</v>
      </c>
      <c r="D971" t="s">
        <v>52</v>
      </c>
      <c r="E971" t="s">
        <v>53</v>
      </c>
      <c r="F971">
        <v>0</v>
      </c>
      <c r="G971" t="s">
        <v>54</v>
      </c>
      <c r="H971" t="s">
        <v>89</v>
      </c>
    </row>
    <row r="972" spans="1:8" x14ac:dyDescent="0.3">
      <c r="A972" t="s">
        <v>1513</v>
      </c>
      <c r="B972" t="s">
        <v>89</v>
      </c>
      <c r="C972">
        <v>2026</v>
      </c>
      <c r="D972" t="s">
        <v>52</v>
      </c>
      <c r="E972" t="s">
        <v>53</v>
      </c>
      <c r="F972">
        <v>0</v>
      </c>
      <c r="G972" t="s">
        <v>36</v>
      </c>
      <c r="H972" t="s">
        <v>89</v>
      </c>
    </row>
    <row r="973" spans="1:8" x14ac:dyDescent="0.3">
      <c r="A973" t="s">
        <v>1514</v>
      </c>
      <c r="B973" t="s">
        <v>89</v>
      </c>
      <c r="C973">
        <v>2026</v>
      </c>
      <c r="D973" t="s">
        <v>52</v>
      </c>
      <c r="E973" t="s">
        <v>63</v>
      </c>
      <c r="F973">
        <v>0</v>
      </c>
      <c r="G973" t="s">
        <v>30</v>
      </c>
      <c r="H973" t="s">
        <v>89</v>
      </c>
    </row>
    <row r="974" spans="1:8" x14ac:dyDescent="0.3">
      <c r="A974" t="s">
        <v>1515</v>
      </c>
      <c r="B974" t="s">
        <v>89</v>
      </c>
      <c r="C974">
        <v>2026</v>
      </c>
      <c r="D974" t="s">
        <v>52</v>
      </c>
      <c r="E974" t="s">
        <v>63</v>
      </c>
      <c r="F974">
        <v>0</v>
      </c>
      <c r="G974" t="s">
        <v>54</v>
      </c>
      <c r="H974" t="s">
        <v>89</v>
      </c>
    </row>
    <row r="975" spans="1:8" x14ac:dyDescent="0.3">
      <c r="A975" t="s">
        <v>1516</v>
      </c>
      <c r="B975" t="s">
        <v>89</v>
      </c>
      <c r="C975">
        <v>2026</v>
      </c>
      <c r="D975" t="s">
        <v>52</v>
      </c>
      <c r="E975" t="s">
        <v>63</v>
      </c>
      <c r="F975">
        <v>0</v>
      </c>
      <c r="G975" t="s">
        <v>36</v>
      </c>
      <c r="H975" t="s">
        <v>89</v>
      </c>
    </row>
    <row r="976" spans="1:8" x14ac:dyDescent="0.3">
      <c r="A976" t="s">
        <v>1517</v>
      </c>
      <c r="B976" t="s">
        <v>89</v>
      </c>
      <c r="C976">
        <v>2026</v>
      </c>
      <c r="D976" t="s">
        <v>52</v>
      </c>
      <c r="E976" t="s">
        <v>3</v>
      </c>
      <c r="F976">
        <v>0</v>
      </c>
      <c r="G976" t="s">
        <v>30</v>
      </c>
      <c r="H976" t="s">
        <v>89</v>
      </c>
    </row>
    <row r="977" spans="1:8" x14ac:dyDescent="0.3">
      <c r="A977" t="s">
        <v>1518</v>
      </c>
      <c r="B977" t="s">
        <v>89</v>
      </c>
      <c r="C977">
        <v>2026</v>
      </c>
      <c r="D977" t="s">
        <v>52</v>
      </c>
      <c r="E977" t="s">
        <v>3</v>
      </c>
      <c r="F977">
        <v>0</v>
      </c>
      <c r="G977" t="s">
        <v>54</v>
      </c>
      <c r="H977" t="s">
        <v>89</v>
      </c>
    </row>
    <row r="978" spans="1:8" x14ac:dyDescent="0.3">
      <c r="A978" t="s">
        <v>1519</v>
      </c>
      <c r="B978" t="s">
        <v>89</v>
      </c>
      <c r="C978">
        <v>2026</v>
      </c>
      <c r="D978" t="s">
        <v>52</v>
      </c>
      <c r="E978" t="s">
        <v>3</v>
      </c>
      <c r="F978">
        <v>0</v>
      </c>
      <c r="G978" t="s">
        <v>36</v>
      </c>
      <c r="H978" t="s">
        <v>89</v>
      </c>
    </row>
    <row r="979" spans="1:8" x14ac:dyDescent="0.3">
      <c r="A979" t="s">
        <v>1520</v>
      </c>
      <c r="B979" t="s">
        <v>89</v>
      </c>
      <c r="C979">
        <v>2026</v>
      </c>
      <c r="D979" t="s">
        <v>52</v>
      </c>
      <c r="E979" t="s">
        <v>2</v>
      </c>
      <c r="F979">
        <v>8356.7337852121673</v>
      </c>
      <c r="G979" t="s">
        <v>30</v>
      </c>
      <c r="H979" t="s">
        <v>89</v>
      </c>
    </row>
    <row r="980" spans="1:8" x14ac:dyDescent="0.3">
      <c r="A980" t="s">
        <v>1521</v>
      </c>
      <c r="B980" t="s">
        <v>89</v>
      </c>
      <c r="C980">
        <v>2026</v>
      </c>
      <c r="D980" t="s">
        <v>52</v>
      </c>
      <c r="E980" t="s">
        <v>2</v>
      </c>
      <c r="F980">
        <v>2701</v>
      </c>
      <c r="G980" t="s">
        <v>54</v>
      </c>
      <c r="H980" t="s">
        <v>89</v>
      </c>
    </row>
    <row r="981" spans="1:8" x14ac:dyDescent="0.3">
      <c r="A981" t="s">
        <v>1522</v>
      </c>
      <c r="B981" t="s">
        <v>89</v>
      </c>
      <c r="C981">
        <v>2026</v>
      </c>
      <c r="D981" t="s">
        <v>52</v>
      </c>
      <c r="E981" t="s">
        <v>2</v>
      </c>
      <c r="F981">
        <v>22571537.953858063</v>
      </c>
      <c r="G981" t="s">
        <v>36</v>
      </c>
      <c r="H981" t="s">
        <v>89</v>
      </c>
    </row>
    <row r="982" spans="1:8" x14ac:dyDescent="0.3">
      <c r="A982" t="s">
        <v>1523</v>
      </c>
      <c r="B982" t="s">
        <v>89</v>
      </c>
      <c r="C982">
        <v>2026</v>
      </c>
      <c r="D982" t="s">
        <v>52</v>
      </c>
      <c r="E982" t="s">
        <v>1</v>
      </c>
      <c r="F982">
        <v>0</v>
      </c>
      <c r="G982" t="s">
        <v>30</v>
      </c>
      <c r="H982" t="s">
        <v>89</v>
      </c>
    </row>
    <row r="983" spans="1:8" x14ac:dyDescent="0.3">
      <c r="A983" t="s">
        <v>1524</v>
      </c>
      <c r="B983" t="s">
        <v>89</v>
      </c>
      <c r="C983">
        <v>2026</v>
      </c>
      <c r="D983" t="s">
        <v>52</v>
      </c>
      <c r="E983" t="s">
        <v>1</v>
      </c>
      <c r="F983">
        <v>0</v>
      </c>
      <c r="G983" t="s">
        <v>54</v>
      </c>
      <c r="H983" t="s">
        <v>89</v>
      </c>
    </row>
    <row r="984" spans="1:8" x14ac:dyDescent="0.3">
      <c r="A984" t="s">
        <v>1525</v>
      </c>
      <c r="B984" t="s">
        <v>89</v>
      </c>
      <c r="C984">
        <v>2026</v>
      </c>
      <c r="D984" t="s">
        <v>52</v>
      </c>
      <c r="E984" t="s">
        <v>1</v>
      </c>
      <c r="F984">
        <v>0</v>
      </c>
      <c r="G984" t="s">
        <v>36</v>
      </c>
      <c r="H984" t="s">
        <v>89</v>
      </c>
    </row>
    <row r="985" spans="1:8" x14ac:dyDescent="0.3">
      <c r="A985" t="s">
        <v>2003</v>
      </c>
      <c r="B985" t="s">
        <v>89</v>
      </c>
      <c r="C985">
        <v>2026</v>
      </c>
      <c r="D985" t="s">
        <v>52</v>
      </c>
      <c r="E985" t="s">
        <v>1885</v>
      </c>
      <c r="F985">
        <v>8360.8883001400027</v>
      </c>
      <c r="G985" t="s">
        <v>30</v>
      </c>
      <c r="H985" t="s">
        <v>89</v>
      </c>
    </row>
    <row r="986" spans="1:8" x14ac:dyDescent="0.3">
      <c r="A986" t="s">
        <v>2004</v>
      </c>
      <c r="B986" t="s">
        <v>89</v>
      </c>
      <c r="C986">
        <v>2026</v>
      </c>
      <c r="D986" t="s">
        <v>52</v>
      </c>
      <c r="E986" t="s">
        <v>1885</v>
      </c>
      <c r="F986">
        <v>2884</v>
      </c>
      <c r="G986" t="s">
        <v>54</v>
      </c>
      <c r="H986" t="s">
        <v>89</v>
      </c>
    </row>
    <row r="987" spans="1:8" x14ac:dyDescent="0.3">
      <c r="A987" t="s">
        <v>2005</v>
      </c>
      <c r="B987" t="s">
        <v>89</v>
      </c>
      <c r="C987">
        <v>2026</v>
      </c>
      <c r="D987" t="s">
        <v>52</v>
      </c>
      <c r="E987" t="s">
        <v>1885</v>
      </c>
      <c r="F987">
        <v>24112801.85760377</v>
      </c>
      <c r="G987" t="s">
        <v>36</v>
      </c>
      <c r="H987" t="s">
        <v>89</v>
      </c>
    </row>
    <row r="988" spans="1:8" x14ac:dyDescent="0.3">
      <c r="A988" t="s">
        <v>1526</v>
      </c>
      <c r="B988" t="s">
        <v>89</v>
      </c>
      <c r="C988">
        <v>2026</v>
      </c>
      <c r="D988" t="s">
        <v>52</v>
      </c>
      <c r="E988" t="s">
        <v>4</v>
      </c>
      <c r="F988">
        <v>8356.7337852121673</v>
      </c>
      <c r="G988" t="s">
        <v>30</v>
      </c>
      <c r="H988" t="s">
        <v>89</v>
      </c>
    </row>
    <row r="989" spans="1:8" x14ac:dyDescent="0.3">
      <c r="A989" t="s">
        <v>1527</v>
      </c>
      <c r="B989" t="s">
        <v>89</v>
      </c>
      <c r="C989">
        <v>2026</v>
      </c>
      <c r="D989" t="s">
        <v>52</v>
      </c>
      <c r="E989" t="s">
        <v>4</v>
      </c>
      <c r="F989">
        <v>2701</v>
      </c>
      <c r="G989" t="s">
        <v>54</v>
      </c>
      <c r="H989" t="s">
        <v>89</v>
      </c>
    </row>
    <row r="990" spans="1:8" x14ac:dyDescent="0.3">
      <c r="A990" t="s">
        <v>1528</v>
      </c>
      <c r="B990" t="s">
        <v>89</v>
      </c>
      <c r="C990">
        <v>2026</v>
      </c>
      <c r="D990" t="s">
        <v>52</v>
      </c>
      <c r="E990" t="s">
        <v>4</v>
      </c>
      <c r="F990">
        <v>22571537.953858063</v>
      </c>
      <c r="G990" t="s">
        <v>36</v>
      </c>
      <c r="H990" t="s">
        <v>89</v>
      </c>
    </row>
    <row r="991" spans="1:8" x14ac:dyDescent="0.3">
      <c r="A991" t="s">
        <v>1529</v>
      </c>
      <c r="B991" t="s">
        <v>89</v>
      </c>
      <c r="C991">
        <v>2026</v>
      </c>
      <c r="D991" t="s">
        <v>52</v>
      </c>
      <c r="E991" t="s">
        <v>38</v>
      </c>
      <c r="F991">
        <v>0</v>
      </c>
      <c r="G991" t="s">
        <v>30</v>
      </c>
      <c r="H991" t="s">
        <v>89</v>
      </c>
    </row>
    <row r="992" spans="1:8" x14ac:dyDescent="0.3">
      <c r="A992" t="s">
        <v>1530</v>
      </c>
      <c r="B992" t="s">
        <v>89</v>
      </c>
      <c r="C992">
        <v>2026</v>
      </c>
      <c r="D992" t="s">
        <v>52</v>
      </c>
      <c r="E992" t="s">
        <v>38</v>
      </c>
      <c r="F992">
        <v>0</v>
      </c>
      <c r="G992" t="s">
        <v>54</v>
      </c>
      <c r="H992" t="s">
        <v>89</v>
      </c>
    </row>
    <row r="993" spans="1:8" x14ac:dyDescent="0.3">
      <c r="A993" t="s">
        <v>1531</v>
      </c>
      <c r="B993" t="s">
        <v>89</v>
      </c>
      <c r="C993">
        <v>2026</v>
      </c>
      <c r="D993" t="s">
        <v>52</v>
      </c>
      <c r="E993" t="s">
        <v>38</v>
      </c>
      <c r="F993">
        <v>0</v>
      </c>
      <c r="G993" t="s">
        <v>36</v>
      </c>
      <c r="H993" t="s">
        <v>89</v>
      </c>
    </row>
    <row r="994" spans="1:8" x14ac:dyDescent="0.3">
      <c r="A994" t="s">
        <v>1532</v>
      </c>
      <c r="B994" t="s">
        <v>90</v>
      </c>
      <c r="C994">
        <v>2026</v>
      </c>
      <c r="D994" t="s">
        <v>2058</v>
      </c>
      <c r="E994" t="s">
        <v>53</v>
      </c>
      <c r="F994">
        <v>0</v>
      </c>
      <c r="G994" t="s">
        <v>30</v>
      </c>
      <c r="H994" t="s">
        <v>90</v>
      </c>
    </row>
    <row r="995" spans="1:8" x14ac:dyDescent="0.3">
      <c r="A995" t="s">
        <v>1533</v>
      </c>
      <c r="B995" t="s">
        <v>90</v>
      </c>
      <c r="C995">
        <v>2026</v>
      </c>
      <c r="D995" t="s">
        <v>2058</v>
      </c>
      <c r="E995" t="s">
        <v>53</v>
      </c>
      <c r="F995">
        <v>0</v>
      </c>
      <c r="G995" t="s">
        <v>54</v>
      </c>
      <c r="H995" t="s">
        <v>90</v>
      </c>
    </row>
    <row r="996" spans="1:8" x14ac:dyDescent="0.3">
      <c r="A996" t="s">
        <v>1534</v>
      </c>
      <c r="B996" t="s">
        <v>90</v>
      </c>
      <c r="C996">
        <v>2026</v>
      </c>
      <c r="D996" t="s">
        <v>2058</v>
      </c>
      <c r="E996" t="s">
        <v>53</v>
      </c>
      <c r="F996">
        <v>0</v>
      </c>
      <c r="G996" t="s">
        <v>36</v>
      </c>
      <c r="H996" t="s">
        <v>90</v>
      </c>
    </row>
    <row r="997" spans="1:8" x14ac:dyDescent="0.3">
      <c r="A997" t="s">
        <v>1535</v>
      </c>
      <c r="B997" t="s">
        <v>90</v>
      </c>
      <c r="C997">
        <v>2026</v>
      </c>
      <c r="D997" t="s">
        <v>2058</v>
      </c>
      <c r="E997" t="s">
        <v>63</v>
      </c>
      <c r="F997">
        <v>0</v>
      </c>
      <c r="G997" t="s">
        <v>30</v>
      </c>
      <c r="H997" t="s">
        <v>90</v>
      </c>
    </row>
    <row r="998" spans="1:8" x14ac:dyDescent="0.3">
      <c r="A998" t="s">
        <v>1536</v>
      </c>
      <c r="B998" t="s">
        <v>90</v>
      </c>
      <c r="C998">
        <v>2026</v>
      </c>
      <c r="D998" t="s">
        <v>2058</v>
      </c>
      <c r="E998" t="s">
        <v>63</v>
      </c>
      <c r="F998">
        <v>0</v>
      </c>
      <c r="G998" t="s">
        <v>54</v>
      </c>
      <c r="H998" t="s">
        <v>90</v>
      </c>
    </row>
    <row r="999" spans="1:8" x14ac:dyDescent="0.3">
      <c r="A999" t="s">
        <v>1537</v>
      </c>
      <c r="B999" t="s">
        <v>90</v>
      </c>
      <c r="C999">
        <v>2026</v>
      </c>
      <c r="D999" t="s">
        <v>2058</v>
      </c>
      <c r="E999" t="s">
        <v>63</v>
      </c>
      <c r="F999">
        <v>0</v>
      </c>
      <c r="G999" t="s">
        <v>36</v>
      </c>
      <c r="H999" t="s">
        <v>90</v>
      </c>
    </row>
    <row r="1000" spans="1:8" x14ac:dyDescent="0.3">
      <c r="A1000" t="s">
        <v>1538</v>
      </c>
      <c r="B1000" t="s">
        <v>90</v>
      </c>
      <c r="C1000">
        <v>2026</v>
      </c>
      <c r="D1000" t="s">
        <v>2058</v>
      </c>
      <c r="E1000" t="s">
        <v>3</v>
      </c>
      <c r="F1000">
        <v>0</v>
      </c>
      <c r="G1000" t="s">
        <v>30</v>
      </c>
      <c r="H1000" t="s">
        <v>90</v>
      </c>
    </row>
    <row r="1001" spans="1:8" x14ac:dyDescent="0.3">
      <c r="A1001" t="s">
        <v>1539</v>
      </c>
      <c r="B1001" t="s">
        <v>90</v>
      </c>
      <c r="C1001">
        <v>2026</v>
      </c>
      <c r="D1001" t="s">
        <v>2058</v>
      </c>
      <c r="E1001" t="s">
        <v>3</v>
      </c>
      <c r="F1001">
        <v>0</v>
      </c>
      <c r="G1001" t="s">
        <v>54</v>
      </c>
      <c r="H1001" t="s">
        <v>90</v>
      </c>
    </row>
    <row r="1002" spans="1:8" x14ac:dyDescent="0.3">
      <c r="A1002" t="s">
        <v>1540</v>
      </c>
      <c r="B1002" t="s">
        <v>90</v>
      </c>
      <c r="C1002">
        <v>2026</v>
      </c>
      <c r="D1002" t="s">
        <v>2058</v>
      </c>
      <c r="E1002" t="s">
        <v>3</v>
      </c>
      <c r="F1002">
        <v>0</v>
      </c>
      <c r="G1002" t="s">
        <v>36</v>
      </c>
      <c r="H1002" t="s">
        <v>90</v>
      </c>
    </row>
    <row r="1003" spans="1:8" x14ac:dyDescent="0.3">
      <c r="A1003" t="s">
        <v>1541</v>
      </c>
      <c r="B1003" t="s">
        <v>90</v>
      </c>
      <c r="C1003">
        <v>2026</v>
      </c>
      <c r="D1003" t="s">
        <v>2058</v>
      </c>
      <c r="E1003" t="s">
        <v>2</v>
      </c>
      <c r="F1003">
        <v>7872.1547091328348</v>
      </c>
      <c r="G1003" t="s">
        <v>30</v>
      </c>
      <c r="H1003" t="s">
        <v>90</v>
      </c>
    </row>
    <row r="1004" spans="1:8" x14ac:dyDescent="0.3">
      <c r="A1004" t="s">
        <v>1542</v>
      </c>
      <c r="B1004" t="s">
        <v>90</v>
      </c>
      <c r="C1004">
        <v>2026</v>
      </c>
      <c r="D1004" t="s">
        <v>2058</v>
      </c>
      <c r="E1004" t="s">
        <v>2</v>
      </c>
      <c r="F1004">
        <v>359</v>
      </c>
      <c r="G1004" t="s">
        <v>54</v>
      </c>
      <c r="H1004" t="s">
        <v>90</v>
      </c>
    </row>
    <row r="1005" spans="1:8" x14ac:dyDescent="0.3">
      <c r="A1005" t="s">
        <v>1543</v>
      </c>
      <c r="B1005" t="s">
        <v>90</v>
      </c>
      <c r="C1005">
        <v>2026</v>
      </c>
      <c r="D1005" t="s">
        <v>2058</v>
      </c>
      <c r="E1005" t="s">
        <v>2</v>
      </c>
      <c r="F1005">
        <v>2826103.5405786876</v>
      </c>
      <c r="G1005" t="s">
        <v>36</v>
      </c>
      <c r="H1005" t="s">
        <v>90</v>
      </c>
    </row>
    <row r="1006" spans="1:8" x14ac:dyDescent="0.3">
      <c r="A1006" t="s">
        <v>1544</v>
      </c>
      <c r="B1006" t="s">
        <v>90</v>
      </c>
      <c r="C1006">
        <v>2026</v>
      </c>
      <c r="D1006" t="s">
        <v>2058</v>
      </c>
      <c r="E1006" t="s">
        <v>1</v>
      </c>
      <c r="F1006">
        <v>0</v>
      </c>
      <c r="G1006" t="s">
        <v>30</v>
      </c>
      <c r="H1006" t="s">
        <v>90</v>
      </c>
    </row>
    <row r="1007" spans="1:8" x14ac:dyDescent="0.3">
      <c r="A1007" t="s">
        <v>1545</v>
      </c>
      <c r="B1007" t="s">
        <v>90</v>
      </c>
      <c r="C1007">
        <v>2026</v>
      </c>
      <c r="D1007" t="s">
        <v>2058</v>
      </c>
      <c r="E1007" t="s">
        <v>1</v>
      </c>
      <c r="F1007">
        <v>0</v>
      </c>
      <c r="G1007" t="s">
        <v>54</v>
      </c>
      <c r="H1007" t="s">
        <v>90</v>
      </c>
    </row>
    <row r="1008" spans="1:8" x14ac:dyDescent="0.3">
      <c r="A1008" t="s">
        <v>1546</v>
      </c>
      <c r="B1008" t="s">
        <v>90</v>
      </c>
      <c r="C1008">
        <v>2026</v>
      </c>
      <c r="D1008" t="s">
        <v>2058</v>
      </c>
      <c r="E1008" t="s">
        <v>1</v>
      </c>
      <c r="F1008">
        <v>0</v>
      </c>
      <c r="G1008" t="s">
        <v>36</v>
      </c>
      <c r="H1008" t="s">
        <v>90</v>
      </c>
    </row>
    <row r="1009" spans="1:8" x14ac:dyDescent="0.3">
      <c r="A1009" t="s">
        <v>2006</v>
      </c>
      <c r="B1009" t="s">
        <v>90</v>
      </c>
      <c r="C1009">
        <v>2026</v>
      </c>
      <c r="D1009" t="s">
        <v>2058</v>
      </c>
      <c r="E1009" t="s">
        <v>1885</v>
      </c>
      <c r="F1009">
        <v>9602.5088537734337</v>
      </c>
      <c r="G1009" t="s">
        <v>30</v>
      </c>
      <c r="H1009" t="s">
        <v>90</v>
      </c>
    </row>
    <row r="1010" spans="1:8" x14ac:dyDescent="0.3">
      <c r="A1010" t="s">
        <v>2007</v>
      </c>
      <c r="B1010" t="s">
        <v>90</v>
      </c>
      <c r="C1010">
        <v>2026</v>
      </c>
      <c r="D1010" t="s">
        <v>2058</v>
      </c>
      <c r="E1010" t="s">
        <v>1885</v>
      </c>
      <c r="F1010">
        <v>365</v>
      </c>
      <c r="G1010" t="s">
        <v>54</v>
      </c>
      <c r="H1010" t="s">
        <v>90</v>
      </c>
    </row>
    <row r="1011" spans="1:8" x14ac:dyDescent="0.3">
      <c r="A1011" t="s">
        <v>2008</v>
      </c>
      <c r="B1011" t="s">
        <v>90</v>
      </c>
      <c r="C1011">
        <v>2026</v>
      </c>
      <c r="D1011" t="s">
        <v>2058</v>
      </c>
      <c r="E1011" t="s">
        <v>1885</v>
      </c>
      <c r="F1011">
        <v>3504915.7316273032</v>
      </c>
      <c r="G1011" t="s">
        <v>36</v>
      </c>
      <c r="H1011" t="s">
        <v>90</v>
      </c>
    </row>
    <row r="1012" spans="1:8" x14ac:dyDescent="0.3">
      <c r="A1012" t="s">
        <v>1547</v>
      </c>
      <c r="B1012" t="s">
        <v>90</v>
      </c>
      <c r="C1012">
        <v>2026</v>
      </c>
      <c r="D1012" t="s">
        <v>2058</v>
      </c>
      <c r="E1012" t="s">
        <v>4</v>
      </c>
      <c r="F1012">
        <v>9250.7148866486204</v>
      </c>
      <c r="G1012" t="s">
        <v>30</v>
      </c>
      <c r="H1012" t="s">
        <v>90</v>
      </c>
    </row>
    <row r="1013" spans="1:8" x14ac:dyDescent="0.3">
      <c r="A1013" t="s">
        <v>1548</v>
      </c>
      <c r="B1013" t="s">
        <v>90</v>
      </c>
      <c r="C1013">
        <v>2026</v>
      </c>
      <c r="D1013" t="s">
        <v>2058</v>
      </c>
      <c r="E1013" t="s">
        <v>4</v>
      </c>
      <c r="F1013">
        <v>550</v>
      </c>
      <c r="G1013" t="s">
        <v>54</v>
      </c>
      <c r="H1013" t="s">
        <v>90</v>
      </c>
    </row>
    <row r="1014" spans="1:8" x14ac:dyDescent="0.3">
      <c r="A1014" t="s">
        <v>1549</v>
      </c>
      <c r="B1014" t="s">
        <v>90</v>
      </c>
      <c r="C1014">
        <v>2026</v>
      </c>
      <c r="D1014" t="s">
        <v>2058</v>
      </c>
      <c r="E1014" t="s">
        <v>4</v>
      </c>
      <c r="F1014">
        <v>5087893.1876567416</v>
      </c>
      <c r="G1014" t="s">
        <v>36</v>
      </c>
      <c r="H1014" t="s">
        <v>90</v>
      </c>
    </row>
    <row r="1015" spans="1:8" x14ac:dyDescent="0.3">
      <c r="A1015" t="s">
        <v>1550</v>
      </c>
      <c r="B1015" t="s">
        <v>90</v>
      </c>
      <c r="C1015">
        <v>2026</v>
      </c>
      <c r="D1015" t="s">
        <v>2058</v>
      </c>
      <c r="E1015" t="s">
        <v>38</v>
      </c>
      <c r="F1015">
        <v>11841.830612974107</v>
      </c>
      <c r="G1015" t="s">
        <v>30</v>
      </c>
      <c r="H1015" t="s">
        <v>90</v>
      </c>
    </row>
    <row r="1016" spans="1:8" x14ac:dyDescent="0.3">
      <c r="A1016" t="s">
        <v>1551</v>
      </c>
      <c r="B1016" t="s">
        <v>90</v>
      </c>
      <c r="C1016">
        <v>2026</v>
      </c>
      <c r="D1016" t="s">
        <v>2058</v>
      </c>
      <c r="E1016" t="s">
        <v>38</v>
      </c>
      <c r="F1016">
        <v>191</v>
      </c>
      <c r="G1016" t="s">
        <v>54</v>
      </c>
      <c r="H1016" t="s">
        <v>90</v>
      </c>
    </row>
    <row r="1017" spans="1:8" x14ac:dyDescent="0.3">
      <c r="A1017" t="s">
        <v>1552</v>
      </c>
      <c r="B1017" t="s">
        <v>90</v>
      </c>
      <c r="C1017">
        <v>2026</v>
      </c>
      <c r="D1017" t="s">
        <v>2058</v>
      </c>
      <c r="E1017" t="s">
        <v>38</v>
      </c>
      <c r="F1017">
        <v>2261789.6470780545</v>
      </c>
      <c r="G1017" t="s">
        <v>36</v>
      </c>
      <c r="H1017" t="s">
        <v>90</v>
      </c>
    </row>
    <row r="1018" spans="1:8" x14ac:dyDescent="0.3">
      <c r="A1018" t="s">
        <v>1553</v>
      </c>
      <c r="B1018" t="s">
        <v>91</v>
      </c>
      <c r="C1018">
        <v>2026</v>
      </c>
      <c r="D1018" t="s">
        <v>1554</v>
      </c>
      <c r="E1018" t="s">
        <v>53</v>
      </c>
      <c r="F1018">
        <v>0</v>
      </c>
      <c r="G1018" t="s">
        <v>30</v>
      </c>
      <c r="H1018" t="s">
        <v>91</v>
      </c>
    </row>
    <row r="1019" spans="1:8" x14ac:dyDescent="0.3">
      <c r="A1019" t="s">
        <v>1555</v>
      </c>
      <c r="B1019" t="s">
        <v>91</v>
      </c>
      <c r="C1019">
        <v>2026</v>
      </c>
      <c r="D1019" t="s">
        <v>1554</v>
      </c>
      <c r="E1019" t="s">
        <v>53</v>
      </c>
      <c r="F1019">
        <v>0</v>
      </c>
      <c r="G1019" t="s">
        <v>54</v>
      </c>
      <c r="H1019" t="s">
        <v>91</v>
      </c>
    </row>
    <row r="1020" spans="1:8" x14ac:dyDescent="0.3">
      <c r="A1020" t="s">
        <v>1556</v>
      </c>
      <c r="B1020" t="s">
        <v>91</v>
      </c>
      <c r="C1020">
        <v>2026</v>
      </c>
      <c r="D1020" t="s">
        <v>1554</v>
      </c>
      <c r="E1020" t="s">
        <v>53</v>
      </c>
      <c r="F1020">
        <v>0</v>
      </c>
      <c r="G1020" t="s">
        <v>36</v>
      </c>
      <c r="H1020" t="s">
        <v>91</v>
      </c>
    </row>
    <row r="1021" spans="1:8" x14ac:dyDescent="0.3">
      <c r="A1021" t="s">
        <v>1557</v>
      </c>
      <c r="B1021" t="s">
        <v>91</v>
      </c>
      <c r="C1021">
        <v>2026</v>
      </c>
      <c r="D1021" t="s">
        <v>1554</v>
      </c>
      <c r="E1021" t="s">
        <v>63</v>
      </c>
      <c r="F1021">
        <v>0</v>
      </c>
      <c r="G1021" t="s">
        <v>30</v>
      </c>
      <c r="H1021" t="s">
        <v>91</v>
      </c>
    </row>
    <row r="1022" spans="1:8" x14ac:dyDescent="0.3">
      <c r="A1022" t="s">
        <v>1558</v>
      </c>
      <c r="B1022" t="s">
        <v>91</v>
      </c>
      <c r="C1022">
        <v>2026</v>
      </c>
      <c r="D1022" t="s">
        <v>1554</v>
      </c>
      <c r="E1022" t="s">
        <v>63</v>
      </c>
      <c r="F1022">
        <v>0</v>
      </c>
      <c r="G1022" t="s">
        <v>54</v>
      </c>
      <c r="H1022" t="s">
        <v>91</v>
      </c>
    </row>
    <row r="1023" spans="1:8" x14ac:dyDescent="0.3">
      <c r="A1023" t="s">
        <v>1559</v>
      </c>
      <c r="B1023" t="s">
        <v>91</v>
      </c>
      <c r="C1023">
        <v>2026</v>
      </c>
      <c r="D1023" t="s">
        <v>1554</v>
      </c>
      <c r="E1023" t="s">
        <v>63</v>
      </c>
      <c r="F1023">
        <v>0</v>
      </c>
      <c r="G1023" t="s">
        <v>36</v>
      </c>
      <c r="H1023" t="s">
        <v>91</v>
      </c>
    </row>
    <row r="1024" spans="1:8" x14ac:dyDescent="0.3">
      <c r="A1024" t="s">
        <v>1560</v>
      </c>
      <c r="B1024" t="s">
        <v>91</v>
      </c>
      <c r="C1024">
        <v>2026</v>
      </c>
      <c r="D1024" t="s">
        <v>1554</v>
      </c>
      <c r="E1024" t="s">
        <v>3</v>
      </c>
      <c r="F1024">
        <v>16405.851789473687</v>
      </c>
      <c r="G1024" t="s">
        <v>30</v>
      </c>
      <c r="H1024" t="s">
        <v>91</v>
      </c>
    </row>
    <row r="1025" spans="1:8" x14ac:dyDescent="0.3">
      <c r="A1025" t="s">
        <v>1561</v>
      </c>
      <c r="B1025" t="s">
        <v>91</v>
      </c>
      <c r="C1025">
        <v>2026</v>
      </c>
      <c r="D1025" t="s">
        <v>1554</v>
      </c>
      <c r="E1025" t="s">
        <v>3</v>
      </c>
      <c r="F1025">
        <v>1</v>
      </c>
      <c r="G1025" t="s">
        <v>54</v>
      </c>
      <c r="H1025" t="s">
        <v>91</v>
      </c>
    </row>
    <row r="1026" spans="1:8" x14ac:dyDescent="0.3">
      <c r="A1026" t="s">
        <v>1562</v>
      </c>
      <c r="B1026" t="s">
        <v>91</v>
      </c>
      <c r="C1026">
        <v>2026</v>
      </c>
      <c r="D1026" t="s">
        <v>1554</v>
      </c>
      <c r="E1026" t="s">
        <v>3</v>
      </c>
      <c r="F1026">
        <v>16405.851789473687</v>
      </c>
      <c r="G1026" t="s">
        <v>36</v>
      </c>
      <c r="H1026" t="s">
        <v>91</v>
      </c>
    </row>
    <row r="1027" spans="1:8" x14ac:dyDescent="0.3">
      <c r="A1027" t="s">
        <v>1563</v>
      </c>
      <c r="B1027" t="s">
        <v>91</v>
      </c>
      <c r="C1027">
        <v>2026</v>
      </c>
      <c r="D1027" t="s">
        <v>1554</v>
      </c>
      <c r="E1027" t="s">
        <v>2</v>
      </c>
      <c r="F1027">
        <v>3333.1926322580648</v>
      </c>
      <c r="G1027" t="s">
        <v>30</v>
      </c>
      <c r="H1027" t="s">
        <v>91</v>
      </c>
    </row>
    <row r="1028" spans="1:8" x14ac:dyDescent="0.3">
      <c r="A1028" t="s">
        <v>1564</v>
      </c>
      <c r="B1028" t="s">
        <v>91</v>
      </c>
      <c r="C1028">
        <v>2026</v>
      </c>
      <c r="D1028" t="s">
        <v>1554</v>
      </c>
      <c r="E1028" t="s">
        <v>2</v>
      </c>
      <c r="F1028">
        <v>36</v>
      </c>
      <c r="G1028" t="s">
        <v>54</v>
      </c>
      <c r="H1028" t="s">
        <v>91</v>
      </c>
    </row>
    <row r="1029" spans="1:8" x14ac:dyDescent="0.3">
      <c r="A1029" t="s">
        <v>1565</v>
      </c>
      <c r="B1029" t="s">
        <v>91</v>
      </c>
      <c r="C1029">
        <v>2026</v>
      </c>
      <c r="D1029" t="s">
        <v>1554</v>
      </c>
      <c r="E1029" t="s">
        <v>2</v>
      </c>
      <c r="F1029">
        <v>119994.93476129034</v>
      </c>
      <c r="G1029" t="s">
        <v>36</v>
      </c>
      <c r="H1029" t="s">
        <v>91</v>
      </c>
    </row>
    <row r="1030" spans="1:8" x14ac:dyDescent="0.3">
      <c r="A1030" t="s">
        <v>1566</v>
      </c>
      <c r="B1030" t="s">
        <v>91</v>
      </c>
      <c r="C1030">
        <v>2026</v>
      </c>
      <c r="D1030" t="s">
        <v>1554</v>
      </c>
      <c r="E1030" t="s">
        <v>1</v>
      </c>
      <c r="F1030">
        <v>11536.978572580645</v>
      </c>
      <c r="G1030" t="s">
        <v>30</v>
      </c>
      <c r="H1030" t="s">
        <v>91</v>
      </c>
    </row>
    <row r="1031" spans="1:8" x14ac:dyDescent="0.3">
      <c r="A1031" t="s">
        <v>1567</v>
      </c>
      <c r="B1031" t="s">
        <v>91</v>
      </c>
      <c r="C1031">
        <v>2026</v>
      </c>
      <c r="D1031" t="s">
        <v>1554</v>
      </c>
      <c r="E1031" t="s">
        <v>1</v>
      </c>
      <c r="F1031">
        <v>480</v>
      </c>
      <c r="G1031" t="s">
        <v>54</v>
      </c>
      <c r="H1031" t="s">
        <v>91</v>
      </c>
    </row>
    <row r="1032" spans="1:8" x14ac:dyDescent="0.3">
      <c r="A1032" t="s">
        <v>1568</v>
      </c>
      <c r="B1032" t="s">
        <v>91</v>
      </c>
      <c r="C1032">
        <v>2026</v>
      </c>
      <c r="D1032" t="s">
        <v>1554</v>
      </c>
      <c r="E1032" t="s">
        <v>1</v>
      </c>
      <c r="F1032">
        <v>5537749.7148387097</v>
      </c>
      <c r="G1032" t="s">
        <v>36</v>
      </c>
      <c r="H1032" t="s">
        <v>91</v>
      </c>
    </row>
    <row r="1033" spans="1:8" x14ac:dyDescent="0.3">
      <c r="A1033" t="s">
        <v>2009</v>
      </c>
      <c r="B1033" t="s">
        <v>91</v>
      </c>
      <c r="C1033">
        <v>2026</v>
      </c>
      <c r="D1033" t="s">
        <v>1554</v>
      </c>
      <c r="E1033" t="s">
        <v>1885</v>
      </c>
      <c r="F1033">
        <v>10967.423735030123</v>
      </c>
      <c r="G1033" t="s">
        <v>30</v>
      </c>
      <c r="H1033" t="s">
        <v>91</v>
      </c>
    </row>
    <row r="1034" spans="1:8" x14ac:dyDescent="0.3">
      <c r="A1034" t="s">
        <v>2010</v>
      </c>
      <c r="B1034" t="s">
        <v>91</v>
      </c>
      <c r="C1034">
        <v>2026</v>
      </c>
      <c r="D1034" t="s">
        <v>1554</v>
      </c>
      <c r="E1034" t="s">
        <v>1885</v>
      </c>
      <c r="F1034">
        <v>997</v>
      </c>
      <c r="G1034" t="s">
        <v>54</v>
      </c>
      <c r="H1034" t="s">
        <v>91</v>
      </c>
    </row>
    <row r="1035" spans="1:8" x14ac:dyDescent="0.3">
      <c r="A1035" t="s">
        <v>2011</v>
      </c>
      <c r="B1035" t="s">
        <v>91</v>
      </c>
      <c r="C1035">
        <v>2026</v>
      </c>
      <c r="D1035" t="s">
        <v>1554</v>
      </c>
      <c r="E1035" t="s">
        <v>1885</v>
      </c>
      <c r="F1035">
        <v>10934521.463825032</v>
      </c>
      <c r="G1035" t="s">
        <v>36</v>
      </c>
      <c r="H1035" t="s">
        <v>91</v>
      </c>
    </row>
    <row r="1036" spans="1:8" x14ac:dyDescent="0.3">
      <c r="A1036" t="s">
        <v>1569</v>
      </c>
      <c r="B1036" t="s">
        <v>91</v>
      </c>
      <c r="C1036">
        <v>2026</v>
      </c>
      <c r="D1036" t="s">
        <v>1554</v>
      </c>
      <c r="E1036" t="s">
        <v>4</v>
      </c>
      <c r="F1036">
        <v>10955.070426725062</v>
      </c>
      <c r="G1036" t="s">
        <v>30</v>
      </c>
      <c r="H1036" t="s">
        <v>91</v>
      </c>
    </row>
    <row r="1037" spans="1:8" x14ac:dyDescent="0.3">
      <c r="A1037" t="s">
        <v>1570</v>
      </c>
      <c r="B1037" t="s">
        <v>91</v>
      </c>
      <c r="C1037">
        <v>2026</v>
      </c>
      <c r="D1037" t="s">
        <v>1554</v>
      </c>
      <c r="E1037" t="s">
        <v>4</v>
      </c>
      <c r="F1037">
        <v>985</v>
      </c>
      <c r="G1037" t="s">
        <v>54</v>
      </c>
      <c r="H1037" t="s">
        <v>91</v>
      </c>
    </row>
    <row r="1038" spans="1:8" x14ac:dyDescent="0.3">
      <c r="A1038" t="s">
        <v>1571</v>
      </c>
      <c r="B1038" t="s">
        <v>91</v>
      </c>
      <c r="C1038">
        <v>2026</v>
      </c>
      <c r="D1038" t="s">
        <v>1554</v>
      </c>
      <c r="E1038" t="s">
        <v>4</v>
      </c>
      <c r="F1038">
        <v>10790744.370324187</v>
      </c>
      <c r="G1038" t="s">
        <v>36</v>
      </c>
      <c r="H1038" t="s">
        <v>91</v>
      </c>
    </row>
    <row r="1039" spans="1:8" x14ac:dyDescent="0.3">
      <c r="A1039" t="s">
        <v>1572</v>
      </c>
      <c r="B1039" t="s">
        <v>91</v>
      </c>
      <c r="C1039">
        <v>2026</v>
      </c>
      <c r="D1039" t="s">
        <v>1554</v>
      </c>
      <c r="E1039" t="s">
        <v>38</v>
      </c>
      <c r="F1039">
        <v>10932.892882339129</v>
      </c>
      <c r="G1039" t="s">
        <v>30</v>
      </c>
      <c r="H1039" t="s">
        <v>91</v>
      </c>
    </row>
    <row r="1040" spans="1:8" x14ac:dyDescent="0.3">
      <c r="A1040" t="s">
        <v>1573</v>
      </c>
      <c r="B1040" t="s">
        <v>91</v>
      </c>
      <c r="C1040">
        <v>2026</v>
      </c>
      <c r="D1040" t="s">
        <v>1554</v>
      </c>
      <c r="E1040" t="s">
        <v>38</v>
      </c>
      <c r="F1040">
        <v>468</v>
      </c>
      <c r="G1040" t="s">
        <v>54</v>
      </c>
      <c r="H1040" t="s">
        <v>91</v>
      </c>
    </row>
    <row r="1041" spans="1:8" x14ac:dyDescent="0.3">
      <c r="A1041" t="s">
        <v>1574</v>
      </c>
      <c r="B1041" t="s">
        <v>91</v>
      </c>
      <c r="C1041">
        <v>2026</v>
      </c>
      <c r="D1041" t="s">
        <v>1554</v>
      </c>
      <c r="E1041" t="s">
        <v>38</v>
      </c>
      <c r="F1041">
        <v>5116593.8689347124</v>
      </c>
      <c r="G1041" t="s">
        <v>36</v>
      </c>
      <c r="H1041" t="s">
        <v>91</v>
      </c>
    </row>
    <row r="1042" spans="1:8" x14ac:dyDescent="0.3">
      <c r="A1042" t="s">
        <v>1575</v>
      </c>
      <c r="B1042" t="s">
        <v>92</v>
      </c>
      <c r="C1042">
        <v>2026</v>
      </c>
      <c r="D1042" t="s">
        <v>1576</v>
      </c>
      <c r="E1042" t="s">
        <v>53</v>
      </c>
      <c r="F1042">
        <v>0</v>
      </c>
      <c r="G1042" t="s">
        <v>30</v>
      </c>
      <c r="H1042" t="s">
        <v>92</v>
      </c>
    </row>
    <row r="1043" spans="1:8" x14ac:dyDescent="0.3">
      <c r="A1043" t="s">
        <v>1577</v>
      </c>
      <c r="B1043" t="s">
        <v>92</v>
      </c>
      <c r="C1043">
        <v>2026</v>
      </c>
      <c r="D1043" t="s">
        <v>1576</v>
      </c>
      <c r="E1043" t="s">
        <v>53</v>
      </c>
      <c r="F1043">
        <v>0</v>
      </c>
      <c r="G1043" t="s">
        <v>54</v>
      </c>
      <c r="H1043" t="s">
        <v>92</v>
      </c>
    </row>
    <row r="1044" spans="1:8" x14ac:dyDescent="0.3">
      <c r="A1044" t="s">
        <v>1578</v>
      </c>
      <c r="B1044" t="s">
        <v>92</v>
      </c>
      <c r="C1044">
        <v>2026</v>
      </c>
      <c r="D1044" t="s">
        <v>1576</v>
      </c>
      <c r="E1044" t="s">
        <v>53</v>
      </c>
      <c r="F1044">
        <v>0</v>
      </c>
      <c r="G1044" t="s">
        <v>36</v>
      </c>
      <c r="H1044" t="s">
        <v>92</v>
      </c>
    </row>
    <row r="1045" spans="1:8" x14ac:dyDescent="0.3">
      <c r="A1045" t="s">
        <v>1579</v>
      </c>
      <c r="B1045" t="s">
        <v>92</v>
      </c>
      <c r="C1045">
        <v>2026</v>
      </c>
      <c r="D1045" t="s">
        <v>1576</v>
      </c>
      <c r="E1045" t="s">
        <v>63</v>
      </c>
      <c r="F1045">
        <v>0</v>
      </c>
      <c r="G1045" t="s">
        <v>30</v>
      </c>
      <c r="H1045" t="s">
        <v>92</v>
      </c>
    </row>
    <row r="1046" spans="1:8" x14ac:dyDescent="0.3">
      <c r="A1046" t="s">
        <v>1580</v>
      </c>
      <c r="B1046" t="s">
        <v>92</v>
      </c>
      <c r="C1046">
        <v>2026</v>
      </c>
      <c r="D1046" t="s">
        <v>1576</v>
      </c>
      <c r="E1046" t="s">
        <v>63</v>
      </c>
      <c r="F1046">
        <v>0</v>
      </c>
      <c r="G1046" t="s">
        <v>54</v>
      </c>
      <c r="H1046" t="s">
        <v>92</v>
      </c>
    </row>
    <row r="1047" spans="1:8" x14ac:dyDescent="0.3">
      <c r="A1047" t="s">
        <v>1581</v>
      </c>
      <c r="B1047" t="s">
        <v>92</v>
      </c>
      <c r="C1047">
        <v>2026</v>
      </c>
      <c r="D1047" t="s">
        <v>1576</v>
      </c>
      <c r="E1047" t="s">
        <v>63</v>
      </c>
      <c r="F1047">
        <v>0</v>
      </c>
      <c r="G1047" t="s">
        <v>36</v>
      </c>
      <c r="H1047" t="s">
        <v>92</v>
      </c>
    </row>
    <row r="1048" spans="1:8" x14ac:dyDescent="0.3">
      <c r="A1048" t="s">
        <v>1582</v>
      </c>
      <c r="B1048" t="s">
        <v>92</v>
      </c>
      <c r="C1048">
        <v>2026</v>
      </c>
      <c r="D1048" t="s">
        <v>1576</v>
      </c>
      <c r="E1048" t="s">
        <v>3</v>
      </c>
      <c r="F1048">
        <v>0</v>
      </c>
      <c r="G1048" t="s">
        <v>30</v>
      </c>
      <c r="H1048" t="s">
        <v>92</v>
      </c>
    </row>
    <row r="1049" spans="1:8" x14ac:dyDescent="0.3">
      <c r="A1049" t="s">
        <v>1583</v>
      </c>
      <c r="B1049" t="s">
        <v>92</v>
      </c>
      <c r="C1049">
        <v>2026</v>
      </c>
      <c r="D1049" t="s">
        <v>1576</v>
      </c>
      <c r="E1049" t="s">
        <v>3</v>
      </c>
      <c r="F1049">
        <v>0</v>
      </c>
      <c r="G1049" t="s">
        <v>54</v>
      </c>
      <c r="H1049" t="s">
        <v>92</v>
      </c>
    </row>
    <row r="1050" spans="1:8" x14ac:dyDescent="0.3">
      <c r="A1050" t="s">
        <v>1584</v>
      </c>
      <c r="B1050" t="s">
        <v>92</v>
      </c>
      <c r="C1050">
        <v>2026</v>
      </c>
      <c r="D1050" t="s">
        <v>1576</v>
      </c>
      <c r="E1050" t="s">
        <v>3</v>
      </c>
      <c r="F1050">
        <v>0</v>
      </c>
      <c r="G1050" t="s">
        <v>36</v>
      </c>
      <c r="H1050" t="s">
        <v>92</v>
      </c>
    </row>
    <row r="1051" spans="1:8" x14ac:dyDescent="0.3">
      <c r="A1051" t="s">
        <v>1585</v>
      </c>
      <c r="B1051" t="s">
        <v>92</v>
      </c>
      <c r="C1051">
        <v>2026</v>
      </c>
      <c r="D1051" t="s">
        <v>1576</v>
      </c>
      <c r="E1051" t="s">
        <v>2</v>
      </c>
      <c r="F1051">
        <v>7254.546173809711</v>
      </c>
      <c r="G1051" t="s">
        <v>30</v>
      </c>
      <c r="H1051" t="s">
        <v>92</v>
      </c>
    </row>
    <row r="1052" spans="1:8" x14ac:dyDescent="0.3">
      <c r="A1052" t="s">
        <v>1586</v>
      </c>
      <c r="B1052" t="s">
        <v>92</v>
      </c>
      <c r="C1052">
        <v>2026</v>
      </c>
      <c r="D1052" t="s">
        <v>1576</v>
      </c>
      <c r="E1052" t="s">
        <v>2</v>
      </c>
      <c r="F1052">
        <v>172</v>
      </c>
      <c r="G1052" t="s">
        <v>54</v>
      </c>
      <c r="H1052" t="s">
        <v>92</v>
      </c>
    </row>
    <row r="1053" spans="1:8" x14ac:dyDescent="0.3">
      <c r="A1053" t="s">
        <v>1587</v>
      </c>
      <c r="B1053" t="s">
        <v>92</v>
      </c>
      <c r="C1053">
        <v>2026</v>
      </c>
      <c r="D1053" t="s">
        <v>1576</v>
      </c>
      <c r="E1053" t="s">
        <v>2</v>
      </c>
      <c r="F1053">
        <v>1247781.9418952703</v>
      </c>
      <c r="G1053" t="s">
        <v>36</v>
      </c>
      <c r="H1053" t="s">
        <v>92</v>
      </c>
    </row>
    <row r="1054" spans="1:8" x14ac:dyDescent="0.3">
      <c r="A1054" t="s">
        <v>1588</v>
      </c>
      <c r="B1054" t="s">
        <v>92</v>
      </c>
      <c r="C1054">
        <v>2026</v>
      </c>
      <c r="D1054" t="s">
        <v>1576</v>
      </c>
      <c r="E1054" t="s">
        <v>1</v>
      </c>
      <c r="F1054">
        <v>0</v>
      </c>
      <c r="G1054" t="s">
        <v>30</v>
      </c>
      <c r="H1054" t="s">
        <v>92</v>
      </c>
    </row>
    <row r="1055" spans="1:8" x14ac:dyDescent="0.3">
      <c r="A1055" t="s">
        <v>1589</v>
      </c>
      <c r="B1055" t="s">
        <v>92</v>
      </c>
      <c r="C1055">
        <v>2026</v>
      </c>
      <c r="D1055" t="s">
        <v>1576</v>
      </c>
      <c r="E1055" t="s">
        <v>1</v>
      </c>
      <c r="F1055">
        <v>0</v>
      </c>
      <c r="G1055" t="s">
        <v>54</v>
      </c>
      <c r="H1055" t="s">
        <v>92</v>
      </c>
    </row>
    <row r="1056" spans="1:8" x14ac:dyDescent="0.3">
      <c r="A1056" t="s">
        <v>1590</v>
      </c>
      <c r="B1056" t="s">
        <v>92</v>
      </c>
      <c r="C1056">
        <v>2026</v>
      </c>
      <c r="D1056" t="s">
        <v>1576</v>
      </c>
      <c r="E1056" t="s">
        <v>1</v>
      </c>
      <c r="F1056">
        <v>0</v>
      </c>
      <c r="G1056" t="s">
        <v>36</v>
      </c>
      <c r="H1056" t="s">
        <v>92</v>
      </c>
    </row>
    <row r="1057" spans="1:8" x14ac:dyDescent="0.3">
      <c r="A1057" t="s">
        <v>2012</v>
      </c>
      <c r="B1057" t="s">
        <v>92</v>
      </c>
      <c r="C1057">
        <v>2026</v>
      </c>
      <c r="D1057" t="s">
        <v>1576</v>
      </c>
      <c r="E1057" t="s">
        <v>1885</v>
      </c>
      <c r="F1057">
        <v>8746.3188560844719</v>
      </c>
      <c r="G1057" t="s">
        <v>30</v>
      </c>
      <c r="H1057" t="s">
        <v>92</v>
      </c>
    </row>
    <row r="1058" spans="1:8" x14ac:dyDescent="0.3">
      <c r="A1058" t="s">
        <v>2013</v>
      </c>
      <c r="B1058" t="s">
        <v>92</v>
      </c>
      <c r="C1058">
        <v>2026</v>
      </c>
      <c r="D1058" t="s">
        <v>1576</v>
      </c>
      <c r="E1058" t="s">
        <v>1885</v>
      </c>
      <c r="F1058">
        <v>285</v>
      </c>
      <c r="G1058" t="s">
        <v>54</v>
      </c>
      <c r="H1058" t="s">
        <v>92</v>
      </c>
    </row>
    <row r="1059" spans="1:8" x14ac:dyDescent="0.3">
      <c r="A1059" t="s">
        <v>2014</v>
      </c>
      <c r="B1059" t="s">
        <v>92</v>
      </c>
      <c r="C1059">
        <v>2026</v>
      </c>
      <c r="D1059" t="s">
        <v>1576</v>
      </c>
      <c r="E1059" t="s">
        <v>1885</v>
      </c>
      <c r="F1059">
        <v>2492700.8739840747</v>
      </c>
      <c r="G1059" t="s">
        <v>36</v>
      </c>
      <c r="H1059" t="s">
        <v>92</v>
      </c>
    </row>
    <row r="1060" spans="1:8" x14ac:dyDescent="0.3">
      <c r="A1060" t="s">
        <v>1591</v>
      </c>
      <c r="B1060" t="s">
        <v>92</v>
      </c>
      <c r="C1060">
        <v>2026</v>
      </c>
      <c r="D1060" t="s">
        <v>1576</v>
      </c>
      <c r="E1060" t="s">
        <v>4</v>
      </c>
      <c r="F1060">
        <v>8719.6691984346126</v>
      </c>
      <c r="G1060" t="s">
        <v>30</v>
      </c>
      <c r="H1060" t="s">
        <v>92</v>
      </c>
    </row>
    <row r="1061" spans="1:8" x14ac:dyDescent="0.3">
      <c r="A1061" t="s">
        <v>1592</v>
      </c>
      <c r="B1061" t="s">
        <v>92</v>
      </c>
      <c r="C1061">
        <v>2026</v>
      </c>
      <c r="D1061" t="s">
        <v>1576</v>
      </c>
      <c r="E1061" t="s">
        <v>4</v>
      </c>
      <c r="F1061">
        <v>284</v>
      </c>
      <c r="G1061" t="s">
        <v>54</v>
      </c>
      <c r="H1061" t="s">
        <v>92</v>
      </c>
    </row>
    <row r="1062" spans="1:8" x14ac:dyDescent="0.3">
      <c r="A1062" t="s">
        <v>1593</v>
      </c>
      <c r="B1062" t="s">
        <v>92</v>
      </c>
      <c r="C1062">
        <v>2026</v>
      </c>
      <c r="D1062" t="s">
        <v>1576</v>
      </c>
      <c r="E1062" t="s">
        <v>4</v>
      </c>
      <c r="F1062">
        <v>2476386.0523554301</v>
      </c>
      <c r="G1062" t="s">
        <v>36</v>
      </c>
      <c r="H1062" t="s">
        <v>92</v>
      </c>
    </row>
    <row r="1063" spans="1:8" x14ac:dyDescent="0.3">
      <c r="A1063" t="s">
        <v>1594</v>
      </c>
      <c r="B1063" t="s">
        <v>92</v>
      </c>
      <c r="C1063">
        <v>2026</v>
      </c>
      <c r="D1063" t="s">
        <v>1576</v>
      </c>
      <c r="E1063" t="s">
        <v>38</v>
      </c>
      <c r="F1063">
        <v>10969.679557679996</v>
      </c>
      <c r="G1063" t="s">
        <v>30</v>
      </c>
      <c r="H1063" t="s">
        <v>92</v>
      </c>
    </row>
    <row r="1064" spans="1:8" x14ac:dyDescent="0.3">
      <c r="A1064" t="s">
        <v>1595</v>
      </c>
      <c r="B1064" t="s">
        <v>92</v>
      </c>
      <c r="C1064">
        <v>2026</v>
      </c>
      <c r="D1064" t="s">
        <v>1576</v>
      </c>
      <c r="E1064" t="s">
        <v>38</v>
      </c>
      <c r="F1064">
        <v>112</v>
      </c>
      <c r="G1064" t="s">
        <v>54</v>
      </c>
      <c r="H1064" t="s">
        <v>92</v>
      </c>
    </row>
    <row r="1065" spans="1:8" x14ac:dyDescent="0.3">
      <c r="A1065" t="s">
        <v>1596</v>
      </c>
      <c r="B1065" t="s">
        <v>92</v>
      </c>
      <c r="C1065">
        <v>2026</v>
      </c>
      <c r="D1065" t="s">
        <v>1576</v>
      </c>
      <c r="E1065" t="s">
        <v>38</v>
      </c>
      <c r="F1065">
        <v>1228604.1104601596</v>
      </c>
      <c r="G1065" t="s">
        <v>36</v>
      </c>
      <c r="H1065" t="s">
        <v>92</v>
      </c>
    </row>
    <row r="1066" spans="1:8" x14ac:dyDescent="0.3">
      <c r="A1066" t="s">
        <v>1597</v>
      </c>
      <c r="B1066" t="s">
        <v>93</v>
      </c>
      <c r="C1066">
        <v>2026</v>
      </c>
      <c r="D1066" t="s">
        <v>1598</v>
      </c>
      <c r="E1066" t="s">
        <v>53</v>
      </c>
      <c r="F1066">
        <v>0</v>
      </c>
      <c r="G1066" t="s">
        <v>30</v>
      </c>
      <c r="H1066" t="s">
        <v>93</v>
      </c>
    </row>
    <row r="1067" spans="1:8" x14ac:dyDescent="0.3">
      <c r="A1067" t="s">
        <v>1599</v>
      </c>
      <c r="B1067" t="s">
        <v>93</v>
      </c>
      <c r="C1067">
        <v>2026</v>
      </c>
      <c r="D1067" t="s">
        <v>1598</v>
      </c>
      <c r="E1067" t="s">
        <v>53</v>
      </c>
      <c r="F1067">
        <v>0</v>
      </c>
      <c r="G1067" t="s">
        <v>54</v>
      </c>
      <c r="H1067" t="s">
        <v>93</v>
      </c>
    </row>
    <row r="1068" spans="1:8" x14ac:dyDescent="0.3">
      <c r="A1068" t="s">
        <v>1600</v>
      </c>
      <c r="B1068" t="s">
        <v>93</v>
      </c>
      <c r="C1068">
        <v>2026</v>
      </c>
      <c r="D1068" t="s">
        <v>1598</v>
      </c>
      <c r="E1068" t="s">
        <v>53</v>
      </c>
      <c r="F1068">
        <v>0</v>
      </c>
      <c r="G1068" t="s">
        <v>36</v>
      </c>
      <c r="H1068" t="s">
        <v>93</v>
      </c>
    </row>
    <row r="1069" spans="1:8" x14ac:dyDescent="0.3">
      <c r="A1069" t="s">
        <v>1601</v>
      </c>
      <c r="B1069" t="s">
        <v>93</v>
      </c>
      <c r="C1069">
        <v>2026</v>
      </c>
      <c r="D1069" t="s">
        <v>1598</v>
      </c>
      <c r="E1069" t="s">
        <v>63</v>
      </c>
      <c r="F1069">
        <v>0</v>
      </c>
      <c r="G1069" t="s">
        <v>30</v>
      </c>
      <c r="H1069" t="s">
        <v>93</v>
      </c>
    </row>
    <row r="1070" spans="1:8" x14ac:dyDescent="0.3">
      <c r="A1070" t="s">
        <v>1602</v>
      </c>
      <c r="B1070" t="s">
        <v>93</v>
      </c>
      <c r="C1070">
        <v>2026</v>
      </c>
      <c r="D1070" t="s">
        <v>1598</v>
      </c>
      <c r="E1070" t="s">
        <v>63</v>
      </c>
      <c r="F1070">
        <v>0</v>
      </c>
      <c r="G1070" t="s">
        <v>54</v>
      </c>
      <c r="H1070" t="s">
        <v>93</v>
      </c>
    </row>
    <row r="1071" spans="1:8" x14ac:dyDescent="0.3">
      <c r="A1071" t="s">
        <v>1603</v>
      </c>
      <c r="B1071" t="s">
        <v>93</v>
      </c>
      <c r="C1071">
        <v>2026</v>
      </c>
      <c r="D1071" t="s">
        <v>1598</v>
      </c>
      <c r="E1071" t="s">
        <v>63</v>
      </c>
      <c r="F1071">
        <v>0</v>
      </c>
      <c r="G1071" t="s">
        <v>36</v>
      </c>
      <c r="H1071" t="s">
        <v>93</v>
      </c>
    </row>
    <row r="1072" spans="1:8" x14ac:dyDescent="0.3">
      <c r="A1072" t="s">
        <v>1604</v>
      </c>
      <c r="B1072" t="s">
        <v>93</v>
      </c>
      <c r="C1072">
        <v>2026</v>
      </c>
      <c r="D1072" t="s">
        <v>1598</v>
      </c>
      <c r="E1072" t="s">
        <v>3</v>
      </c>
      <c r="F1072">
        <v>0</v>
      </c>
      <c r="G1072" t="s">
        <v>30</v>
      </c>
      <c r="H1072" t="s">
        <v>93</v>
      </c>
    </row>
    <row r="1073" spans="1:8" x14ac:dyDescent="0.3">
      <c r="A1073" t="s">
        <v>1605</v>
      </c>
      <c r="B1073" t="s">
        <v>93</v>
      </c>
      <c r="C1073">
        <v>2026</v>
      </c>
      <c r="D1073" t="s">
        <v>1598</v>
      </c>
      <c r="E1073" t="s">
        <v>3</v>
      </c>
      <c r="F1073">
        <v>0</v>
      </c>
      <c r="G1073" t="s">
        <v>54</v>
      </c>
      <c r="H1073" t="s">
        <v>93</v>
      </c>
    </row>
    <row r="1074" spans="1:8" x14ac:dyDescent="0.3">
      <c r="A1074" t="s">
        <v>1606</v>
      </c>
      <c r="B1074" t="s">
        <v>93</v>
      </c>
      <c r="C1074">
        <v>2026</v>
      </c>
      <c r="D1074" t="s">
        <v>1598</v>
      </c>
      <c r="E1074" t="s">
        <v>3</v>
      </c>
      <c r="F1074">
        <v>0</v>
      </c>
      <c r="G1074" t="s">
        <v>36</v>
      </c>
      <c r="H1074" t="s">
        <v>93</v>
      </c>
    </row>
    <row r="1075" spans="1:8" x14ac:dyDescent="0.3">
      <c r="A1075" t="s">
        <v>1607</v>
      </c>
      <c r="B1075" t="s">
        <v>93</v>
      </c>
      <c r="C1075">
        <v>2026</v>
      </c>
      <c r="D1075" t="s">
        <v>1598</v>
      </c>
      <c r="E1075" t="s">
        <v>2</v>
      </c>
      <c r="F1075">
        <v>7695.821122426024</v>
      </c>
      <c r="G1075" t="s">
        <v>30</v>
      </c>
      <c r="H1075" t="s">
        <v>93</v>
      </c>
    </row>
    <row r="1076" spans="1:8" x14ac:dyDescent="0.3">
      <c r="A1076" t="s">
        <v>1608</v>
      </c>
      <c r="B1076" t="s">
        <v>93</v>
      </c>
      <c r="C1076">
        <v>2026</v>
      </c>
      <c r="D1076" t="s">
        <v>1598</v>
      </c>
      <c r="E1076" t="s">
        <v>2</v>
      </c>
      <c r="F1076">
        <v>380</v>
      </c>
      <c r="G1076" t="s">
        <v>54</v>
      </c>
      <c r="H1076" t="s">
        <v>93</v>
      </c>
    </row>
    <row r="1077" spans="1:8" x14ac:dyDescent="0.3">
      <c r="A1077" t="s">
        <v>1609</v>
      </c>
      <c r="B1077" t="s">
        <v>93</v>
      </c>
      <c r="C1077">
        <v>2026</v>
      </c>
      <c r="D1077" t="s">
        <v>1598</v>
      </c>
      <c r="E1077" t="s">
        <v>2</v>
      </c>
      <c r="F1077">
        <v>2924412.026521889</v>
      </c>
      <c r="G1077" t="s">
        <v>36</v>
      </c>
      <c r="H1077" t="s">
        <v>93</v>
      </c>
    </row>
    <row r="1078" spans="1:8" x14ac:dyDescent="0.3">
      <c r="A1078" t="s">
        <v>1610</v>
      </c>
      <c r="B1078" t="s">
        <v>93</v>
      </c>
      <c r="C1078">
        <v>2026</v>
      </c>
      <c r="D1078" t="s">
        <v>1598</v>
      </c>
      <c r="E1078" t="s">
        <v>1</v>
      </c>
      <c r="F1078">
        <v>0</v>
      </c>
      <c r="G1078" t="s">
        <v>30</v>
      </c>
      <c r="H1078" t="s">
        <v>93</v>
      </c>
    </row>
    <row r="1079" spans="1:8" x14ac:dyDescent="0.3">
      <c r="A1079" t="s">
        <v>1611</v>
      </c>
      <c r="B1079" t="s">
        <v>93</v>
      </c>
      <c r="C1079">
        <v>2026</v>
      </c>
      <c r="D1079" t="s">
        <v>1598</v>
      </c>
      <c r="E1079" t="s">
        <v>1</v>
      </c>
      <c r="F1079">
        <v>0</v>
      </c>
      <c r="G1079" t="s">
        <v>54</v>
      </c>
      <c r="H1079" t="s">
        <v>93</v>
      </c>
    </row>
    <row r="1080" spans="1:8" x14ac:dyDescent="0.3">
      <c r="A1080" t="s">
        <v>1612</v>
      </c>
      <c r="B1080" t="s">
        <v>93</v>
      </c>
      <c r="C1080">
        <v>2026</v>
      </c>
      <c r="D1080" t="s">
        <v>1598</v>
      </c>
      <c r="E1080" t="s">
        <v>1</v>
      </c>
      <c r="F1080">
        <v>0</v>
      </c>
      <c r="G1080" t="s">
        <v>36</v>
      </c>
      <c r="H1080" t="s">
        <v>93</v>
      </c>
    </row>
    <row r="1081" spans="1:8" x14ac:dyDescent="0.3">
      <c r="A1081" t="s">
        <v>2015</v>
      </c>
      <c r="B1081" t="s">
        <v>93</v>
      </c>
      <c r="C1081">
        <v>2026</v>
      </c>
      <c r="D1081" t="s">
        <v>1598</v>
      </c>
      <c r="E1081" t="s">
        <v>1885</v>
      </c>
      <c r="F1081">
        <v>9049.4988373192973</v>
      </c>
      <c r="G1081" t="s">
        <v>30</v>
      </c>
      <c r="H1081" t="s">
        <v>93</v>
      </c>
    </row>
    <row r="1082" spans="1:8" x14ac:dyDescent="0.3">
      <c r="A1082" t="s">
        <v>2016</v>
      </c>
      <c r="B1082" t="s">
        <v>93</v>
      </c>
      <c r="C1082">
        <v>2026</v>
      </c>
      <c r="D1082" t="s">
        <v>1598</v>
      </c>
      <c r="E1082" t="s">
        <v>1885</v>
      </c>
      <c r="F1082">
        <v>447</v>
      </c>
      <c r="G1082" t="s">
        <v>54</v>
      </c>
      <c r="H1082" t="s">
        <v>93</v>
      </c>
    </row>
    <row r="1083" spans="1:8" x14ac:dyDescent="0.3">
      <c r="A1083" t="s">
        <v>2017</v>
      </c>
      <c r="B1083" t="s">
        <v>93</v>
      </c>
      <c r="C1083">
        <v>2026</v>
      </c>
      <c r="D1083" t="s">
        <v>1598</v>
      </c>
      <c r="E1083" t="s">
        <v>1885</v>
      </c>
      <c r="F1083">
        <v>4045125.980281726</v>
      </c>
      <c r="G1083" t="s">
        <v>36</v>
      </c>
      <c r="H1083" t="s">
        <v>93</v>
      </c>
    </row>
    <row r="1084" spans="1:8" x14ac:dyDescent="0.3">
      <c r="A1084" t="s">
        <v>1613</v>
      </c>
      <c r="B1084" t="s">
        <v>93</v>
      </c>
      <c r="C1084">
        <v>2026</v>
      </c>
      <c r="D1084" t="s">
        <v>1598</v>
      </c>
      <c r="E1084" t="s">
        <v>4</v>
      </c>
      <c r="F1084">
        <v>8719.9656744034</v>
      </c>
      <c r="G1084" t="s">
        <v>30</v>
      </c>
      <c r="H1084" t="s">
        <v>93</v>
      </c>
    </row>
    <row r="1085" spans="1:8" x14ac:dyDescent="0.3">
      <c r="A1085" t="s">
        <v>1614</v>
      </c>
      <c r="B1085" t="s">
        <v>93</v>
      </c>
      <c r="C1085">
        <v>2026</v>
      </c>
      <c r="D1085" t="s">
        <v>1598</v>
      </c>
      <c r="E1085" t="s">
        <v>4</v>
      </c>
      <c r="F1085">
        <v>606</v>
      </c>
      <c r="G1085" t="s">
        <v>54</v>
      </c>
      <c r="H1085" t="s">
        <v>93</v>
      </c>
    </row>
    <row r="1086" spans="1:8" x14ac:dyDescent="0.3">
      <c r="A1086" t="s">
        <v>1615</v>
      </c>
      <c r="B1086" t="s">
        <v>93</v>
      </c>
      <c r="C1086">
        <v>2026</v>
      </c>
      <c r="D1086" t="s">
        <v>1598</v>
      </c>
      <c r="E1086" t="s">
        <v>4</v>
      </c>
      <c r="F1086">
        <v>5284299.1986884605</v>
      </c>
      <c r="G1086" t="s">
        <v>36</v>
      </c>
      <c r="H1086" t="s">
        <v>93</v>
      </c>
    </row>
    <row r="1087" spans="1:8" x14ac:dyDescent="0.3">
      <c r="A1087" t="s">
        <v>1616</v>
      </c>
      <c r="B1087" t="s">
        <v>93</v>
      </c>
      <c r="C1087">
        <v>2026</v>
      </c>
      <c r="D1087" t="s">
        <v>1598</v>
      </c>
      <c r="E1087" t="s">
        <v>38</v>
      </c>
      <c r="F1087">
        <v>10441.978637905182</v>
      </c>
      <c r="G1087" t="s">
        <v>30</v>
      </c>
      <c r="H1087" t="s">
        <v>93</v>
      </c>
    </row>
    <row r="1088" spans="1:8" x14ac:dyDescent="0.3">
      <c r="A1088" t="s">
        <v>1617</v>
      </c>
      <c r="B1088" t="s">
        <v>93</v>
      </c>
      <c r="C1088">
        <v>2026</v>
      </c>
      <c r="D1088" t="s">
        <v>1598</v>
      </c>
      <c r="E1088" t="s">
        <v>38</v>
      </c>
      <c r="F1088">
        <v>226</v>
      </c>
      <c r="G1088" t="s">
        <v>54</v>
      </c>
      <c r="H1088" t="s">
        <v>93</v>
      </c>
    </row>
    <row r="1089" spans="1:8" x14ac:dyDescent="0.3">
      <c r="A1089" t="s">
        <v>1618</v>
      </c>
      <c r="B1089" t="s">
        <v>93</v>
      </c>
      <c r="C1089">
        <v>2026</v>
      </c>
      <c r="D1089" t="s">
        <v>1598</v>
      </c>
      <c r="E1089" t="s">
        <v>38</v>
      </c>
      <c r="F1089">
        <v>2359887.172166571</v>
      </c>
      <c r="G1089" t="s">
        <v>36</v>
      </c>
      <c r="H1089" t="s">
        <v>93</v>
      </c>
    </row>
    <row r="1090" spans="1:8" x14ac:dyDescent="0.3">
      <c r="A1090" t="s">
        <v>1619</v>
      </c>
      <c r="B1090" t="s">
        <v>94</v>
      </c>
      <c r="C1090">
        <v>2026</v>
      </c>
      <c r="D1090" t="s">
        <v>1620</v>
      </c>
      <c r="E1090" t="s">
        <v>53</v>
      </c>
      <c r="F1090">
        <v>0</v>
      </c>
      <c r="G1090" t="s">
        <v>30</v>
      </c>
      <c r="H1090" t="s">
        <v>94</v>
      </c>
    </row>
    <row r="1091" spans="1:8" x14ac:dyDescent="0.3">
      <c r="A1091" t="s">
        <v>1621</v>
      </c>
      <c r="B1091" t="s">
        <v>94</v>
      </c>
      <c r="C1091">
        <v>2026</v>
      </c>
      <c r="D1091" t="s">
        <v>1620</v>
      </c>
      <c r="E1091" t="s">
        <v>53</v>
      </c>
      <c r="F1091">
        <v>0</v>
      </c>
      <c r="G1091" t="s">
        <v>54</v>
      </c>
      <c r="H1091" t="s">
        <v>94</v>
      </c>
    </row>
    <row r="1092" spans="1:8" x14ac:dyDescent="0.3">
      <c r="A1092" t="s">
        <v>1622</v>
      </c>
      <c r="B1092" t="s">
        <v>94</v>
      </c>
      <c r="C1092">
        <v>2026</v>
      </c>
      <c r="D1092" t="s">
        <v>1620</v>
      </c>
      <c r="E1092" t="s">
        <v>53</v>
      </c>
      <c r="F1092">
        <v>0</v>
      </c>
      <c r="G1092" t="s">
        <v>36</v>
      </c>
      <c r="H1092" t="s">
        <v>94</v>
      </c>
    </row>
    <row r="1093" spans="1:8" x14ac:dyDescent="0.3">
      <c r="A1093" t="s">
        <v>1623</v>
      </c>
      <c r="B1093" t="s">
        <v>94</v>
      </c>
      <c r="C1093">
        <v>2026</v>
      </c>
      <c r="D1093" t="s">
        <v>1620</v>
      </c>
      <c r="E1093" t="s">
        <v>63</v>
      </c>
      <c r="F1093">
        <v>0</v>
      </c>
      <c r="G1093" t="s">
        <v>30</v>
      </c>
      <c r="H1093" t="s">
        <v>94</v>
      </c>
    </row>
    <row r="1094" spans="1:8" x14ac:dyDescent="0.3">
      <c r="A1094" t="s">
        <v>1624</v>
      </c>
      <c r="B1094" t="s">
        <v>94</v>
      </c>
      <c r="C1094">
        <v>2026</v>
      </c>
      <c r="D1094" t="s">
        <v>1620</v>
      </c>
      <c r="E1094" t="s">
        <v>63</v>
      </c>
      <c r="F1094">
        <v>0</v>
      </c>
      <c r="G1094" t="s">
        <v>54</v>
      </c>
      <c r="H1094" t="s">
        <v>94</v>
      </c>
    </row>
    <row r="1095" spans="1:8" x14ac:dyDescent="0.3">
      <c r="A1095" t="s">
        <v>1625</v>
      </c>
      <c r="B1095" t="s">
        <v>94</v>
      </c>
      <c r="C1095">
        <v>2026</v>
      </c>
      <c r="D1095" t="s">
        <v>1620</v>
      </c>
      <c r="E1095" t="s">
        <v>63</v>
      </c>
      <c r="F1095">
        <v>0</v>
      </c>
      <c r="G1095" t="s">
        <v>36</v>
      </c>
      <c r="H1095" t="s">
        <v>94</v>
      </c>
    </row>
    <row r="1096" spans="1:8" x14ac:dyDescent="0.3">
      <c r="A1096" t="s">
        <v>1626</v>
      </c>
      <c r="B1096" t="s">
        <v>94</v>
      </c>
      <c r="C1096">
        <v>2026</v>
      </c>
      <c r="D1096" t="s">
        <v>1620</v>
      </c>
      <c r="E1096" t="s">
        <v>3</v>
      </c>
      <c r="F1096">
        <v>0</v>
      </c>
      <c r="G1096" t="s">
        <v>30</v>
      </c>
      <c r="H1096" t="s">
        <v>94</v>
      </c>
    </row>
    <row r="1097" spans="1:8" x14ac:dyDescent="0.3">
      <c r="A1097" t="s">
        <v>1627</v>
      </c>
      <c r="B1097" t="s">
        <v>94</v>
      </c>
      <c r="C1097">
        <v>2026</v>
      </c>
      <c r="D1097" t="s">
        <v>1620</v>
      </c>
      <c r="E1097" t="s">
        <v>3</v>
      </c>
      <c r="F1097">
        <v>0</v>
      </c>
      <c r="G1097" t="s">
        <v>54</v>
      </c>
      <c r="H1097" t="s">
        <v>94</v>
      </c>
    </row>
    <row r="1098" spans="1:8" x14ac:dyDescent="0.3">
      <c r="A1098" t="s">
        <v>1628</v>
      </c>
      <c r="B1098" t="s">
        <v>94</v>
      </c>
      <c r="C1098">
        <v>2026</v>
      </c>
      <c r="D1098" t="s">
        <v>1620</v>
      </c>
      <c r="E1098" t="s">
        <v>3</v>
      </c>
      <c r="F1098">
        <v>0</v>
      </c>
      <c r="G1098" t="s">
        <v>36</v>
      </c>
      <c r="H1098" t="s">
        <v>94</v>
      </c>
    </row>
    <row r="1099" spans="1:8" x14ac:dyDescent="0.3">
      <c r="A1099" t="s">
        <v>1629</v>
      </c>
      <c r="B1099" t="s">
        <v>94</v>
      </c>
      <c r="C1099">
        <v>2026</v>
      </c>
      <c r="D1099" t="s">
        <v>1620</v>
      </c>
      <c r="E1099" t="s">
        <v>2</v>
      </c>
      <c r="F1099">
        <v>5734.3093763440856</v>
      </c>
      <c r="G1099" t="s">
        <v>30</v>
      </c>
      <c r="H1099" t="s">
        <v>94</v>
      </c>
    </row>
    <row r="1100" spans="1:8" x14ac:dyDescent="0.3">
      <c r="A1100" t="s">
        <v>1630</v>
      </c>
      <c r="B1100" t="s">
        <v>94</v>
      </c>
      <c r="C1100">
        <v>2026</v>
      </c>
      <c r="D1100" t="s">
        <v>1620</v>
      </c>
      <c r="E1100" t="s">
        <v>2</v>
      </c>
      <c r="F1100">
        <v>324</v>
      </c>
      <c r="G1100" t="s">
        <v>54</v>
      </c>
      <c r="H1100" t="s">
        <v>94</v>
      </c>
    </row>
    <row r="1101" spans="1:8" x14ac:dyDescent="0.3">
      <c r="A1101" t="s">
        <v>1631</v>
      </c>
      <c r="B1101" t="s">
        <v>94</v>
      </c>
      <c r="C1101">
        <v>2026</v>
      </c>
      <c r="D1101" t="s">
        <v>1620</v>
      </c>
      <c r="E1101" t="s">
        <v>2</v>
      </c>
      <c r="F1101">
        <v>1857916.2379354837</v>
      </c>
      <c r="G1101" t="s">
        <v>36</v>
      </c>
      <c r="H1101" t="s">
        <v>94</v>
      </c>
    </row>
    <row r="1102" spans="1:8" x14ac:dyDescent="0.3">
      <c r="A1102" t="s">
        <v>1632</v>
      </c>
      <c r="B1102" t="s">
        <v>94</v>
      </c>
      <c r="C1102">
        <v>2026</v>
      </c>
      <c r="D1102" t="s">
        <v>1620</v>
      </c>
      <c r="E1102" t="s">
        <v>1</v>
      </c>
      <c r="F1102">
        <v>0</v>
      </c>
      <c r="G1102" t="s">
        <v>30</v>
      </c>
      <c r="H1102" t="s">
        <v>94</v>
      </c>
    </row>
    <row r="1103" spans="1:8" x14ac:dyDescent="0.3">
      <c r="A1103" t="s">
        <v>1633</v>
      </c>
      <c r="B1103" t="s">
        <v>94</v>
      </c>
      <c r="C1103">
        <v>2026</v>
      </c>
      <c r="D1103" t="s">
        <v>1620</v>
      </c>
      <c r="E1103" t="s">
        <v>1</v>
      </c>
      <c r="F1103">
        <v>0</v>
      </c>
      <c r="G1103" t="s">
        <v>54</v>
      </c>
      <c r="H1103" t="s">
        <v>94</v>
      </c>
    </row>
    <row r="1104" spans="1:8" x14ac:dyDescent="0.3">
      <c r="A1104" t="s">
        <v>1634</v>
      </c>
      <c r="B1104" t="s">
        <v>94</v>
      </c>
      <c r="C1104">
        <v>2026</v>
      </c>
      <c r="D1104" t="s">
        <v>1620</v>
      </c>
      <c r="E1104" t="s">
        <v>1</v>
      </c>
      <c r="F1104">
        <v>0</v>
      </c>
      <c r="G1104" t="s">
        <v>36</v>
      </c>
      <c r="H1104" t="s">
        <v>94</v>
      </c>
    </row>
    <row r="1105" spans="1:8" x14ac:dyDescent="0.3">
      <c r="A1105" t="s">
        <v>2018</v>
      </c>
      <c r="B1105" t="s">
        <v>94</v>
      </c>
      <c r="C1105">
        <v>2026</v>
      </c>
      <c r="D1105" t="s">
        <v>1620</v>
      </c>
      <c r="E1105" t="s">
        <v>1885</v>
      </c>
      <c r="F1105">
        <v>8098.3248930006521</v>
      </c>
      <c r="G1105" t="s">
        <v>30</v>
      </c>
      <c r="H1105" t="s">
        <v>94</v>
      </c>
    </row>
    <row r="1106" spans="1:8" x14ac:dyDescent="0.3">
      <c r="A1106" t="s">
        <v>2019</v>
      </c>
      <c r="B1106" t="s">
        <v>94</v>
      </c>
      <c r="C1106">
        <v>2026</v>
      </c>
      <c r="D1106" t="s">
        <v>1620</v>
      </c>
      <c r="E1106" t="s">
        <v>1885</v>
      </c>
      <c r="F1106">
        <v>445</v>
      </c>
      <c r="G1106" t="s">
        <v>54</v>
      </c>
      <c r="H1106" t="s">
        <v>94</v>
      </c>
    </row>
    <row r="1107" spans="1:8" x14ac:dyDescent="0.3">
      <c r="A1107" t="s">
        <v>2020</v>
      </c>
      <c r="B1107" t="s">
        <v>94</v>
      </c>
      <c r="C1107">
        <v>2026</v>
      </c>
      <c r="D1107" t="s">
        <v>1620</v>
      </c>
      <c r="E1107" t="s">
        <v>1885</v>
      </c>
      <c r="F1107">
        <v>3603754.5773852901</v>
      </c>
      <c r="G1107" t="s">
        <v>36</v>
      </c>
      <c r="H1107" t="s">
        <v>94</v>
      </c>
    </row>
    <row r="1108" spans="1:8" x14ac:dyDescent="0.3">
      <c r="A1108" t="s">
        <v>1635</v>
      </c>
      <c r="B1108" t="s">
        <v>94</v>
      </c>
      <c r="C1108">
        <v>2026</v>
      </c>
      <c r="D1108" t="s">
        <v>1620</v>
      </c>
      <c r="E1108" t="s">
        <v>4</v>
      </c>
      <c r="F1108">
        <v>8116.5643634803819</v>
      </c>
      <c r="G1108" t="s">
        <v>30</v>
      </c>
      <c r="H1108" t="s">
        <v>94</v>
      </c>
    </row>
    <row r="1109" spans="1:8" x14ac:dyDescent="0.3">
      <c r="A1109" t="s">
        <v>1636</v>
      </c>
      <c r="B1109" t="s">
        <v>94</v>
      </c>
      <c r="C1109">
        <v>2026</v>
      </c>
      <c r="D1109" t="s">
        <v>1620</v>
      </c>
      <c r="E1109" t="s">
        <v>4</v>
      </c>
      <c r="F1109">
        <v>444</v>
      </c>
      <c r="G1109" t="s">
        <v>54</v>
      </c>
      <c r="H1109" t="s">
        <v>94</v>
      </c>
    </row>
    <row r="1110" spans="1:8" x14ac:dyDescent="0.3">
      <c r="A1110" t="s">
        <v>1637</v>
      </c>
      <c r="B1110" t="s">
        <v>94</v>
      </c>
      <c r="C1110">
        <v>2026</v>
      </c>
      <c r="D1110" t="s">
        <v>1620</v>
      </c>
      <c r="E1110" t="s">
        <v>4</v>
      </c>
      <c r="F1110">
        <v>3603754.5773852896</v>
      </c>
      <c r="G1110" t="s">
        <v>36</v>
      </c>
      <c r="H1110" t="s">
        <v>94</v>
      </c>
    </row>
    <row r="1111" spans="1:8" x14ac:dyDescent="0.3">
      <c r="A1111" t="s">
        <v>1638</v>
      </c>
      <c r="B1111" t="s">
        <v>94</v>
      </c>
      <c r="C1111">
        <v>2026</v>
      </c>
      <c r="D1111" t="s">
        <v>1620</v>
      </c>
      <c r="E1111" t="s">
        <v>38</v>
      </c>
      <c r="F1111">
        <v>14548.652828748385</v>
      </c>
      <c r="G1111" t="s">
        <v>30</v>
      </c>
      <c r="H1111" t="s">
        <v>94</v>
      </c>
    </row>
    <row r="1112" spans="1:8" x14ac:dyDescent="0.3">
      <c r="A1112" t="s">
        <v>1639</v>
      </c>
      <c r="B1112" t="s">
        <v>94</v>
      </c>
      <c r="C1112">
        <v>2026</v>
      </c>
      <c r="D1112" t="s">
        <v>1620</v>
      </c>
      <c r="E1112" t="s">
        <v>38</v>
      </c>
      <c r="F1112">
        <v>120</v>
      </c>
      <c r="G1112" t="s">
        <v>54</v>
      </c>
      <c r="H1112" t="s">
        <v>94</v>
      </c>
    </row>
    <row r="1113" spans="1:8" x14ac:dyDescent="0.3">
      <c r="A1113" t="s">
        <v>1640</v>
      </c>
      <c r="B1113" t="s">
        <v>94</v>
      </c>
      <c r="C1113">
        <v>2026</v>
      </c>
      <c r="D1113" t="s">
        <v>1620</v>
      </c>
      <c r="E1113" t="s">
        <v>38</v>
      </c>
      <c r="F1113">
        <v>1745838.3394498061</v>
      </c>
      <c r="G1113" t="s">
        <v>36</v>
      </c>
      <c r="H1113" t="s">
        <v>94</v>
      </c>
    </row>
    <row r="1114" spans="1:8" x14ac:dyDescent="0.3">
      <c r="A1114" t="s">
        <v>1641</v>
      </c>
      <c r="B1114" t="s">
        <v>95</v>
      </c>
      <c r="C1114">
        <v>2026</v>
      </c>
      <c r="D1114" t="s">
        <v>1642</v>
      </c>
      <c r="E1114" t="s">
        <v>53</v>
      </c>
      <c r="F1114">
        <v>0</v>
      </c>
      <c r="G1114" t="s">
        <v>30</v>
      </c>
      <c r="H1114" t="s">
        <v>95</v>
      </c>
    </row>
    <row r="1115" spans="1:8" x14ac:dyDescent="0.3">
      <c r="A1115" t="s">
        <v>1643</v>
      </c>
      <c r="B1115" t="s">
        <v>95</v>
      </c>
      <c r="C1115">
        <v>2026</v>
      </c>
      <c r="D1115" t="s">
        <v>1642</v>
      </c>
      <c r="E1115" t="s">
        <v>53</v>
      </c>
      <c r="F1115">
        <v>0</v>
      </c>
      <c r="G1115" t="s">
        <v>54</v>
      </c>
      <c r="H1115" t="s">
        <v>95</v>
      </c>
    </row>
    <row r="1116" spans="1:8" x14ac:dyDescent="0.3">
      <c r="A1116" t="s">
        <v>1644</v>
      </c>
      <c r="B1116" t="s">
        <v>95</v>
      </c>
      <c r="C1116">
        <v>2026</v>
      </c>
      <c r="D1116" t="s">
        <v>1642</v>
      </c>
      <c r="E1116" t="s">
        <v>53</v>
      </c>
      <c r="F1116">
        <v>0</v>
      </c>
      <c r="G1116" t="s">
        <v>36</v>
      </c>
      <c r="H1116" t="s">
        <v>95</v>
      </c>
    </row>
    <row r="1117" spans="1:8" x14ac:dyDescent="0.3">
      <c r="A1117" t="s">
        <v>1645</v>
      </c>
      <c r="B1117" t="s">
        <v>95</v>
      </c>
      <c r="C1117">
        <v>2026</v>
      </c>
      <c r="D1117" t="s">
        <v>1642</v>
      </c>
      <c r="E1117" t="s">
        <v>63</v>
      </c>
      <c r="F1117">
        <v>0</v>
      </c>
      <c r="G1117" t="s">
        <v>30</v>
      </c>
      <c r="H1117" t="s">
        <v>95</v>
      </c>
    </row>
    <row r="1118" spans="1:8" x14ac:dyDescent="0.3">
      <c r="A1118" t="s">
        <v>1646</v>
      </c>
      <c r="B1118" t="s">
        <v>95</v>
      </c>
      <c r="C1118">
        <v>2026</v>
      </c>
      <c r="D1118" t="s">
        <v>1642</v>
      </c>
      <c r="E1118" t="s">
        <v>63</v>
      </c>
      <c r="F1118">
        <v>0</v>
      </c>
      <c r="G1118" t="s">
        <v>54</v>
      </c>
      <c r="H1118" t="s">
        <v>95</v>
      </c>
    </row>
    <row r="1119" spans="1:8" x14ac:dyDescent="0.3">
      <c r="A1119" t="s">
        <v>1647</v>
      </c>
      <c r="B1119" t="s">
        <v>95</v>
      </c>
      <c r="C1119">
        <v>2026</v>
      </c>
      <c r="D1119" t="s">
        <v>1642</v>
      </c>
      <c r="E1119" t="s">
        <v>63</v>
      </c>
      <c r="F1119">
        <v>0</v>
      </c>
      <c r="G1119" t="s">
        <v>36</v>
      </c>
      <c r="H1119" t="s">
        <v>95</v>
      </c>
    </row>
    <row r="1120" spans="1:8" x14ac:dyDescent="0.3">
      <c r="A1120" t="s">
        <v>1648</v>
      </c>
      <c r="B1120" t="s">
        <v>95</v>
      </c>
      <c r="C1120">
        <v>2026</v>
      </c>
      <c r="D1120" t="s">
        <v>1642</v>
      </c>
      <c r="E1120" t="s">
        <v>3</v>
      </c>
      <c r="F1120">
        <v>0</v>
      </c>
      <c r="G1120" t="s">
        <v>30</v>
      </c>
      <c r="H1120" t="s">
        <v>95</v>
      </c>
    </row>
    <row r="1121" spans="1:8" x14ac:dyDescent="0.3">
      <c r="A1121" t="s">
        <v>1649</v>
      </c>
      <c r="B1121" t="s">
        <v>95</v>
      </c>
      <c r="C1121">
        <v>2026</v>
      </c>
      <c r="D1121" t="s">
        <v>1642</v>
      </c>
      <c r="E1121" t="s">
        <v>3</v>
      </c>
      <c r="F1121">
        <v>0</v>
      </c>
      <c r="G1121" t="s">
        <v>54</v>
      </c>
      <c r="H1121" t="s">
        <v>95</v>
      </c>
    </row>
    <row r="1122" spans="1:8" x14ac:dyDescent="0.3">
      <c r="A1122" t="s">
        <v>1650</v>
      </c>
      <c r="B1122" t="s">
        <v>95</v>
      </c>
      <c r="C1122">
        <v>2026</v>
      </c>
      <c r="D1122" t="s">
        <v>1642</v>
      </c>
      <c r="E1122" t="s">
        <v>3</v>
      </c>
      <c r="F1122">
        <v>0</v>
      </c>
      <c r="G1122" t="s">
        <v>36</v>
      </c>
      <c r="H1122" t="s">
        <v>95</v>
      </c>
    </row>
    <row r="1123" spans="1:8" x14ac:dyDescent="0.3">
      <c r="A1123" t="s">
        <v>1651</v>
      </c>
      <c r="B1123" t="s">
        <v>95</v>
      </c>
      <c r="C1123">
        <v>2026</v>
      </c>
      <c r="D1123" t="s">
        <v>1642</v>
      </c>
      <c r="E1123" t="s">
        <v>2</v>
      </c>
      <c r="F1123">
        <v>7457.149924926689</v>
      </c>
      <c r="G1123" t="s">
        <v>30</v>
      </c>
      <c r="H1123" t="s">
        <v>95</v>
      </c>
    </row>
    <row r="1124" spans="1:8" x14ac:dyDescent="0.3">
      <c r="A1124" t="s">
        <v>1652</v>
      </c>
      <c r="B1124" t="s">
        <v>95</v>
      </c>
      <c r="C1124">
        <v>2026</v>
      </c>
      <c r="D1124" t="s">
        <v>1642</v>
      </c>
      <c r="E1124" t="s">
        <v>2</v>
      </c>
      <c r="F1124">
        <v>264</v>
      </c>
      <c r="G1124" t="s">
        <v>54</v>
      </c>
      <c r="H1124" t="s">
        <v>95</v>
      </c>
    </row>
    <row r="1125" spans="1:8" x14ac:dyDescent="0.3">
      <c r="A1125" t="s">
        <v>1653</v>
      </c>
      <c r="B1125" t="s">
        <v>95</v>
      </c>
      <c r="C1125">
        <v>2026</v>
      </c>
      <c r="D1125" t="s">
        <v>1642</v>
      </c>
      <c r="E1125" t="s">
        <v>2</v>
      </c>
      <c r="F1125">
        <v>1968687.5801806459</v>
      </c>
      <c r="G1125" t="s">
        <v>36</v>
      </c>
      <c r="H1125" t="s">
        <v>95</v>
      </c>
    </row>
    <row r="1126" spans="1:8" x14ac:dyDescent="0.3">
      <c r="A1126" t="s">
        <v>1654</v>
      </c>
      <c r="B1126" t="s">
        <v>95</v>
      </c>
      <c r="C1126">
        <v>2026</v>
      </c>
      <c r="D1126" t="s">
        <v>1642</v>
      </c>
      <c r="E1126" t="s">
        <v>1</v>
      </c>
      <c r="F1126">
        <v>0</v>
      </c>
      <c r="G1126" t="s">
        <v>30</v>
      </c>
      <c r="H1126" t="s">
        <v>95</v>
      </c>
    </row>
    <row r="1127" spans="1:8" x14ac:dyDescent="0.3">
      <c r="A1127" t="s">
        <v>1655</v>
      </c>
      <c r="B1127" t="s">
        <v>95</v>
      </c>
      <c r="C1127">
        <v>2026</v>
      </c>
      <c r="D1127" t="s">
        <v>1642</v>
      </c>
      <c r="E1127" t="s">
        <v>1</v>
      </c>
      <c r="F1127">
        <v>0</v>
      </c>
      <c r="G1127" t="s">
        <v>54</v>
      </c>
      <c r="H1127" t="s">
        <v>95</v>
      </c>
    </row>
    <row r="1128" spans="1:8" x14ac:dyDescent="0.3">
      <c r="A1128" t="s">
        <v>1656</v>
      </c>
      <c r="B1128" t="s">
        <v>95</v>
      </c>
      <c r="C1128">
        <v>2026</v>
      </c>
      <c r="D1128" t="s">
        <v>1642</v>
      </c>
      <c r="E1128" t="s">
        <v>1</v>
      </c>
      <c r="F1128">
        <v>0</v>
      </c>
      <c r="G1128" t="s">
        <v>36</v>
      </c>
      <c r="H1128" t="s">
        <v>95</v>
      </c>
    </row>
    <row r="1129" spans="1:8" x14ac:dyDescent="0.3">
      <c r="A1129" t="s">
        <v>2021</v>
      </c>
      <c r="B1129" t="s">
        <v>95</v>
      </c>
      <c r="C1129">
        <v>2026</v>
      </c>
      <c r="D1129" t="s">
        <v>1642</v>
      </c>
      <c r="E1129" t="s">
        <v>1885</v>
      </c>
      <c r="F1129">
        <v>8485.9474471769845</v>
      </c>
      <c r="G1129" t="s">
        <v>30</v>
      </c>
      <c r="H1129" t="s">
        <v>95</v>
      </c>
    </row>
    <row r="1130" spans="1:8" x14ac:dyDescent="0.3">
      <c r="A1130" t="s">
        <v>2022</v>
      </c>
      <c r="B1130" t="s">
        <v>95</v>
      </c>
      <c r="C1130">
        <v>2026</v>
      </c>
      <c r="D1130" t="s">
        <v>1642</v>
      </c>
      <c r="E1130" t="s">
        <v>1885</v>
      </c>
      <c r="F1130">
        <v>444</v>
      </c>
      <c r="G1130" t="s">
        <v>54</v>
      </c>
      <c r="H1130" t="s">
        <v>95</v>
      </c>
    </row>
    <row r="1131" spans="1:8" x14ac:dyDescent="0.3">
      <c r="A1131" t="s">
        <v>2023</v>
      </c>
      <c r="B1131" t="s">
        <v>95</v>
      </c>
      <c r="C1131">
        <v>2026</v>
      </c>
      <c r="D1131" t="s">
        <v>1642</v>
      </c>
      <c r="E1131" t="s">
        <v>1885</v>
      </c>
      <c r="F1131">
        <v>3767760.6665465813</v>
      </c>
      <c r="G1131" t="s">
        <v>36</v>
      </c>
      <c r="H1131" t="s">
        <v>95</v>
      </c>
    </row>
    <row r="1132" spans="1:8" x14ac:dyDescent="0.3">
      <c r="A1132" t="s">
        <v>1657</v>
      </c>
      <c r="B1132" t="s">
        <v>95</v>
      </c>
      <c r="C1132">
        <v>2026</v>
      </c>
      <c r="D1132" t="s">
        <v>1642</v>
      </c>
      <c r="E1132" t="s">
        <v>4</v>
      </c>
      <c r="F1132">
        <v>8485.9474471769845</v>
      </c>
      <c r="G1132" t="s">
        <v>30</v>
      </c>
      <c r="H1132" t="s">
        <v>95</v>
      </c>
    </row>
    <row r="1133" spans="1:8" x14ac:dyDescent="0.3">
      <c r="A1133" t="s">
        <v>1658</v>
      </c>
      <c r="B1133" t="s">
        <v>95</v>
      </c>
      <c r="C1133">
        <v>2026</v>
      </c>
      <c r="D1133" t="s">
        <v>1642</v>
      </c>
      <c r="E1133" t="s">
        <v>4</v>
      </c>
      <c r="F1133">
        <v>444</v>
      </c>
      <c r="G1133" t="s">
        <v>54</v>
      </c>
      <c r="H1133" t="s">
        <v>95</v>
      </c>
    </row>
    <row r="1134" spans="1:8" x14ac:dyDescent="0.3">
      <c r="A1134" t="s">
        <v>1659</v>
      </c>
      <c r="B1134" t="s">
        <v>95</v>
      </c>
      <c r="C1134">
        <v>2026</v>
      </c>
      <c r="D1134" t="s">
        <v>1642</v>
      </c>
      <c r="E1134" t="s">
        <v>4</v>
      </c>
      <c r="F1134">
        <v>3767760.6665465813</v>
      </c>
      <c r="G1134" t="s">
        <v>36</v>
      </c>
      <c r="H1134" t="s">
        <v>95</v>
      </c>
    </row>
    <row r="1135" spans="1:8" x14ac:dyDescent="0.3">
      <c r="A1135" t="s">
        <v>1660</v>
      </c>
      <c r="B1135" t="s">
        <v>95</v>
      </c>
      <c r="C1135">
        <v>2026</v>
      </c>
      <c r="D1135" t="s">
        <v>1642</v>
      </c>
      <c r="E1135" t="s">
        <v>38</v>
      </c>
      <c r="F1135">
        <v>9994.8504798107515</v>
      </c>
      <c r="G1135" t="s">
        <v>30</v>
      </c>
      <c r="H1135" t="s">
        <v>95</v>
      </c>
    </row>
    <row r="1136" spans="1:8" x14ac:dyDescent="0.3">
      <c r="A1136" t="s">
        <v>1661</v>
      </c>
      <c r="B1136" t="s">
        <v>95</v>
      </c>
      <c r="C1136">
        <v>2026</v>
      </c>
      <c r="D1136" t="s">
        <v>1642</v>
      </c>
      <c r="E1136" t="s">
        <v>38</v>
      </c>
      <c r="F1136">
        <v>180</v>
      </c>
      <c r="G1136" t="s">
        <v>54</v>
      </c>
      <c r="H1136" t="s">
        <v>95</v>
      </c>
    </row>
    <row r="1137" spans="1:8" x14ac:dyDescent="0.3">
      <c r="A1137" t="s">
        <v>1662</v>
      </c>
      <c r="B1137" t="s">
        <v>95</v>
      </c>
      <c r="C1137">
        <v>2026</v>
      </c>
      <c r="D1137" t="s">
        <v>1642</v>
      </c>
      <c r="E1137" t="s">
        <v>38</v>
      </c>
      <c r="F1137">
        <v>1799073.0863659354</v>
      </c>
      <c r="G1137" t="s">
        <v>36</v>
      </c>
      <c r="H1137" t="s">
        <v>95</v>
      </c>
    </row>
    <row r="1138" spans="1:8" x14ac:dyDescent="0.3">
      <c r="A1138" t="s">
        <v>1663</v>
      </c>
      <c r="B1138" t="s">
        <v>96</v>
      </c>
      <c r="C1138">
        <v>2026</v>
      </c>
      <c r="D1138" t="s">
        <v>1664</v>
      </c>
      <c r="E1138" t="s">
        <v>53</v>
      </c>
      <c r="F1138">
        <v>0</v>
      </c>
      <c r="G1138" t="s">
        <v>30</v>
      </c>
      <c r="H1138" t="s">
        <v>96</v>
      </c>
    </row>
    <row r="1139" spans="1:8" x14ac:dyDescent="0.3">
      <c r="A1139" t="s">
        <v>1665</v>
      </c>
      <c r="B1139" t="s">
        <v>96</v>
      </c>
      <c r="C1139">
        <v>2026</v>
      </c>
      <c r="D1139" t="s">
        <v>1664</v>
      </c>
      <c r="E1139" t="s">
        <v>53</v>
      </c>
      <c r="F1139">
        <v>0</v>
      </c>
      <c r="G1139" t="s">
        <v>54</v>
      </c>
      <c r="H1139" t="s">
        <v>96</v>
      </c>
    </row>
    <row r="1140" spans="1:8" x14ac:dyDescent="0.3">
      <c r="A1140" t="s">
        <v>1666</v>
      </c>
      <c r="B1140" t="s">
        <v>96</v>
      </c>
      <c r="C1140">
        <v>2026</v>
      </c>
      <c r="D1140" t="s">
        <v>1664</v>
      </c>
      <c r="E1140" t="s">
        <v>53</v>
      </c>
      <c r="F1140">
        <v>0</v>
      </c>
      <c r="G1140" t="s">
        <v>36</v>
      </c>
      <c r="H1140" t="s">
        <v>96</v>
      </c>
    </row>
    <row r="1141" spans="1:8" x14ac:dyDescent="0.3">
      <c r="A1141" t="s">
        <v>1667</v>
      </c>
      <c r="B1141" t="s">
        <v>96</v>
      </c>
      <c r="C1141">
        <v>2026</v>
      </c>
      <c r="D1141" t="s">
        <v>1664</v>
      </c>
      <c r="E1141" t="s">
        <v>63</v>
      </c>
      <c r="F1141">
        <v>0</v>
      </c>
      <c r="G1141" t="s">
        <v>30</v>
      </c>
      <c r="H1141" t="s">
        <v>96</v>
      </c>
    </row>
    <row r="1142" spans="1:8" x14ac:dyDescent="0.3">
      <c r="A1142" t="s">
        <v>1668</v>
      </c>
      <c r="B1142" t="s">
        <v>96</v>
      </c>
      <c r="C1142">
        <v>2026</v>
      </c>
      <c r="D1142" t="s">
        <v>1664</v>
      </c>
      <c r="E1142" t="s">
        <v>63</v>
      </c>
      <c r="F1142">
        <v>0</v>
      </c>
      <c r="G1142" t="s">
        <v>54</v>
      </c>
      <c r="H1142" t="s">
        <v>96</v>
      </c>
    </row>
    <row r="1143" spans="1:8" x14ac:dyDescent="0.3">
      <c r="A1143" t="s">
        <v>1669</v>
      </c>
      <c r="B1143" t="s">
        <v>96</v>
      </c>
      <c r="C1143">
        <v>2026</v>
      </c>
      <c r="D1143" t="s">
        <v>1664</v>
      </c>
      <c r="E1143" t="s">
        <v>63</v>
      </c>
      <c r="F1143">
        <v>0</v>
      </c>
      <c r="G1143" t="s">
        <v>36</v>
      </c>
      <c r="H1143" t="s">
        <v>96</v>
      </c>
    </row>
    <row r="1144" spans="1:8" x14ac:dyDescent="0.3">
      <c r="A1144" t="s">
        <v>1670</v>
      </c>
      <c r="B1144" t="s">
        <v>96</v>
      </c>
      <c r="C1144">
        <v>2026</v>
      </c>
      <c r="D1144" t="s">
        <v>1664</v>
      </c>
      <c r="E1144" t="s">
        <v>3</v>
      </c>
      <c r="F1144">
        <v>0</v>
      </c>
      <c r="G1144" t="s">
        <v>30</v>
      </c>
      <c r="H1144" t="s">
        <v>96</v>
      </c>
    </row>
    <row r="1145" spans="1:8" x14ac:dyDescent="0.3">
      <c r="A1145" t="s">
        <v>1671</v>
      </c>
      <c r="B1145" t="s">
        <v>96</v>
      </c>
      <c r="C1145">
        <v>2026</v>
      </c>
      <c r="D1145" t="s">
        <v>1664</v>
      </c>
      <c r="E1145" t="s">
        <v>3</v>
      </c>
      <c r="F1145">
        <v>0</v>
      </c>
      <c r="G1145" t="s">
        <v>54</v>
      </c>
      <c r="H1145" t="s">
        <v>96</v>
      </c>
    </row>
    <row r="1146" spans="1:8" x14ac:dyDescent="0.3">
      <c r="A1146" t="s">
        <v>1672</v>
      </c>
      <c r="B1146" t="s">
        <v>96</v>
      </c>
      <c r="C1146">
        <v>2026</v>
      </c>
      <c r="D1146" t="s">
        <v>1664</v>
      </c>
      <c r="E1146" t="s">
        <v>3</v>
      </c>
      <c r="F1146">
        <v>0</v>
      </c>
      <c r="G1146" t="s">
        <v>36</v>
      </c>
      <c r="H1146" t="s">
        <v>96</v>
      </c>
    </row>
    <row r="1147" spans="1:8" x14ac:dyDescent="0.3">
      <c r="A1147" t="s">
        <v>1673</v>
      </c>
      <c r="B1147" t="s">
        <v>96</v>
      </c>
      <c r="C1147">
        <v>2026</v>
      </c>
      <c r="D1147" t="s">
        <v>1664</v>
      </c>
      <c r="E1147" t="s">
        <v>2</v>
      </c>
      <c r="F1147">
        <v>7539.112055299539</v>
      </c>
      <c r="G1147" t="s">
        <v>30</v>
      </c>
      <c r="H1147" t="s">
        <v>96</v>
      </c>
    </row>
    <row r="1148" spans="1:8" x14ac:dyDescent="0.3">
      <c r="A1148" t="s">
        <v>1674</v>
      </c>
      <c r="B1148" t="s">
        <v>96</v>
      </c>
      <c r="C1148">
        <v>2026</v>
      </c>
      <c r="D1148" t="s">
        <v>1664</v>
      </c>
      <c r="E1148" t="s">
        <v>2</v>
      </c>
      <c r="F1148">
        <v>651</v>
      </c>
      <c r="G1148" t="s">
        <v>54</v>
      </c>
      <c r="H1148" t="s">
        <v>96</v>
      </c>
    </row>
    <row r="1149" spans="1:8" x14ac:dyDescent="0.3">
      <c r="A1149" t="s">
        <v>1675</v>
      </c>
      <c r="B1149" t="s">
        <v>96</v>
      </c>
      <c r="C1149">
        <v>2026</v>
      </c>
      <c r="D1149" t="s">
        <v>1664</v>
      </c>
      <c r="E1149" t="s">
        <v>2</v>
      </c>
      <c r="F1149">
        <v>4907961.9479999999</v>
      </c>
      <c r="G1149" t="s">
        <v>36</v>
      </c>
      <c r="H1149" t="s">
        <v>96</v>
      </c>
    </row>
    <row r="1150" spans="1:8" x14ac:dyDescent="0.3">
      <c r="A1150" t="s">
        <v>1676</v>
      </c>
      <c r="B1150" t="s">
        <v>96</v>
      </c>
      <c r="C1150">
        <v>2026</v>
      </c>
      <c r="D1150" t="s">
        <v>1664</v>
      </c>
      <c r="E1150" t="s">
        <v>1</v>
      </c>
      <c r="F1150">
        <v>0</v>
      </c>
      <c r="G1150" t="s">
        <v>30</v>
      </c>
      <c r="H1150" t="s">
        <v>96</v>
      </c>
    </row>
    <row r="1151" spans="1:8" x14ac:dyDescent="0.3">
      <c r="A1151" t="s">
        <v>1677</v>
      </c>
      <c r="B1151" t="s">
        <v>96</v>
      </c>
      <c r="C1151">
        <v>2026</v>
      </c>
      <c r="D1151" t="s">
        <v>1664</v>
      </c>
      <c r="E1151" t="s">
        <v>1</v>
      </c>
      <c r="F1151">
        <v>0</v>
      </c>
      <c r="G1151" t="s">
        <v>54</v>
      </c>
      <c r="H1151" t="s">
        <v>96</v>
      </c>
    </row>
    <row r="1152" spans="1:8" x14ac:dyDescent="0.3">
      <c r="A1152" t="s">
        <v>1678</v>
      </c>
      <c r="B1152" t="s">
        <v>96</v>
      </c>
      <c r="C1152">
        <v>2026</v>
      </c>
      <c r="D1152" t="s">
        <v>1664</v>
      </c>
      <c r="E1152" t="s">
        <v>1</v>
      </c>
      <c r="F1152">
        <v>0</v>
      </c>
      <c r="G1152" t="s">
        <v>36</v>
      </c>
      <c r="H1152" t="s">
        <v>96</v>
      </c>
    </row>
    <row r="1153" spans="1:8" x14ac:dyDescent="0.3">
      <c r="A1153" t="s">
        <v>2024</v>
      </c>
      <c r="B1153" t="s">
        <v>96</v>
      </c>
      <c r="C1153">
        <v>2026</v>
      </c>
      <c r="D1153" t="s">
        <v>1664</v>
      </c>
      <c r="E1153" t="s">
        <v>1885</v>
      </c>
      <c r="F1153">
        <v>8182.9023590921752</v>
      </c>
      <c r="G1153" t="s">
        <v>30</v>
      </c>
      <c r="H1153" t="s">
        <v>96</v>
      </c>
    </row>
    <row r="1154" spans="1:8" x14ac:dyDescent="0.3">
      <c r="A1154" t="s">
        <v>2025</v>
      </c>
      <c r="B1154" t="s">
        <v>96</v>
      </c>
      <c r="C1154">
        <v>2026</v>
      </c>
      <c r="D1154" t="s">
        <v>1664</v>
      </c>
      <c r="E1154" t="s">
        <v>1885</v>
      </c>
      <c r="F1154">
        <v>418</v>
      </c>
      <c r="G1154" t="s">
        <v>54</v>
      </c>
      <c r="H1154" t="s">
        <v>96</v>
      </c>
    </row>
    <row r="1155" spans="1:8" x14ac:dyDescent="0.3">
      <c r="A1155" t="s">
        <v>2026</v>
      </c>
      <c r="B1155" t="s">
        <v>96</v>
      </c>
      <c r="C1155">
        <v>2026</v>
      </c>
      <c r="D1155" t="s">
        <v>1664</v>
      </c>
      <c r="E1155" t="s">
        <v>1885</v>
      </c>
      <c r="F1155">
        <v>3420453.186100529</v>
      </c>
      <c r="G1155" t="s">
        <v>36</v>
      </c>
      <c r="H1155" t="s">
        <v>96</v>
      </c>
    </row>
    <row r="1156" spans="1:8" x14ac:dyDescent="0.3">
      <c r="A1156" t="s">
        <v>1679</v>
      </c>
      <c r="B1156" t="s">
        <v>96</v>
      </c>
      <c r="C1156">
        <v>2026</v>
      </c>
      <c r="D1156" t="s">
        <v>1664</v>
      </c>
      <c r="E1156" t="s">
        <v>4</v>
      </c>
      <c r="F1156">
        <v>7844.5043226300213</v>
      </c>
      <c r="G1156" t="s">
        <v>30</v>
      </c>
      <c r="H1156" t="s">
        <v>96</v>
      </c>
    </row>
    <row r="1157" spans="1:8" x14ac:dyDescent="0.3">
      <c r="A1157" t="s">
        <v>1680</v>
      </c>
      <c r="B1157" t="s">
        <v>96</v>
      </c>
      <c r="C1157">
        <v>2026</v>
      </c>
      <c r="D1157" t="s">
        <v>1664</v>
      </c>
      <c r="E1157" t="s">
        <v>4</v>
      </c>
      <c r="F1157">
        <v>806</v>
      </c>
      <c r="G1157" t="s">
        <v>54</v>
      </c>
      <c r="H1157" t="s">
        <v>96</v>
      </c>
    </row>
    <row r="1158" spans="1:8" x14ac:dyDescent="0.3">
      <c r="A1158" t="s">
        <v>1681</v>
      </c>
      <c r="B1158" t="s">
        <v>96</v>
      </c>
      <c r="C1158">
        <v>2026</v>
      </c>
      <c r="D1158" t="s">
        <v>1664</v>
      </c>
      <c r="E1158" t="s">
        <v>4</v>
      </c>
      <c r="F1158">
        <v>6322670.4840397974</v>
      </c>
      <c r="G1158" t="s">
        <v>36</v>
      </c>
      <c r="H1158" t="s">
        <v>96</v>
      </c>
    </row>
    <row r="1159" spans="1:8" x14ac:dyDescent="0.3">
      <c r="A1159" t="s">
        <v>1682</v>
      </c>
      <c r="B1159" t="s">
        <v>96</v>
      </c>
      <c r="C1159">
        <v>2026</v>
      </c>
      <c r="D1159" t="s">
        <v>1664</v>
      </c>
      <c r="E1159" t="s">
        <v>38</v>
      </c>
      <c r="F1159">
        <v>9127.1518454180477</v>
      </c>
      <c r="G1159" t="s">
        <v>30</v>
      </c>
      <c r="H1159" t="s">
        <v>96</v>
      </c>
    </row>
    <row r="1160" spans="1:8" x14ac:dyDescent="0.3">
      <c r="A1160" t="s">
        <v>1683</v>
      </c>
      <c r="B1160" t="s">
        <v>96</v>
      </c>
      <c r="C1160">
        <v>2026</v>
      </c>
      <c r="D1160" t="s">
        <v>1664</v>
      </c>
      <c r="E1160" t="s">
        <v>38</v>
      </c>
      <c r="F1160">
        <v>155</v>
      </c>
      <c r="G1160" t="s">
        <v>54</v>
      </c>
      <c r="H1160" t="s">
        <v>96</v>
      </c>
    </row>
    <row r="1161" spans="1:8" x14ac:dyDescent="0.3">
      <c r="A1161" t="s">
        <v>1684</v>
      </c>
      <c r="B1161" t="s">
        <v>96</v>
      </c>
      <c r="C1161">
        <v>2026</v>
      </c>
      <c r="D1161" t="s">
        <v>1664</v>
      </c>
      <c r="E1161" t="s">
        <v>38</v>
      </c>
      <c r="F1161">
        <v>1414708.5360397974</v>
      </c>
      <c r="G1161" t="s">
        <v>36</v>
      </c>
      <c r="H1161" t="s">
        <v>96</v>
      </c>
    </row>
    <row r="1162" spans="1:8" x14ac:dyDescent="0.3">
      <c r="A1162" t="s">
        <v>1685</v>
      </c>
      <c r="B1162" t="s">
        <v>97</v>
      </c>
      <c r="C1162">
        <v>2026</v>
      </c>
      <c r="D1162" t="s">
        <v>1686</v>
      </c>
      <c r="E1162" t="s">
        <v>53</v>
      </c>
      <c r="F1162">
        <v>0</v>
      </c>
      <c r="G1162" t="s">
        <v>30</v>
      </c>
      <c r="H1162" t="s">
        <v>97</v>
      </c>
    </row>
    <row r="1163" spans="1:8" x14ac:dyDescent="0.3">
      <c r="A1163" t="s">
        <v>1687</v>
      </c>
      <c r="B1163" t="s">
        <v>97</v>
      </c>
      <c r="C1163">
        <v>2026</v>
      </c>
      <c r="D1163" t="s">
        <v>1686</v>
      </c>
      <c r="E1163" t="s">
        <v>53</v>
      </c>
      <c r="F1163">
        <v>0</v>
      </c>
      <c r="G1163" t="s">
        <v>54</v>
      </c>
      <c r="H1163" t="s">
        <v>97</v>
      </c>
    </row>
    <row r="1164" spans="1:8" x14ac:dyDescent="0.3">
      <c r="A1164" t="s">
        <v>1688</v>
      </c>
      <c r="B1164" t="s">
        <v>97</v>
      </c>
      <c r="C1164">
        <v>2026</v>
      </c>
      <c r="D1164" t="s">
        <v>1686</v>
      </c>
      <c r="E1164" t="s">
        <v>53</v>
      </c>
      <c r="F1164">
        <v>0</v>
      </c>
      <c r="G1164" t="s">
        <v>36</v>
      </c>
      <c r="H1164" t="s">
        <v>97</v>
      </c>
    </row>
    <row r="1165" spans="1:8" x14ac:dyDescent="0.3">
      <c r="A1165" t="s">
        <v>1689</v>
      </c>
      <c r="B1165" t="s">
        <v>97</v>
      </c>
      <c r="C1165">
        <v>2026</v>
      </c>
      <c r="D1165" t="s">
        <v>1686</v>
      </c>
      <c r="E1165" t="s">
        <v>63</v>
      </c>
      <c r="F1165">
        <v>0</v>
      </c>
      <c r="G1165" t="s">
        <v>30</v>
      </c>
      <c r="H1165" t="s">
        <v>97</v>
      </c>
    </row>
    <row r="1166" spans="1:8" x14ac:dyDescent="0.3">
      <c r="A1166" t="s">
        <v>1690</v>
      </c>
      <c r="B1166" t="s">
        <v>97</v>
      </c>
      <c r="C1166">
        <v>2026</v>
      </c>
      <c r="D1166" t="s">
        <v>1686</v>
      </c>
      <c r="E1166" t="s">
        <v>63</v>
      </c>
      <c r="F1166">
        <v>0</v>
      </c>
      <c r="G1166" t="s">
        <v>54</v>
      </c>
      <c r="H1166" t="s">
        <v>97</v>
      </c>
    </row>
    <row r="1167" spans="1:8" x14ac:dyDescent="0.3">
      <c r="A1167" t="s">
        <v>1691</v>
      </c>
      <c r="B1167" t="s">
        <v>97</v>
      </c>
      <c r="C1167">
        <v>2026</v>
      </c>
      <c r="D1167" t="s">
        <v>1686</v>
      </c>
      <c r="E1167" t="s">
        <v>63</v>
      </c>
      <c r="F1167">
        <v>0</v>
      </c>
      <c r="G1167" t="s">
        <v>36</v>
      </c>
      <c r="H1167" t="s">
        <v>97</v>
      </c>
    </row>
    <row r="1168" spans="1:8" x14ac:dyDescent="0.3">
      <c r="A1168" t="s">
        <v>1692</v>
      </c>
      <c r="B1168" t="s">
        <v>97</v>
      </c>
      <c r="C1168">
        <v>2026</v>
      </c>
      <c r="D1168" t="s">
        <v>1686</v>
      </c>
      <c r="E1168" t="s">
        <v>3</v>
      </c>
      <c r="F1168">
        <v>0</v>
      </c>
      <c r="G1168" t="s">
        <v>30</v>
      </c>
      <c r="H1168" t="s">
        <v>97</v>
      </c>
    </row>
    <row r="1169" spans="1:8" x14ac:dyDescent="0.3">
      <c r="A1169" t="s">
        <v>1693</v>
      </c>
      <c r="B1169" t="s">
        <v>97</v>
      </c>
      <c r="C1169">
        <v>2026</v>
      </c>
      <c r="D1169" t="s">
        <v>1686</v>
      </c>
      <c r="E1169" t="s">
        <v>3</v>
      </c>
      <c r="F1169">
        <v>0</v>
      </c>
      <c r="G1169" t="s">
        <v>54</v>
      </c>
      <c r="H1169" t="s">
        <v>97</v>
      </c>
    </row>
    <row r="1170" spans="1:8" x14ac:dyDescent="0.3">
      <c r="A1170" t="s">
        <v>1694</v>
      </c>
      <c r="B1170" t="s">
        <v>97</v>
      </c>
      <c r="C1170">
        <v>2026</v>
      </c>
      <c r="D1170" t="s">
        <v>1686</v>
      </c>
      <c r="E1170" t="s">
        <v>3</v>
      </c>
      <c r="F1170">
        <v>0</v>
      </c>
      <c r="G1170" t="s">
        <v>36</v>
      </c>
      <c r="H1170" t="s">
        <v>97</v>
      </c>
    </row>
    <row r="1171" spans="1:8" x14ac:dyDescent="0.3">
      <c r="A1171" t="s">
        <v>1695</v>
      </c>
      <c r="B1171" t="s">
        <v>97</v>
      </c>
      <c r="C1171">
        <v>2026</v>
      </c>
      <c r="D1171" t="s">
        <v>1686</v>
      </c>
      <c r="E1171" t="s">
        <v>2</v>
      </c>
      <c r="F1171">
        <v>7891.0555413710244</v>
      </c>
      <c r="G1171" t="s">
        <v>30</v>
      </c>
      <c r="H1171" t="s">
        <v>97</v>
      </c>
    </row>
    <row r="1172" spans="1:8" x14ac:dyDescent="0.3">
      <c r="A1172" t="s">
        <v>1696</v>
      </c>
      <c r="B1172" t="s">
        <v>97</v>
      </c>
      <c r="C1172">
        <v>2026</v>
      </c>
      <c r="D1172" t="s">
        <v>1686</v>
      </c>
      <c r="E1172" t="s">
        <v>2</v>
      </c>
      <c r="F1172">
        <v>223</v>
      </c>
      <c r="G1172" t="s">
        <v>54</v>
      </c>
      <c r="H1172" t="s">
        <v>97</v>
      </c>
    </row>
    <row r="1173" spans="1:8" x14ac:dyDescent="0.3">
      <c r="A1173" t="s">
        <v>1697</v>
      </c>
      <c r="B1173" t="s">
        <v>97</v>
      </c>
      <c r="C1173">
        <v>2026</v>
      </c>
      <c r="D1173" t="s">
        <v>1686</v>
      </c>
      <c r="E1173" t="s">
        <v>2</v>
      </c>
      <c r="F1173">
        <v>1759705.3857257385</v>
      </c>
      <c r="G1173" t="s">
        <v>36</v>
      </c>
      <c r="H1173" t="s">
        <v>97</v>
      </c>
    </row>
    <row r="1174" spans="1:8" x14ac:dyDescent="0.3">
      <c r="A1174" t="s">
        <v>1698</v>
      </c>
      <c r="B1174" t="s">
        <v>97</v>
      </c>
      <c r="C1174">
        <v>2026</v>
      </c>
      <c r="D1174" t="s">
        <v>1686</v>
      </c>
      <c r="E1174" t="s">
        <v>1</v>
      </c>
      <c r="F1174">
        <v>0</v>
      </c>
      <c r="G1174" t="s">
        <v>30</v>
      </c>
      <c r="H1174" t="s">
        <v>97</v>
      </c>
    </row>
    <row r="1175" spans="1:8" x14ac:dyDescent="0.3">
      <c r="A1175" t="s">
        <v>1699</v>
      </c>
      <c r="B1175" t="s">
        <v>97</v>
      </c>
      <c r="C1175">
        <v>2026</v>
      </c>
      <c r="D1175" t="s">
        <v>1686</v>
      </c>
      <c r="E1175" t="s">
        <v>1</v>
      </c>
      <c r="F1175">
        <v>0</v>
      </c>
      <c r="G1175" t="s">
        <v>54</v>
      </c>
      <c r="H1175" t="s">
        <v>97</v>
      </c>
    </row>
    <row r="1176" spans="1:8" x14ac:dyDescent="0.3">
      <c r="A1176" t="s">
        <v>1700</v>
      </c>
      <c r="B1176" t="s">
        <v>97</v>
      </c>
      <c r="C1176">
        <v>2026</v>
      </c>
      <c r="D1176" t="s">
        <v>1686</v>
      </c>
      <c r="E1176" t="s">
        <v>1</v>
      </c>
      <c r="F1176">
        <v>0</v>
      </c>
      <c r="G1176" t="s">
        <v>36</v>
      </c>
      <c r="H1176" t="s">
        <v>97</v>
      </c>
    </row>
    <row r="1177" spans="1:8" x14ac:dyDescent="0.3">
      <c r="A1177" t="s">
        <v>2027</v>
      </c>
      <c r="B1177" t="s">
        <v>97</v>
      </c>
      <c r="C1177">
        <v>2026</v>
      </c>
      <c r="D1177" t="s">
        <v>1686</v>
      </c>
      <c r="E1177" t="s">
        <v>1885</v>
      </c>
      <c r="F1177">
        <v>8631.6925321374911</v>
      </c>
      <c r="G1177" t="s">
        <v>30</v>
      </c>
      <c r="H1177" t="s">
        <v>97</v>
      </c>
    </row>
    <row r="1178" spans="1:8" x14ac:dyDescent="0.3">
      <c r="A1178" t="s">
        <v>2028</v>
      </c>
      <c r="B1178" t="s">
        <v>97</v>
      </c>
      <c r="C1178">
        <v>2026</v>
      </c>
      <c r="D1178" t="s">
        <v>1686</v>
      </c>
      <c r="E1178" t="s">
        <v>1885</v>
      </c>
      <c r="F1178">
        <v>322</v>
      </c>
      <c r="G1178" t="s">
        <v>54</v>
      </c>
      <c r="H1178" t="s">
        <v>97</v>
      </c>
    </row>
    <row r="1179" spans="1:8" x14ac:dyDescent="0.3">
      <c r="A1179" t="s">
        <v>2029</v>
      </c>
      <c r="B1179" t="s">
        <v>97</v>
      </c>
      <c r="C1179">
        <v>2026</v>
      </c>
      <c r="D1179" t="s">
        <v>1686</v>
      </c>
      <c r="E1179" t="s">
        <v>1885</v>
      </c>
      <c r="F1179">
        <v>2779404.9953482724</v>
      </c>
      <c r="G1179" t="s">
        <v>36</v>
      </c>
      <c r="H1179" t="s">
        <v>97</v>
      </c>
    </row>
    <row r="1180" spans="1:8" x14ac:dyDescent="0.3">
      <c r="A1180" t="s">
        <v>1701</v>
      </c>
      <c r="B1180" t="s">
        <v>97</v>
      </c>
      <c r="C1180">
        <v>2026</v>
      </c>
      <c r="D1180" t="s">
        <v>1686</v>
      </c>
      <c r="E1180" t="s">
        <v>4</v>
      </c>
      <c r="F1180">
        <v>8696.2200167693372</v>
      </c>
      <c r="G1180" t="s">
        <v>30</v>
      </c>
      <c r="H1180" t="s">
        <v>97</v>
      </c>
    </row>
    <row r="1181" spans="1:8" x14ac:dyDescent="0.3">
      <c r="A1181" t="s">
        <v>1702</v>
      </c>
      <c r="B1181" t="s">
        <v>97</v>
      </c>
      <c r="C1181">
        <v>2026</v>
      </c>
      <c r="D1181" t="s">
        <v>1686</v>
      </c>
      <c r="E1181" t="s">
        <v>4</v>
      </c>
      <c r="F1181">
        <v>327</v>
      </c>
      <c r="G1181" t="s">
        <v>54</v>
      </c>
      <c r="H1181" t="s">
        <v>97</v>
      </c>
    </row>
    <row r="1182" spans="1:8" x14ac:dyDescent="0.3">
      <c r="A1182" t="s">
        <v>1703</v>
      </c>
      <c r="B1182" t="s">
        <v>97</v>
      </c>
      <c r="C1182">
        <v>2026</v>
      </c>
      <c r="D1182" t="s">
        <v>1686</v>
      </c>
      <c r="E1182" t="s">
        <v>4</v>
      </c>
      <c r="F1182">
        <v>2843663.9454835732</v>
      </c>
      <c r="G1182" t="s">
        <v>36</v>
      </c>
      <c r="H1182" t="s">
        <v>97</v>
      </c>
    </row>
    <row r="1183" spans="1:8" x14ac:dyDescent="0.3">
      <c r="A1183" t="s">
        <v>1704</v>
      </c>
      <c r="B1183" t="s">
        <v>97</v>
      </c>
      <c r="C1183">
        <v>2026</v>
      </c>
      <c r="D1183" t="s">
        <v>1686</v>
      </c>
      <c r="E1183" t="s">
        <v>38</v>
      </c>
      <c r="F1183">
        <v>10422.67845920995</v>
      </c>
      <c r="G1183" t="s">
        <v>30</v>
      </c>
      <c r="H1183" t="s">
        <v>97</v>
      </c>
    </row>
    <row r="1184" spans="1:8" x14ac:dyDescent="0.3">
      <c r="A1184" t="s">
        <v>1705</v>
      </c>
      <c r="B1184" t="s">
        <v>97</v>
      </c>
      <c r="C1184">
        <v>2026</v>
      </c>
      <c r="D1184" t="s">
        <v>1686</v>
      </c>
      <c r="E1184" t="s">
        <v>38</v>
      </c>
      <c r="F1184">
        <v>104</v>
      </c>
      <c r="G1184" t="s">
        <v>54</v>
      </c>
      <c r="H1184" t="s">
        <v>97</v>
      </c>
    </row>
    <row r="1185" spans="1:8" x14ac:dyDescent="0.3">
      <c r="A1185" t="s">
        <v>1706</v>
      </c>
      <c r="B1185" t="s">
        <v>97</v>
      </c>
      <c r="C1185">
        <v>2026</v>
      </c>
      <c r="D1185" t="s">
        <v>1686</v>
      </c>
      <c r="E1185" t="s">
        <v>38</v>
      </c>
      <c r="F1185">
        <v>1083958.5597578348</v>
      </c>
      <c r="G1185" t="s">
        <v>36</v>
      </c>
      <c r="H1185" t="s">
        <v>97</v>
      </c>
    </row>
    <row r="1186" spans="1:8" x14ac:dyDescent="0.3">
      <c r="A1186" t="s">
        <v>1707</v>
      </c>
      <c r="B1186" t="s">
        <v>98</v>
      </c>
      <c r="C1186">
        <v>2026</v>
      </c>
      <c r="D1186" t="s">
        <v>1708</v>
      </c>
      <c r="E1186" t="s">
        <v>53</v>
      </c>
      <c r="F1186">
        <v>0</v>
      </c>
      <c r="G1186" t="s">
        <v>30</v>
      </c>
      <c r="H1186" t="s">
        <v>98</v>
      </c>
    </row>
    <row r="1187" spans="1:8" x14ac:dyDescent="0.3">
      <c r="A1187" t="s">
        <v>1709</v>
      </c>
      <c r="B1187" t="s">
        <v>98</v>
      </c>
      <c r="C1187">
        <v>2026</v>
      </c>
      <c r="D1187" t="s">
        <v>1708</v>
      </c>
      <c r="E1187" t="s">
        <v>53</v>
      </c>
      <c r="F1187">
        <v>0</v>
      </c>
      <c r="G1187" t="s">
        <v>54</v>
      </c>
      <c r="H1187" t="s">
        <v>98</v>
      </c>
    </row>
    <row r="1188" spans="1:8" x14ac:dyDescent="0.3">
      <c r="A1188" t="s">
        <v>1710</v>
      </c>
      <c r="B1188" t="s">
        <v>98</v>
      </c>
      <c r="C1188">
        <v>2026</v>
      </c>
      <c r="D1188" t="s">
        <v>1708</v>
      </c>
      <c r="E1188" t="s">
        <v>53</v>
      </c>
      <c r="F1188">
        <v>0</v>
      </c>
      <c r="G1188" t="s">
        <v>36</v>
      </c>
      <c r="H1188" t="s">
        <v>98</v>
      </c>
    </row>
    <row r="1189" spans="1:8" x14ac:dyDescent="0.3">
      <c r="A1189" t="s">
        <v>1711</v>
      </c>
      <c r="B1189" t="s">
        <v>98</v>
      </c>
      <c r="C1189">
        <v>2026</v>
      </c>
      <c r="D1189" t="s">
        <v>1708</v>
      </c>
      <c r="E1189" t="s">
        <v>63</v>
      </c>
      <c r="F1189">
        <v>0</v>
      </c>
      <c r="G1189" t="s">
        <v>30</v>
      </c>
      <c r="H1189" t="s">
        <v>98</v>
      </c>
    </row>
    <row r="1190" spans="1:8" x14ac:dyDescent="0.3">
      <c r="A1190" t="s">
        <v>1712</v>
      </c>
      <c r="B1190" t="s">
        <v>98</v>
      </c>
      <c r="C1190">
        <v>2026</v>
      </c>
      <c r="D1190" t="s">
        <v>1708</v>
      </c>
      <c r="E1190" t="s">
        <v>63</v>
      </c>
      <c r="F1190">
        <v>0</v>
      </c>
      <c r="G1190" t="s">
        <v>54</v>
      </c>
      <c r="H1190" t="s">
        <v>98</v>
      </c>
    </row>
    <row r="1191" spans="1:8" x14ac:dyDescent="0.3">
      <c r="A1191" t="s">
        <v>1713</v>
      </c>
      <c r="B1191" t="s">
        <v>98</v>
      </c>
      <c r="C1191">
        <v>2026</v>
      </c>
      <c r="D1191" t="s">
        <v>1708</v>
      </c>
      <c r="E1191" t="s">
        <v>63</v>
      </c>
      <c r="F1191">
        <v>0</v>
      </c>
      <c r="G1191" t="s">
        <v>36</v>
      </c>
      <c r="H1191" t="s">
        <v>98</v>
      </c>
    </row>
    <row r="1192" spans="1:8" x14ac:dyDescent="0.3">
      <c r="A1192" t="s">
        <v>1714</v>
      </c>
      <c r="B1192" t="s">
        <v>98</v>
      </c>
      <c r="C1192">
        <v>2026</v>
      </c>
      <c r="D1192" t="s">
        <v>1708</v>
      </c>
      <c r="E1192" t="s">
        <v>3</v>
      </c>
      <c r="F1192">
        <v>0</v>
      </c>
      <c r="G1192" t="s">
        <v>30</v>
      </c>
      <c r="H1192" t="s">
        <v>98</v>
      </c>
    </row>
    <row r="1193" spans="1:8" x14ac:dyDescent="0.3">
      <c r="A1193" t="s">
        <v>1715</v>
      </c>
      <c r="B1193" t="s">
        <v>98</v>
      </c>
      <c r="C1193">
        <v>2026</v>
      </c>
      <c r="D1193" t="s">
        <v>1708</v>
      </c>
      <c r="E1193" t="s">
        <v>3</v>
      </c>
      <c r="F1193">
        <v>0</v>
      </c>
      <c r="G1193" t="s">
        <v>54</v>
      </c>
      <c r="H1193" t="s">
        <v>98</v>
      </c>
    </row>
    <row r="1194" spans="1:8" x14ac:dyDescent="0.3">
      <c r="A1194" t="s">
        <v>1716</v>
      </c>
      <c r="B1194" t="s">
        <v>98</v>
      </c>
      <c r="C1194">
        <v>2026</v>
      </c>
      <c r="D1194" t="s">
        <v>1708</v>
      </c>
      <c r="E1194" t="s">
        <v>3</v>
      </c>
      <c r="F1194">
        <v>0</v>
      </c>
      <c r="G1194" t="s">
        <v>36</v>
      </c>
      <c r="H1194" t="s">
        <v>98</v>
      </c>
    </row>
    <row r="1195" spans="1:8" x14ac:dyDescent="0.3">
      <c r="A1195" t="s">
        <v>1717</v>
      </c>
      <c r="B1195" t="s">
        <v>98</v>
      </c>
      <c r="C1195">
        <v>2026</v>
      </c>
      <c r="D1195" t="s">
        <v>1708</v>
      </c>
      <c r="E1195" t="s">
        <v>2</v>
      </c>
      <c r="F1195">
        <v>7458.9428061762674</v>
      </c>
      <c r="G1195" t="s">
        <v>30</v>
      </c>
      <c r="H1195" t="s">
        <v>98</v>
      </c>
    </row>
    <row r="1196" spans="1:8" x14ac:dyDescent="0.3">
      <c r="A1196" t="s">
        <v>1718</v>
      </c>
      <c r="B1196" t="s">
        <v>98</v>
      </c>
      <c r="C1196">
        <v>2026</v>
      </c>
      <c r="D1196" t="s">
        <v>1708</v>
      </c>
      <c r="E1196" t="s">
        <v>2</v>
      </c>
      <c r="F1196">
        <v>331</v>
      </c>
      <c r="G1196" t="s">
        <v>54</v>
      </c>
      <c r="H1196" t="s">
        <v>98</v>
      </c>
    </row>
    <row r="1197" spans="1:8" x14ac:dyDescent="0.3">
      <c r="A1197" t="s">
        <v>1719</v>
      </c>
      <c r="B1197" t="s">
        <v>98</v>
      </c>
      <c r="C1197">
        <v>2026</v>
      </c>
      <c r="D1197" t="s">
        <v>1708</v>
      </c>
      <c r="E1197" t="s">
        <v>2</v>
      </c>
      <c r="F1197">
        <v>2468910.0688443445</v>
      </c>
      <c r="G1197" t="s">
        <v>36</v>
      </c>
      <c r="H1197" t="s">
        <v>98</v>
      </c>
    </row>
    <row r="1198" spans="1:8" x14ac:dyDescent="0.3">
      <c r="A1198" t="s">
        <v>1720</v>
      </c>
      <c r="B1198" t="s">
        <v>98</v>
      </c>
      <c r="C1198">
        <v>2026</v>
      </c>
      <c r="D1198" t="s">
        <v>1708</v>
      </c>
      <c r="E1198" t="s">
        <v>1</v>
      </c>
      <c r="F1198">
        <v>0</v>
      </c>
      <c r="G1198" t="s">
        <v>30</v>
      </c>
      <c r="H1198" t="s">
        <v>98</v>
      </c>
    </row>
    <row r="1199" spans="1:8" x14ac:dyDescent="0.3">
      <c r="A1199" t="s">
        <v>1721</v>
      </c>
      <c r="B1199" t="s">
        <v>98</v>
      </c>
      <c r="C1199">
        <v>2026</v>
      </c>
      <c r="D1199" t="s">
        <v>1708</v>
      </c>
      <c r="E1199" t="s">
        <v>1</v>
      </c>
      <c r="F1199">
        <v>0</v>
      </c>
      <c r="G1199" t="s">
        <v>54</v>
      </c>
      <c r="H1199" t="s">
        <v>98</v>
      </c>
    </row>
    <row r="1200" spans="1:8" x14ac:dyDescent="0.3">
      <c r="A1200" t="s">
        <v>1722</v>
      </c>
      <c r="B1200" t="s">
        <v>98</v>
      </c>
      <c r="C1200">
        <v>2026</v>
      </c>
      <c r="D1200" t="s">
        <v>1708</v>
      </c>
      <c r="E1200" t="s">
        <v>1</v>
      </c>
      <c r="F1200">
        <v>0</v>
      </c>
      <c r="G1200" t="s">
        <v>36</v>
      </c>
      <c r="H1200" t="s">
        <v>98</v>
      </c>
    </row>
    <row r="1201" spans="1:8" x14ac:dyDescent="0.3">
      <c r="A1201" t="s">
        <v>2030</v>
      </c>
      <c r="B1201" t="s">
        <v>98</v>
      </c>
      <c r="C1201">
        <v>2026</v>
      </c>
      <c r="D1201" t="s">
        <v>1708</v>
      </c>
      <c r="E1201" t="s">
        <v>1885</v>
      </c>
      <c r="F1201">
        <v>8186.7447042950162</v>
      </c>
      <c r="G1201" t="s">
        <v>30</v>
      </c>
      <c r="H1201" t="s">
        <v>98</v>
      </c>
    </row>
    <row r="1202" spans="1:8" x14ac:dyDescent="0.3">
      <c r="A1202" t="s">
        <v>2031</v>
      </c>
      <c r="B1202" t="s">
        <v>98</v>
      </c>
      <c r="C1202">
        <v>2026</v>
      </c>
      <c r="D1202" t="s">
        <v>1708</v>
      </c>
      <c r="E1202" t="s">
        <v>1885</v>
      </c>
      <c r="F1202">
        <v>474</v>
      </c>
      <c r="G1202" t="s">
        <v>54</v>
      </c>
      <c r="H1202" t="s">
        <v>98</v>
      </c>
    </row>
    <row r="1203" spans="1:8" x14ac:dyDescent="0.3">
      <c r="A1203" t="s">
        <v>2032</v>
      </c>
      <c r="B1203" t="s">
        <v>98</v>
      </c>
      <c r="C1203">
        <v>2026</v>
      </c>
      <c r="D1203" t="s">
        <v>1708</v>
      </c>
      <c r="E1203" t="s">
        <v>1885</v>
      </c>
      <c r="F1203">
        <v>3880516.9898358379</v>
      </c>
      <c r="G1203" t="s">
        <v>36</v>
      </c>
      <c r="H1203" t="s">
        <v>98</v>
      </c>
    </row>
    <row r="1204" spans="1:8" x14ac:dyDescent="0.3">
      <c r="A1204" t="s">
        <v>1723</v>
      </c>
      <c r="B1204" t="s">
        <v>98</v>
      </c>
      <c r="C1204">
        <v>2026</v>
      </c>
      <c r="D1204" t="s">
        <v>1708</v>
      </c>
      <c r="E1204" t="s">
        <v>4</v>
      </c>
      <c r="F1204">
        <v>8176.6338271923687</v>
      </c>
      <c r="G1204" t="s">
        <v>30</v>
      </c>
      <c r="H1204" t="s">
        <v>98</v>
      </c>
    </row>
    <row r="1205" spans="1:8" x14ac:dyDescent="0.3">
      <c r="A1205" t="s">
        <v>1724</v>
      </c>
      <c r="B1205" t="s">
        <v>98</v>
      </c>
      <c r="C1205">
        <v>2026</v>
      </c>
      <c r="D1205" t="s">
        <v>1708</v>
      </c>
      <c r="E1205" t="s">
        <v>4</v>
      </c>
      <c r="F1205">
        <v>468</v>
      </c>
      <c r="G1205" t="s">
        <v>54</v>
      </c>
      <c r="H1205" t="s">
        <v>98</v>
      </c>
    </row>
    <row r="1206" spans="1:8" x14ac:dyDescent="0.3">
      <c r="A1206" t="s">
        <v>1725</v>
      </c>
      <c r="B1206" t="s">
        <v>98</v>
      </c>
      <c r="C1206">
        <v>2026</v>
      </c>
      <c r="D1206" t="s">
        <v>1708</v>
      </c>
      <c r="E1206" t="s">
        <v>4</v>
      </c>
      <c r="F1206">
        <v>3826664.6311260285</v>
      </c>
      <c r="G1206" t="s">
        <v>36</v>
      </c>
      <c r="H1206" t="s">
        <v>98</v>
      </c>
    </row>
    <row r="1207" spans="1:8" x14ac:dyDescent="0.3">
      <c r="A1207" t="s">
        <v>1726</v>
      </c>
      <c r="B1207" t="s">
        <v>98</v>
      </c>
      <c r="C1207">
        <v>2026</v>
      </c>
      <c r="D1207" t="s">
        <v>1708</v>
      </c>
      <c r="E1207" t="s">
        <v>38</v>
      </c>
      <c r="F1207">
        <v>9910.6172429319995</v>
      </c>
      <c r="G1207" t="s">
        <v>30</v>
      </c>
      <c r="H1207" t="s">
        <v>98</v>
      </c>
    </row>
    <row r="1208" spans="1:8" x14ac:dyDescent="0.3">
      <c r="A1208" t="s">
        <v>1727</v>
      </c>
      <c r="B1208" t="s">
        <v>98</v>
      </c>
      <c r="C1208">
        <v>2026</v>
      </c>
      <c r="D1208" t="s">
        <v>1708</v>
      </c>
      <c r="E1208" t="s">
        <v>38</v>
      </c>
      <c r="F1208">
        <v>137</v>
      </c>
      <c r="G1208" t="s">
        <v>54</v>
      </c>
      <c r="H1208" t="s">
        <v>98</v>
      </c>
    </row>
    <row r="1209" spans="1:8" x14ac:dyDescent="0.3">
      <c r="A1209" t="s">
        <v>1728</v>
      </c>
      <c r="B1209" t="s">
        <v>98</v>
      </c>
      <c r="C1209">
        <v>2026</v>
      </c>
      <c r="D1209" t="s">
        <v>1708</v>
      </c>
      <c r="E1209" t="s">
        <v>38</v>
      </c>
      <c r="F1209">
        <v>1357754.562281684</v>
      </c>
      <c r="G1209" t="s">
        <v>36</v>
      </c>
      <c r="H1209" t="s">
        <v>98</v>
      </c>
    </row>
    <row r="1210" spans="1:8" x14ac:dyDescent="0.3">
      <c r="A1210" t="s">
        <v>1729</v>
      </c>
      <c r="B1210" t="s">
        <v>99</v>
      </c>
      <c r="C1210">
        <v>2026</v>
      </c>
      <c r="D1210" t="s">
        <v>1730</v>
      </c>
      <c r="E1210" t="s">
        <v>53</v>
      </c>
      <c r="F1210">
        <v>0</v>
      </c>
      <c r="G1210" t="s">
        <v>30</v>
      </c>
      <c r="H1210" t="s">
        <v>99</v>
      </c>
    </row>
    <row r="1211" spans="1:8" x14ac:dyDescent="0.3">
      <c r="A1211" t="s">
        <v>1731</v>
      </c>
      <c r="B1211" t="s">
        <v>99</v>
      </c>
      <c r="C1211">
        <v>2026</v>
      </c>
      <c r="D1211" t="s">
        <v>1730</v>
      </c>
      <c r="E1211" t="s">
        <v>53</v>
      </c>
      <c r="F1211">
        <v>0</v>
      </c>
      <c r="G1211" t="s">
        <v>54</v>
      </c>
      <c r="H1211" t="s">
        <v>99</v>
      </c>
    </row>
    <row r="1212" spans="1:8" x14ac:dyDescent="0.3">
      <c r="A1212" t="s">
        <v>1732</v>
      </c>
      <c r="B1212" t="s">
        <v>99</v>
      </c>
      <c r="C1212">
        <v>2026</v>
      </c>
      <c r="D1212" t="s">
        <v>1730</v>
      </c>
      <c r="E1212" t="s">
        <v>53</v>
      </c>
      <c r="F1212">
        <v>0</v>
      </c>
      <c r="G1212" t="s">
        <v>36</v>
      </c>
      <c r="H1212" t="s">
        <v>99</v>
      </c>
    </row>
    <row r="1213" spans="1:8" x14ac:dyDescent="0.3">
      <c r="A1213" t="s">
        <v>1733</v>
      </c>
      <c r="B1213" t="s">
        <v>99</v>
      </c>
      <c r="C1213">
        <v>2026</v>
      </c>
      <c r="D1213" t="s">
        <v>1730</v>
      </c>
      <c r="E1213" t="s">
        <v>63</v>
      </c>
      <c r="F1213">
        <v>0</v>
      </c>
      <c r="G1213" t="s">
        <v>30</v>
      </c>
      <c r="H1213" t="s">
        <v>99</v>
      </c>
    </row>
    <row r="1214" spans="1:8" x14ac:dyDescent="0.3">
      <c r="A1214" t="s">
        <v>1734</v>
      </c>
      <c r="B1214" t="s">
        <v>99</v>
      </c>
      <c r="C1214">
        <v>2026</v>
      </c>
      <c r="D1214" t="s">
        <v>1730</v>
      </c>
      <c r="E1214" t="s">
        <v>63</v>
      </c>
      <c r="F1214">
        <v>0</v>
      </c>
      <c r="G1214" t="s">
        <v>54</v>
      </c>
      <c r="H1214" t="s">
        <v>99</v>
      </c>
    </row>
    <row r="1215" spans="1:8" x14ac:dyDescent="0.3">
      <c r="A1215" t="s">
        <v>1735</v>
      </c>
      <c r="B1215" t="s">
        <v>99</v>
      </c>
      <c r="C1215">
        <v>2026</v>
      </c>
      <c r="D1215" t="s">
        <v>1730</v>
      </c>
      <c r="E1215" t="s">
        <v>63</v>
      </c>
      <c r="F1215">
        <v>0</v>
      </c>
      <c r="G1215" t="s">
        <v>36</v>
      </c>
      <c r="H1215" t="s">
        <v>99</v>
      </c>
    </row>
    <row r="1216" spans="1:8" x14ac:dyDescent="0.3">
      <c r="A1216" t="s">
        <v>1736</v>
      </c>
      <c r="B1216" t="s">
        <v>99</v>
      </c>
      <c r="C1216">
        <v>2026</v>
      </c>
      <c r="D1216" t="s">
        <v>1730</v>
      </c>
      <c r="E1216" t="s">
        <v>3</v>
      </c>
      <c r="F1216">
        <v>0</v>
      </c>
      <c r="G1216" t="s">
        <v>30</v>
      </c>
      <c r="H1216" t="s">
        <v>99</v>
      </c>
    </row>
    <row r="1217" spans="1:8" x14ac:dyDescent="0.3">
      <c r="A1217" t="s">
        <v>1737</v>
      </c>
      <c r="B1217" t="s">
        <v>99</v>
      </c>
      <c r="C1217">
        <v>2026</v>
      </c>
      <c r="D1217" t="s">
        <v>1730</v>
      </c>
      <c r="E1217" t="s">
        <v>3</v>
      </c>
      <c r="F1217">
        <v>0</v>
      </c>
      <c r="G1217" t="s">
        <v>54</v>
      </c>
      <c r="H1217" t="s">
        <v>99</v>
      </c>
    </row>
    <row r="1218" spans="1:8" x14ac:dyDescent="0.3">
      <c r="A1218" t="s">
        <v>1738</v>
      </c>
      <c r="B1218" t="s">
        <v>99</v>
      </c>
      <c r="C1218">
        <v>2026</v>
      </c>
      <c r="D1218" t="s">
        <v>1730</v>
      </c>
      <c r="E1218" t="s">
        <v>3</v>
      </c>
      <c r="F1218">
        <v>0</v>
      </c>
      <c r="G1218" t="s">
        <v>36</v>
      </c>
      <c r="H1218" t="s">
        <v>99</v>
      </c>
    </row>
    <row r="1219" spans="1:8" x14ac:dyDescent="0.3">
      <c r="A1219" t="s">
        <v>1739</v>
      </c>
      <c r="B1219" t="s">
        <v>99</v>
      </c>
      <c r="C1219">
        <v>2026</v>
      </c>
      <c r="D1219" t="s">
        <v>1730</v>
      </c>
      <c r="E1219" t="s">
        <v>2</v>
      </c>
      <c r="F1219">
        <v>8697.838176532332</v>
      </c>
      <c r="G1219" t="s">
        <v>30</v>
      </c>
      <c r="H1219" t="s">
        <v>99</v>
      </c>
    </row>
    <row r="1220" spans="1:8" x14ac:dyDescent="0.3">
      <c r="A1220" t="s">
        <v>1740</v>
      </c>
      <c r="B1220" t="s">
        <v>99</v>
      </c>
      <c r="C1220">
        <v>2026</v>
      </c>
      <c r="D1220" t="s">
        <v>1730</v>
      </c>
      <c r="E1220" t="s">
        <v>2</v>
      </c>
      <c r="F1220">
        <v>173</v>
      </c>
      <c r="G1220" t="s">
        <v>54</v>
      </c>
      <c r="H1220" t="s">
        <v>99</v>
      </c>
    </row>
    <row r="1221" spans="1:8" x14ac:dyDescent="0.3">
      <c r="A1221" t="s">
        <v>1741</v>
      </c>
      <c r="B1221" t="s">
        <v>99</v>
      </c>
      <c r="C1221">
        <v>2026</v>
      </c>
      <c r="D1221" t="s">
        <v>1730</v>
      </c>
      <c r="E1221" t="s">
        <v>2</v>
      </c>
      <c r="F1221">
        <v>1504726.0045400935</v>
      </c>
      <c r="G1221" t="s">
        <v>36</v>
      </c>
      <c r="H1221" t="s">
        <v>99</v>
      </c>
    </row>
    <row r="1222" spans="1:8" x14ac:dyDescent="0.3">
      <c r="A1222" t="s">
        <v>1742</v>
      </c>
      <c r="B1222" t="s">
        <v>99</v>
      </c>
      <c r="C1222">
        <v>2026</v>
      </c>
      <c r="D1222" t="s">
        <v>1730</v>
      </c>
      <c r="E1222" t="s">
        <v>1</v>
      </c>
      <c r="F1222">
        <v>0</v>
      </c>
      <c r="G1222" t="s">
        <v>30</v>
      </c>
      <c r="H1222" t="s">
        <v>99</v>
      </c>
    </row>
    <row r="1223" spans="1:8" x14ac:dyDescent="0.3">
      <c r="A1223" t="s">
        <v>1743</v>
      </c>
      <c r="B1223" t="s">
        <v>99</v>
      </c>
      <c r="C1223">
        <v>2026</v>
      </c>
      <c r="D1223" t="s">
        <v>1730</v>
      </c>
      <c r="E1223" t="s">
        <v>1</v>
      </c>
      <c r="F1223">
        <v>0</v>
      </c>
      <c r="G1223" t="s">
        <v>54</v>
      </c>
      <c r="H1223" t="s">
        <v>99</v>
      </c>
    </row>
    <row r="1224" spans="1:8" x14ac:dyDescent="0.3">
      <c r="A1224" t="s">
        <v>1744</v>
      </c>
      <c r="B1224" t="s">
        <v>99</v>
      </c>
      <c r="C1224">
        <v>2026</v>
      </c>
      <c r="D1224" t="s">
        <v>1730</v>
      </c>
      <c r="E1224" t="s">
        <v>1</v>
      </c>
      <c r="F1224">
        <v>0</v>
      </c>
      <c r="G1224" t="s">
        <v>36</v>
      </c>
      <c r="H1224" t="s">
        <v>99</v>
      </c>
    </row>
    <row r="1225" spans="1:8" x14ac:dyDescent="0.3">
      <c r="A1225" t="s">
        <v>2033</v>
      </c>
      <c r="B1225" t="s">
        <v>99</v>
      </c>
      <c r="C1225">
        <v>2026</v>
      </c>
      <c r="D1225" t="s">
        <v>1730</v>
      </c>
      <c r="E1225" t="s">
        <v>1885</v>
      </c>
      <c r="F1225">
        <v>9647.1715557881853</v>
      </c>
      <c r="G1225" t="s">
        <v>30</v>
      </c>
      <c r="H1225" t="s">
        <v>99</v>
      </c>
    </row>
    <row r="1226" spans="1:8" x14ac:dyDescent="0.3">
      <c r="A1226" t="s">
        <v>2034</v>
      </c>
      <c r="B1226" t="s">
        <v>99</v>
      </c>
      <c r="C1226">
        <v>2026</v>
      </c>
      <c r="D1226" t="s">
        <v>1730</v>
      </c>
      <c r="E1226" t="s">
        <v>1885</v>
      </c>
      <c r="F1226">
        <v>377</v>
      </c>
      <c r="G1226" t="s">
        <v>54</v>
      </c>
      <c r="H1226" t="s">
        <v>99</v>
      </c>
    </row>
    <row r="1227" spans="1:8" x14ac:dyDescent="0.3">
      <c r="A1227" t="s">
        <v>2035</v>
      </c>
      <c r="B1227" t="s">
        <v>99</v>
      </c>
      <c r="C1227">
        <v>2026</v>
      </c>
      <c r="D1227" t="s">
        <v>1730</v>
      </c>
      <c r="E1227" t="s">
        <v>1885</v>
      </c>
      <c r="F1227">
        <v>3636983.6765321456</v>
      </c>
      <c r="G1227" t="s">
        <v>36</v>
      </c>
      <c r="H1227" t="s">
        <v>99</v>
      </c>
    </row>
    <row r="1228" spans="1:8" x14ac:dyDescent="0.3">
      <c r="A1228" t="s">
        <v>1745</v>
      </c>
      <c r="B1228" t="s">
        <v>99</v>
      </c>
      <c r="C1228">
        <v>2026</v>
      </c>
      <c r="D1228" t="s">
        <v>1730</v>
      </c>
      <c r="E1228" t="s">
        <v>4</v>
      </c>
      <c r="F1228">
        <v>9702.7171341047706</v>
      </c>
      <c r="G1228" t="s">
        <v>30</v>
      </c>
      <c r="H1228" t="s">
        <v>99</v>
      </c>
    </row>
    <row r="1229" spans="1:8" x14ac:dyDescent="0.3">
      <c r="A1229" t="s">
        <v>1746</v>
      </c>
      <c r="B1229" t="s">
        <v>99</v>
      </c>
      <c r="C1229">
        <v>2026</v>
      </c>
      <c r="D1229" t="s">
        <v>1730</v>
      </c>
      <c r="E1229" t="s">
        <v>4</v>
      </c>
      <c r="F1229">
        <v>384</v>
      </c>
      <c r="G1229" t="s">
        <v>54</v>
      </c>
      <c r="H1229" t="s">
        <v>99</v>
      </c>
    </row>
    <row r="1230" spans="1:8" x14ac:dyDescent="0.3">
      <c r="A1230" t="s">
        <v>1747</v>
      </c>
      <c r="B1230" t="s">
        <v>99</v>
      </c>
      <c r="C1230">
        <v>2026</v>
      </c>
      <c r="D1230" t="s">
        <v>1730</v>
      </c>
      <c r="E1230" t="s">
        <v>4</v>
      </c>
      <c r="F1230">
        <v>3725843.3794962317</v>
      </c>
      <c r="G1230" t="s">
        <v>36</v>
      </c>
      <c r="H1230" t="s">
        <v>99</v>
      </c>
    </row>
    <row r="1231" spans="1:8" x14ac:dyDescent="0.3">
      <c r="A1231" t="s">
        <v>1748</v>
      </c>
      <c r="B1231" t="s">
        <v>99</v>
      </c>
      <c r="C1231">
        <v>2026</v>
      </c>
      <c r="D1231" t="s">
        <v>1730</v>
      </c>
      <c r="E1231" t="s">
        <v>38</v>
      </c>
      <c r="F1231">
        <v>10526.622630123877</v>
      </c>
      <c r="G1231" t="s">
        <v>30</v>
      </c>
      <c r="H1231" t="s">
        <v>99</v>
      </c>
    </row>
    <row r="1232" spans="1:8" x14ac:dyDescent="0.3">
      <c r="A1232" t="s">
        <v>1749</v>
      </c>
      <c r="B1232" t="s">
        <v>99</v>
      </c>
      <c r="C1232">
        <v>2026</v>
      </c>
      <c r="D1232" t="s">
        <v>1730</v>
      </c>
      <c r="E1232" t="s">
        <v>38</v>
      </c>
      <c r="F1232">
        <v>211</v>
      </c>
      <c r="G1232" t="s">
        <v>54</v>
      </c>
      <c r="H1232" t="s">
        <v>99</v>
      </c>
    </row>
    <row r="1233" spans="1:8" x14ac:dyDescent="0.3">
      <c r="A1233" t="s">
        <v>1750</v>
      </c>
      <c r="B1233" t="s">
        <v>99</v>
      </c>
      <c r="C1233">
        <v>2026</v>
      </c>
      <c r="D1233" t="s">
        <v>1730</v>
      </c>
      <c r="E1233" t="s">
        <v>38</v>
      </c>
      <c r="F1233">
        <v>2221117.374956138</v>
      </c>
      <c r="G1233" t="s">
        <v>36</v>
      </c>
      <c r="H1233" t="s">
        <v>99</v>
      </c>
    </row>
    <row r="1234" spans="1:8" x14ac:dyDescent="0.3">
      <c r="A1234" t="s">
        <v>1751</v>
      </c>
      <c r="B1234" t="s">
        <v>100</v>
      </c>
      <c r="C1234">
        <v>2026</v>
      </c>
      <c r="D1234" t="s">
        <v>1752</v>
      </c>
      <c r="E1234" t="s">
        <v>53</v>
      </c>
      <c r="F1234">
        <v>0</v>
      </c>
      <c r="G1234" t="s">
        <v>30</v>
      </c>
      <c r="H1234" t="s">
        <v>100</v>
      </c>
    </row>
    <row r="1235" spans="1:8" x14ac:dyDescent="0.3">
      <c r="A1235" t="s">
        <v>1753</v>
      </c>
      <c r="B1235" t="s">
        <v>100</v>
      </c>
      <c r="C1235">
        <v>2026</v>
      </c>
      <c r="D1235" t="s">
        <v>1752</v>
      </c>
      <c r="E1235" t="s">
        <v>53</v>
      </c>
      <c r="F1235">
        <v>0</v>
      </c>
      <c r="G1235" t="s">
        <v>54</v>
      </c>
      <c r="H1235" t="s">
        <v>100</v>
      </c>
    </row>
    <row r="1236" spans="1:8" x14ac:dyDescent="0.3">
      <c r="A1236" t="s">
        <v>1754</v>
      </c>
      <c r="B1236" t="s">
        <v>100</v>
      </c>
      <c r="C1236">
        <v>2026</v>
      </c>
      <c r="D1236" t="s">
        <v>1752</v>
      </c>
      <c r="E1236" t="s">
        <v>53</v>
      </c>
      <c r="F1236">
        <v>0</v>
      </c>
      <c r="G1236" t="s">
        <v>36</v>
      </c>
      <c r="H1236" t="s">
        <v>100</v>
      </c>
    </row>
    <row r="1237" spans="1:8" x14ac:dyDescent="0.3">
      <c r="A1237" t="s">
        <v>1755</v>
      </c>
      <c r="B1237" t="s">
        <v>100</v>
      </c>
      <c r="C1237">
        <v>2026</v>
      </c>
      <c r="D1237" t="s">
        <v>1752</v>
      </c>
      <c r="E1237" t="s">
        <v>63</v>
      </c>
      <c r="F1237">
        <v>0</v>
      </c>
      <c r="G1237" t="s">
        <v>30</v>
      </c>
      <c r="H1237" t="s">
        <v>100</v>
      </c>
    </row>
    <row r="1238" spans="1:8" x14ac:dyDescent="0.3">
      <c r="A1238" t="s">
        <v>1756</v>
      </c>
      <c r="B1238" t="s">
        <v>100</v>
      </c>
      <c r="C1238">
        <v>2026</v>
      </c>
      <c r="D1238" t="s">
        <v>1752</v>
      </c>
      <c r="E1238" t="s">
        <v>63</v>
      </c>
      <c r="F1238">
        <v>0</v>
      </c>
      <c r="G1238" t="s">
        <v>54</v>
      </c>
      <c r="H1238" t="s">
        <v>100</v>
      </c>
    </row>
    <row r="1239" spans="1:8" x14ac:dyDescent="0.3">
      <c r="A1239" t="s">
        <v>1757</v>
      </c>
      <c r="B1239" t="s">
        <v>100</v>
      </c>
      <c r="C1239">
        <v>2026</v>
      </c>
      <c r="D1239" t="s">
        <v>1752</v>
      </c>
      <c r="E1239" t="s">
        <v>63</v>
      </c>
      <c r="F1239">
        <v>0</v>
      </c>
      <c r="G1239" t="s">
        <v>36</v>
      </c>
      <c r="H1239" t="s">
        <v>100</v>
      </c>
    </row>
    <row r="1240" spans="1:8" x14ac:dyDescent="0.3">
      <c r="A1240" t="s">
        <v>1758</v>
      </c>
      <c r="B1240" t="s">
        <v>100</v>
      </c>
      <c r="C1240">
        <v>2026</v>
      </c>
      <c r="D1240" t="s">
        <v>1752</v>
      </c>
      <c r="E1240" t="s">
        <v>3</v>
      </c>
      <c r="F1240">
        <v>0</v>
      </c>
      <c r="G1240" t="s">
        <v>30</v>
      </c>
      <c r="H1240" t="s">
        <v>100</v>
      </c>
    </row>
    <row r="1241" spans="1:8" x14ac:dyDescent="0.3">
      <c r="A1241" t="s">
        <v>1759</v>
      </c>
      <c r="B1241" t="s">
        <v>100</v>
      </c>
      <c r="C1241">
        <v>2026</v>
      </c>
      <c r="D1241" t="s">
        <v>1752</v>
      </c>
      <c r="E1241" t="s">
        <v>3</v>
      </c>
      <c r="F1241">
        <v>0</v>
      </c>
      <c r="G1241" t="s">
        <v>54</v>
      </c>
      <c r="H1241" t="s">
        <v>100</v>
      </c>
    </row>
    <row r="1242" spans="1:8" x14ac:dyDescent="0.3">
      <c r="A1242" t="s">
        <v>1760</v>
      </c>
      <c r="B1242" t="s">
        <v>100</v>
      </c>
      <c r="C1242">
        <v>2026</v>
      </c>
      <c r="D1242" t="s">
        <v>1752</v>
      </c>
      <c r="E1242" t="s">
        <v>3</v>
      </c>
      <c r="F1242">
        <v>0</v>
      </c>
      <c r="G1242" t="s">
        <v>36</v>
      </c>
      <c r="H1242" t="s">
        <v>100</v>
      </c>
    </row>
    <row r="1243" spans="1:8" x14ac:dyDescent="0.3">
      <c r="A1243" t="s">
        <v>1761</v>
      </c>
      <c r="B1243" t="s">
        <v>100</v>
      </c>
      <c r="C1243">
        <v>2026</v>
      </c>
      <c r="D1243" t="s">
        <v>1752</v>
      </c>
      <c r="E1243" t="s">
        <v>2</v>
      </c>
      <c r="F1243">
        <v>8829.9152676129725</v>
      </c>
      <c r="G1243" t="s">
        <v>30</v>
      </c>
      <c r="H1243" t="s">
        <v>100</v>
      </c>
    </row>
    <row r="1244" spans="1:8" x14ac:dyDescent="0.3">
      <c r="A1244" t="s">
        <v>1762</v>
      </c>
      <c r="B1244" t="s">
        <v>100</v>
      </c>
      <c r="C1244">
        <v>2026</v>
      </c>
      <c r="D1244" t="s">
        <v>1752</v>
      </c>
      <c r="E1244" t="s">
        <v>2</v>
      </c>
      <c r="F1244">
        <v>305</v>
      </c>
      <c r="G1244" t="s">
        <v>54</v>
      </c>
      <c r="H1244" t="s">
        <v>100</v>
      </c>
    </row>
    <row r="1245" spans="1:8" x14ac:dyDescent="0.3">
      <c r="A1245" t="s">
        <v>1763</v>
      </c>
      <c r="B1245" t="s">
        <v>100</v>
      </c>
      <c r="C1245">
        <v>2026</v>
      </c>
      <c r="D1245" t="s">
        <v>1752</v>
      </c>
      <c r="E1245" t="s">
        <v>2</v>
      </c>
      <c r="F1245">
        <v>2693124.1566219567</v>
      </c>
      <c r="G1245" t="s">
        <v>36</v>
      </c>
      <c r="H1245" t="s">
        <v>100</v>
      </c>
    </row>
    <row r="1246" spans="1:8" x14ac:dyDescent="0.3">
      <c r="A1246" t="s">
        <v>1764</v>
      </c>
      <c r="B1246" t="s">
        <v>100</v>
      </c>
      <c r="C1246">
        <v>2026</v>
      </c>
      <c r="D1246" t="s">
        <v>1752</v>
      </c>
      <c r="E1246" t="s">
        <v>1</v>
      </c>
      <c r="F1246">
        <v>0</v>
      </c>
      <c r="G1246" t="s">
        <v>30</v>
      </c>
      <c r="H1246" t="s">
        <v>100</v>
      </c>
    </row>
    <row r="1247" spans="1:8" x14ac:dyDescent="0.3">
      <c r="A1247" t="s">
        <v>1765</v>
      </c>
      <c r="B1247" t="s">
        <v>100</v>
      </c>
      <c r="C1247">
        <v>2026</v>
      </c>
      <c r="D1247" t="s">
        <v>1752</v>
      </c>
      <c r="E1247" t="s">
        <v>1</v>
      </c>
      <c r="F1247">
        <v>0</v>
      </c>
      <c r="G1247" t="s">
        <v>54</v>
      </c>
      <c r="H1247" t="s">
        <v>100</v>
      </c>
    </row>
    <row r="1248" spans="1:8" x14ac:dyDescent="0.3">
      <c r="A1248" t="s">
        <v>1766</v>
      </c>
      <c r="B1248" t="s">
        <v>100</v>
      </c>
      <c r="C1248">
        <v>2026</v>
      </c>
      <c r="D1248" t="s">
        <v>1752</v>
      </c>
      <c r="E1248" t="s">
        <v>1</v>
      </c>
      <c r="F1248">
        <v>0</v>
      </c>
      <c r="G1248" t="s">
        <v>36</v>
      </c>
      <c r="H1248" t="s">
        <v>100</v>
      </c>
    </row>
    <row r="1249" spans="1:8" x14ac:dyDescent="0.3">
      <c r="A1249" t="s">
        <v>2036</v>
      </c>
      <c r="B1249" t="s">
        <v>100</v>
      </c>
      <c r="C1249">
        <v>2026</v>
      </c>
      <c r="D1249" t="s">
        <v>1752</v>
      </c>
      <c r="E1249" t="s">
        <v>1885</v>
      </c>
      <c r="F1249">
        <v>9383.9767374103703</v>
      </c>
      <c r="G1249" t="s">
        <v>30</v>
      </c>
      <c r="H1249" t="s">
        <v>100</v>
      </c>
    </row>
    <row r="1250" spans="1:8" x14ac:dyDescent="0.3">
      <c r="A1250" t="s">
        <v>2037</v>
      </c>
      <c r="B1250" t="s">
        <v>100</v>
      </c>
      <c r="C1250">
        <v>2026</v>
      </c>
      <c r="D1250" t="s">
        <v>1752</v>
      </c>
      <c r="E1250" t="s">
        <v>1885</v>
      </c>
      <c r="F1250">
        <v>494</v>
      </c>
      <c r="G1250" t="s">
        <v>54</v>
      </c>
      <c r="H1250" t="s">
        <v>100</v>
      </c>
    </row>
    <row r="1251" spans="1:8" x14ac:dyDescent="0.3">
      <c r="A1251" t="s">
        <v>2038</v>
      </c>
      <c r="B1251" t="s">
        <v>100</v>
      </c>
      <c r="C1251">
        <v>2026</v>
      </c>
      <c r="D1251" t="s">
        <v>1752</v>
      </c>
      <c r="E1251" t="s">
        <v>1885</v>
      </c>
      <c r="F1251">
        <v>4635684.5082807234</v>
      </c>
      <c r="G1251" t="s">
        <v>36</v>
      </c>
      <c r="H1251" t="s">
        <v>100</v>
      </c>
    </row>
    <row r="1252" spans="1:8" x14ac:dyDescent="0.3">
      <c r="A1252" t="s">
        <v>1767</v>
      </c>
      <c r="B1252" t="s">
        <v>100</v>
      </c>
      <c r="C1252">
        <v>2026</v>
      </c>
      <c r="D1252" t="s">
        <v>1752</v>
      </c>
      <c r="E1252" t="s">
        <v>4</v>
      </c>
      <c r="F1252">
        <v>9344.7818338719735</v>
      </c>
      <c r="G1252" t="s">
        <v>30</v>
      </c>
      <c r="H1252" t="s">
        <v>100</v>
      </c>
    </row>
    <row r="1253" spans="1:8" x14ac:dyDescent="0.3">
      <c r="A1253" t="s">
        <v>1768</v>
      </c>
      <c r="B1253" t="s">
        <v>100</v>
      </c>
      <c r="C1253">
        <v>2026</v>
      </c>
      <c r="D1253" t="s">
        <v>1752</v>
      </c>
      <c r="E1253" t="s">
        <v>4</v>
      </c>
      <c r="F1253">
        <v>480</v>
      </c>
      <c r="G1253" t="s">
        <v>54</v>
      </c>
      <c r="H1253" t="s">
        <v>100</v>
      </c>
    </row>
    <row r="1254" spans="1:8" x14ac:dyDescent="0.3">
      <c r="A1254" t="s">
        <v>1769</v>
      </c>
      <c r="B1254" t="s">
        <v>100</v>
      </c>
      <c r="C1254">
        <v>2026</v>
      </c>
      <c r="D1254" t="s">
        <v>1752</v>
      </c>
      <c r="E1254" t="s">
        <v>4</v>
      </c>
      <c r="F1254">
        <v>4485495.2802585475</v>
      </c>
      <c r="G1254" t="s">
        <v>36</v>
      </c>
      <c r="H1254" t="s">
        <v>100</v>
      </c>
    </row>
    <row r="1255" spans="1:8" x14ac:dyDescent="0.3">
      <c r="A1255" t="s">
        <v>1770</v>
      </c>
      <c r="B1255" t="s">
        <v>100</v>
      </c>
      <c r="C1255">
        <v>2026</v>
      </c>
      <c r="D1255" t="s">
        <v>1752</v>
      </c>
      <c r="E1255" t="s">
        <v>38</v>
      </c>
      <c r="F1255">
        <v>10242.120706494803</v>
      </c>
      <c r="G1255" t="s">
        <v>30</v>
      </c>
      <c r="H1255" t="s">
        <v>100</v>
      </c>
    </row>
    <row r="1256" spans="1:8" x14ac:dyDescent="0.3">
      <c r="A1256" t="s">
        <v>1771</v>
      </c>
      <c r="B1256" t="s">
        <v>100</v>
      </c>
      <c r="C1256">
        <v>2026</v>
      </c>
      <c r="D1256" t="s">
        <v>1752</v>
      </c>
      <c r="E1256" t="s">
        <v>38</v>
      </c>
      <c r="F1256">
        <v>175</v>
      </c>
      <c r="G1256" t="s">
        <v>54</v>
      </c>
      <c r="H1256" t="s">
        <v>100</v>
      </c>
    </row>
    <row r="1257" spans="1:8" x14ac:dyDescent="0.3">
      <c r="A1257" t="s">
        <v>1772</v>
      </c>
      <c r="B1257" t="s">
        <v>100</v>
      </c>
      <c r="C1257">
        <v>2026</v>
      </c>
      <c r="D1257" t="s">
        <v>1752</v>
      </c>
      <c r="E1257" t="s">
        <v>38</v>
      </c>
      <c r="F1257">
        <v>1792371.1236365905</v>
      </c>
      <c r="G1257" t="s">
        <v>36</v>
      </c>
      <c r="H1257" t="s">
        <v>100</v>
      </c>
    </row>
    <row r="1258" spans="1:8" x14ac:dyDescent="0.3">
      <c r="A1258" t="s">
        <v>1773</v>
      </c>
      <c r="B1258" t="s">
        <v>1774</v>
      </c>
      <c r="C1258">
        <v>2026</v>
      </c>
      <c r="D1258" t="s">
        <v>2059</v>
      </c>
      <c r="E1258" t="s">
        <v>53</v>
      </c>
      <c r="F1258">
        <v>0</v>
      </c>
      <c r="G1258" t="s">
        <v>30</v>
      </c>
      <c r="H1258" t="s">
        <v>1774</v>
      </c>
    </row>
    <row r="1259" spans="1:8" x14ac:dyDescent="0.3">
      <c r="A1259" t="s">
        <v>1775</v>
      </c>
      <c r="B1259" t="s">
        <v>1774</v>
      </c>
      <c r="C1259">
        <v>2026</v>
      </c>
      <c r="D1259" t="s">
        <v>2059</v>
      </c>
      <c r="E1259" t="s">
        <v>53</v>
      </c>
      <c r="F1259">
        <v>0</v>
      </c>
      <c r="G1259" t="s">
        <v>54</v>
      </c>
      <c r="H1259" t="s">
        <v>1774</v>
      </c>
    </row>
    <row r="1260" spans="1:8" x14ac:dyDescent="0.3">
      <c r="A1260" t="s">
        <v>1776</v>
      </c>
      <c r="B1260" t="s">
        <v>1774</v>
      </c>
      <c r="C1260">
        <v>2026</v>
      </c>
      <c r="D1260" t="s">
        <v>2059</v>
      </c>
      <c r="E1260" t="s">
        <v>53</v>
      </c>
      <c r="F1260">
        <v>0</v>
      </c>
      <c r="G1260" t="s">
        <v>36</v>
      </c>
      <c r="H1260" t="s">
        <v>1774</v>
      </c>
    </row>
    <row r="1261" spans="1:8" x14ac:dyDescent="0.3">
      <c r="A1261" t="s">
        <v>1777</v>
      </c>
      <c r="B1261" t="s">
        <v>1774</v>
      </c>
      <c r="C1261">
        <v>2026</v>
      </c>
      <c r="D1261" t="s">
        <v>2059</v>
      </c>
      <c r="E1261" t="s">
        <v>63</v>
      </c>
      <c r="F1261">
        <v>0</v>
      </c>
      <c r="G1261" t="s">
        <v>30</v>
      </c>
      <c r="H1261" t="s">
        <v>1774</v>
      </c>
    </row>
    <row r="1262" spans="1:8" x14ac:dyDescent="0.3">
      <c r="A1262" t="s">
        <v>1778</v>
      </c>
      <c r="B1262" t="s">
        <v>1774</v>
      </c>
      <c r="C1262">
        <v>2026</v>
      </c>
      <c r="D1262" t="s">
        <v>2059</v>
      </c>
      <c r="E1262" t="s">
        <v>63</v>
      </c>
      <c r="F1262">
        <v>0</v>
      </c>
      <c r="G1262" t="s">
        <v>54</v>
      </c>
      <c r="H1262" t="s">
        <v>1774</v>
      </c>
    </row>
    <row r="1263" spans="1:8" x14ac:dyDescent="0.3">
      <c r="A1263" t="s">
        <v>1779</v>
      </c>
      <c r="B1263" t="s">
        <v>1774</v>
      </c>
      <c r="C1263">
        <v>2026</v>
      </c>
      <c r="D1263" t="s">
        <v>2059</v>
      </c>
      <c r="E1263" t="s">
        <v>63</v>
      </c>
      <c r="F1263">
        <v>0</v>
      </c>
      <c r="G1263" t="s">
        <v>36</v>
      </c>
      <c r="H1263" t="s">
        <v>1774</v>
      </c>
    </row>
    <row r="1264" spans="1:8" x14ac:dyDescent="0.3">
      <c r="A1264" t="s">
        <v>1780</v>
      </c>
      <c r="B1264" t="s">
        <v>1774</v>
      </c>
      <c r="C1264">
        <v>2026</v>
      </c>
      <c r="D1264" t="s">
        <v>2059</v>
      </c>
      <c r="E1264" t="s">
        <v>3</v>
      </c>
      <c r="F1264">
        <v>0</v>
      </c>
      <c r="G1264" t="s">
        <v>30</v>
      </c>
      <c r="H1264" t="s">
        <v>1774</v>
      </c>
    </row>
    <row r="1265" spans="1:8" x14ac:dyDescent="0.3">
      <c r="A1265" t="s">
        <v>1781</v>
      </c>
      <c r="B1265" t="s">
        <v>1774</v>
      </c>
      <c r="C1265">
        <v>2026</v>
      </c>
      <c r="D1265" t="s">
        <v>2059</v>
      </c>
      <c r="E1265" t="s">
        <v>3</v>
      </c>
      <c r="F1265">
        <v>0</v>
      </c>
      <c r="G1265" t="s">
        <v>54</v>
      </c>
      <c r="H1265" t="s">
        <v>1774</v>
      </c>
    </row>
    <row r="1266" spans="1:8" x14ac:dyDescent="0.3">
      <c r="A1266" t="s">
        <v>1782</v>
      </c>
      <c r="B1266" t="s">
        <v>1774</v>
      </c>
      <c r="C1266">
        <v>2026</v>
      </c>
      <c r="D1266" t="s">
        <v>2059</v>
      </c>
      <c r="E1266" t="s">
        <v>3</v>
      </c>
      <c r="F1266">
        <v>0</v>
      </c>
      <c r="G1266" t="s">
        <v>36</v>
      </c>
      <c r="H1266" t="s">
        <v>1774</v>
      </c>
    </row>
    <row r="1267" spans="1:8" x14ac:dyDescent="0.3">
      <c r="A1267" t="s">
        <v>1783</v>
      </c>
      <c r="B1267" t="s">
        <v>1774</v>
      </c>
      <c r="C1267">
        <v>2026</v>
      </c>
      <c r="D1267" t="s">
        <v>2059</v>
      </c>
      <c r="E1267" t="s">
        <v>2</v>
      </c>
      <c r="F1267">
        <v>0</v>
      </c>
      <c r="G1267" t="s">
        <v>30</v>
      </c>
      <c r="H1267" t="s">
        <v>1774</v>
      </c>
    </row>
    <row r="1268" spans="1:8" x14ac:dyDescent="0.3">
      <c r="A1268" t="s">
        <v>1784</v>
      </c>
      <c r="B1268" t="s">
        <v>1774</v>
      </c>
      <c r="C1268">
        <v>2026</v>
      </c>
      <c r="D1268" t="s">
        <v>2059</v>
      </c>
      <c r="E1268" t="s">
        <v>2</v>
      </c>
      <c r="F1268">
        <v>0</v>
      </c>
      <c r="G1268" t="s">
        <v>54</v>
      </c>
      <c r="H1268" t="s">
        <v>1774</v>
      </c>
    </row>
    <row r="1269" spans="1:8" x14ac:dyDescent="0.3">
      <c r="A1269" t="s">
        <v>1785</v>
      </c>
      <c r="B1269" t="s">
        <v>1774</v>
      </c>
      <c r="C1269">
        <v>2026</v>
      </c>
      <c r="D1269" t="s">
        <v>2059</v>
      </c>
      <c r="E1269" t="s">
        <v>2</v>
      </c>
      <c r="F1269">
        <v>0</v>
      </c>
      <c r="G1269" t="s">
        <v>36</v>
      </c>
      <c r="H1269" t="s">
        <v>1774</v>
      </c>
    </row>
    <row r="1270" spans="1:8" x14ac:dyDescent="0.3">
      <c r="A1270" t="s">
        <v>1786</v>
      </c>
      <c r="B1270" t="s">
        <v>1774</v>
      </c>
      <c r="C1270">
        <v>2026</v>
      </c>
      <c r="D1270" t="s">
        <v>2059</v>
      </c>
      <c r="E1270" t="s">
        <v>1</v>
      </c>
      <c r="F1270">
        <v>0</v>
      </c>
      <c r="G1270" t="s">
        <v>30</v>
      </c>
      <c r="H1270" t="s">
        <v>1774</v>
      </c>
    </row>
    <row r="1271" spans="1:8" x14ac:dyDescent="0.3">
      <c r="A1271" t="s">
        <v>1787</v>
      </c>
      <c r="B1271" t="s">
        <v>1774</v>
      </c>
      <c r="C1271">
        <v>2026</v>
      </c>
      <c r="D1271" t="s">
        <v>2059</v>
      </c>
      <c r="E1271" t="s">
        <v>1</v>
      </c>
      <c r="F1271">
        <v>0</v>
      </c>
      <c r="G1271" t="s">
        <v>54</v>
      </c>
      <c r="H1271" t="s">
        <v>1774</v>
      </c>
    </row>
    <row r="1272" spans="1:8" x14ac:dyDescent="0.3">
      <c r="A1272" t="s">
        <v>1788</v>
      </c>
      <c r="B1272" t="s">
        <v>1774</v>
      </c>
      <c r="C1272">
        <v>2026</v>
      </c>
      <c r="D1272" t="s">
        <v>2059</v>
      </c>
      <c r="E1272" t="s">
        <v>1</v>
      </c>
      <c r="F1272">
        <v>0</v>
      </c>
      <c r="G1272" t="s">
        <v>36</v>
      </c>
      <c r="H1272" t="s">
        <v>1774</v>
      </c>
    </row>
    <row r="1273" spans="1:8" x14ac:dyDescent="0.3">
      <c r="A1273" t="s">
        <v>2039</v>
      </c>
      <c r="B1273" t="s">
        <v>1774</v>
      </c>
      <c r="C1273">
        <v>2026</v>
      </c>
      <c r="D1273" t="s">
        <v>2059</v>
      </c>
      <c r="E1273" t="s">
        <v>1885</v>
      </c>
      <c r="F1273">
        <v>0</v>
      </c>
      <c r="G1273" t="s">
        <v>30</v>
      </c>
      <c r="H1273" t="s">
        <v>1774</v>
      </c>
    </row>
    <row r="1274" spans="1:8" x14ac:dyDescent="0.3">
      <c r="A1274" t="s">
        <v>2040</v>
      </c>
      <c r="B1274" t="s">
        <v>1774</v>
      </c>
      <c r="C1274">
        <v>2026</v>
      </c>
      <c r="D1274" t="s">
        <v>2059</v>
      </c>
      <c r="E1274" t="s">
        <v>1885</v>
      </c>
      <c r="F1274">
        <v>0</v>
      </c>
      <c r="G1274" t="s">
        <v>54</v>
      </c>
      <c r="H1274" t="s">
        <v>1774</v>
      </c>
    </row>
    <row r="1275" spans="1:8" x14ac:dyDescent="0.3">
      <c r="A1275" t="s">
        <v>2041</v>
      </c>
      <c r="B1275" t="s">
        <v>1774</v>
      </c>
      <c r="C1275">
        <v>2026</v>
      </c>
      <c r="D1275" t="s">
        <v>2059</v>
      </c>
      <c r="E1275" t="s">
        <v>1885</v>
      </c>
      <c r="F1275">
        <v>0</v>
      </c>
      <c r="G1275" t="s">
        <v>36</v>
      </c>
      <c r="H1275" t="s">
        <v>1774</v>
      </c>
    </row>
    <row r="1276" spans="1:8" x14ac:dyDescent="0.3">
      <c r="A1276" t="s">
        <v>1789</v>
      </c>
      <c r="B1276" t="s">
        <v>1774</v>
      </c>
      <c r="C1276">
        <v>2026</v>
      </c>
      <c r="D1276" t="s">
        <v>2059</v>
      </c>
      <c r="E1276" t="s">
        <v>4</v>
      </c>
      <c r="F1276">
        <v>0</v>
      </c>
      <c r="G1276" t="s">
        <v>30</v>
      </c>
      <c r="H1276" t="s">
        <v>1774</v>
      </c>
    </row>
    <row r="1277" spans="1:8" x14ac:dyDescent="0.3">
      <c r="A1277" t="s">
        <v>1790</v>
      </c>
      <c r="B1277" t="s">
        <v>1774</v>
      </c>
      <c r="C1277">
        <v>2026</v>
      </c>
      <c r="D1277" t="s">
        <v>2059</v>
      </c>
      <c r="E1277" t="s">
        <v>4</v>
      </c>
      <c r="F1277">
        <v>0</v>
      </c>
      <c r="G1277" t="s">
        <v>54</v>
      </c>
      <c r="H1277" t="s">
        <v>1774</v>
      </c>
    </row>
    <row r="1278" spans="1:8" x14ac:dyDescent="0.3">
      <c r="A1278" t="s">
        <v>1791</v>
      </c>
      <c r="B1278" t="s">
        <v>1774</v>
      </c>
      <c r="C1278">
        <v>2026</v>
      </c>
      <c r="D1278" t="s">
        <v>2059</v>
      </c>
      <c r="E1278" t="s">
        <v>4</v>
      </c>
      <c r="F1278">
        <v>0</v>
      </c>
      <c r="G1278" t="s">
        <v>36</v>
      </c>
      <c r="H1278" t="s">
        <v>1774</v>
      </c>
    </row>
    <row r="1279" spans="1:8" x14ac:dyDescent="0.3">
      <c r="A1279" t="s">
        <v>1792</v>
      </c>
      <c r="B1279" t="s">
        <v>1774</v>
      </c>
      <c r="C1279">
        <v>2026</v>
      </c>
      <c r="D1279" t="s">
        <v>2059</v>
      </c>
      <c r="E1279" t="s">
        <v>38</v>
      </c>
      <c r="F1279">
        <v>0</v>
      </c>
      <c r="G1279" t="s">
        <v>30</v>
      </c>
      <c r="H1279" t="s">
        <v>1774</v>
      </c>
    </row>
    <row r="1280" spans="1:8" x14ac:dyDescent="0.3">
      <c r="A1280" t="s">
        <v>1793</v>
      </c>
      <c r="B1280" t="s">
        <v>1774</v>
      </c>
      <c r="C1280">
        <v>2026</v>
      </c>
      <c r="D1280" t="s">
        <v>2059</v>
      </c>
      <c r="E1280" t="s">
        <v>38</v>
      </c>
      <c r="F1280">
        <v>0</v>
      </c>
      <c r="G1280" t="s">
        <v>54</v>
      </c>
      <c r="H1280" t="s">
        <v>1774</v>
      </c>
    </row>
    <row r="1281" spans="1:8" x14ac:dyDescent="0.3">
      <c r="A1281" t="s">
        <v>1794</v>
      </c>
      <c r="B1281" t="s">
        <v>1774</v>
      </c>
      <c r="C1281">
        <v>2026</v>
      </c>
      <c r="D1281" t="s">
        <v>2059</v>
      </c>
      <c r="E1281" t="s">
        <v>38</v>
      </c>
      <c r="F1281">
        <v>0</v>
      </c>
      <c r="G1281" t="s">
        <v>36</v>
      </c>
      <c r="H1281" t="s">
        <v>1774</v>
      </c>
    </row>
    <row r="1282" spans="1:8" x14ac:dyDescent="0.3">
      <c r="A1282" t="s">
        <v>1795</v>
      </c>
      <c r="B1282" t="s">
        <v>1796</v>
      </c>
      <c r="C1282">
        <v>2026</v>
      </c>
      <c r="D1282" t="s">
        <v>1797</v>
      </c>
      <c r="E1282" t="s">
        <v>53</v>
      </c>
      <c r="F1282">
        <v>0</v>
      </c>
      <c r="G1282" t="s">
        <v>30</v>
      </c>
      <c r="H1282" t="s">
        <v>1796</v>
      </c>
    </row>
    <row r="1283" spans="1:8" x14ac:dyDescent="0.3">
      <c r="A1283" t="s">
        <v>1798</v>
      </c>
      <c r="B1283" t="s">
        <v>1796</v>
      </c>
      <c r="C1283">
        <v>2026</v>
      </c>
      <c r="D1283" t="s">
        <v>1797</v>
      </c>
      <c r="E1283" t="s">
        <v>53</v>
      </c>
      <c r="F1283">
        <v>0</v>
      </c>
      <c r="G1283" t="s">
        <v>54</v>
      </c>
      <c r="H1283" t="s">
        <v>1796</v>
      </c>
    </row>
    <row r="1284" spans="1:8" x14ac:dyDescent="0.3">
      <c r="A1284" t="s">
        <v>1799</v>
      </c>
      <c r="B1284" t="s">
        <v>1796</v>
      </c>
      <c r="C1284">
        <v>2026</v>
      </c>
      <c r="D1284" t="s">
        <v>1797</v>
      </c>
      <c r="E1284" t="s">
        <v>53</v>
      </c>
      <c r="F1284">
        <v>0</v>
      </c>
      <c r="G1284" t="s">
        <v>36</v>
      </c>
      <c r="H1284" t="s">
        <v>1796</v>
      </c>
    </row>
    <row r="1285" spans="1:8" x14ac:dyDescent="0.3">
      <c r="A1285" t="s">
        <v>1800</v>
      </c>
      <c r="B1285" t="s">
        <v>1796</v>
      </c>
      <c r="C1285">
        <v>2026</v>
      </c>
      <c r="D1285" t="s">
        <v>1797</v>
      </c>
      <c r="E1285" t="s">
        <v>63</v>
      </c>
      <c r="F1285">
        <v>0</v>
      </c>
      <c r="G1285" t="s">
        <v>30</v>
      </c>
      <c r="H1285" t="s">
        <v>1796</v>
      </c>
    </row>
    <row r="1286" spans="1:8" x14ac:dyDescent="0.3">
      <c r="A1286" t="s">
        <v>1801</v>
      </c>
      <c r="B1286" t="s">
        <v>1796</v>
      </c>
      <c r="C1286">
        <v>2026</v>
      </c>
      <c r="D1286" t="s">
        <v>1797</v>
      </c>
      <c r="E1286" t="s">
        <v>63</v>
      </c>
      <c r="F1286">
        <v>0</v>
      </c>
      <c r="G1286" t="s">
        <v>54</v>
      </c>
      <c r="H1286" t="s">
        <v>1796</v>
      </c>
    </row>
    <row r="1287" spans="1:8" x14ac:dyDescent="0.3">
      <c r="A1287" t="s">
        <v>1802</v>
      </c>
      <c r="B1287" t="s">
        <v>1796</v>
      </c>
      <c r="C1287">
        <v>2026</v>
      </c>
      <c r="D1287" t="s">
        <v>1797</v>
      </c>
      <c r="E1287" t="s">
        <v>63</v>
      </c>
      <c r="F1287">
        <v>0</v>
      </c>
      <c r="G1287" t="s">
        <v>36</v>
      </c>
      <c r="H1287" t="s">
        <v>1796</v>
      </c>
    </row>
    <row r="1288" spans="1:8" x14ac:dyDescent="0.3">
      <c r="A1288" t="s">
        <v>1803</v>
      </c>
      <c r="B1288" t="s">
        <v>1796</v>
      </c>
      <c r="C1288">
        <v>2026</v>
      </c>
      <c r="D1288" t="s">
        <v>1797</v>
      </c>
      <c r="E1288" t="s">
        <v>3</v>
      </c>
      <c r="F1288">
        <v>0</v>
      </c>
      <c r="G1288" t="s">
        <v>30</v>
      </c>
      <c r="H1288" t="s">
        <v>1796</v>
      </c>
    </row>
    <row r="1289" spans="1:8" x14ac:dyDescent="0.3">
      <c r="A1289" t="s">
        <v>1804</v>
      </c>
      <c r="B1289" t="s">
        <v>1796</v>
      </c>
      <c r="C1289">
        <v>2026</v>
      </c>
      <c r="D1289" t="s">
        <v>1797</v>
      </c>
      <c r="E1289" t="s">
        <v>3</v>
      </c>
      <c r="F1289">
        <v>0</v>
      </c>
      <c r="G1289" t="s">
        <v>54</v>
      </c>
      <c r="H1289" t="s">
        <v>1796</v>
      </c>
    </row>
    <row r="1290" spans="1:8" x14ac:dyDescent="0.3">
      <c r="A1290" t="s">
        <v>1805</v>
      </c>
      <c r="B1290" t="s">
        <v>1796</v>
      </c>
      <c r="C1290">
        <v>2026</v>
      </c>
      <c r="D1290" t="s">
        <v>1797</v>
      </c>
      <c r="E1290" t="s">
        <v>3</v>
      </c>
      <c r="F1290">
        <v>0</v>
      </c>
      <c r="G1290" t="s">
        <v>36</v>
      </c>
      <c r="H1290" t="s">
        <v>1796</v>
      </c>
    </row>
    <row r="1291" spans="1:8" x14ac:dyDescent="0.3">
      <c r="A1291" t="s">
        <v>1806</v>
      </c>
      <c r="B1291" t="s">
        <v>1796</v>
      </c>
      <c r="C1291">
        <v>2026</v>
      </c>
      <c r="D1291" t="s">
        <v>1797</v>
      </c>
      <c r="E1291" t="s">
        <v>2</v>
      </c>
      <c r="F1291">
        <v>0</v>
      </c>
      <c r="G1291" t="s">
        <v>30</v>
      </c>
      <c r="H1291" t="s">
        <v>1796</v>
      </c>
    </row>
    <row r="1292" spans="1:8" x14ac:dyDescent="0.3">
      <c r="A1292" t="s">
        <v>1807</v>
      </c>
      <c r="B1292" t="s">
        <v>1796</v>
      </c>
      <c r="C1292">
        <v>2026</v>
      </c>
      <c r="D1292" t="s">
        <v>1797</v>
      </c>
      <c r="E1292" t="s">
        <v>2</v>
      </c>
      <c r="F1292">
        <v>0</v>
      </c>
      <c r="G1292" t="s">
        <v>54</v>
      </c>
      <c r="H1292" t="s">
        <v>1796</v>
      </c>
    </row>
    <row r="1293" spans="1:8" x14ac:dyDescent="0.3">
      <c r="A1293" t="s">
        <v>1808</v>
      </c>
      <c r="B1293" t="s">
        <v>1796</v>
      </c>
      <c r="C1293">
        <v>2026</v>
      </c>
      <c r="D1293" t="s">
        <v>1797</v>
      </c>
      <c r="E1293" t="s">
        <v>2</v>
      </c>
      <c r="F1293">
        <v>0</v>
      </c>
      <c r="G1293" t="s">
        <v>36</v>
      </c>
      <c r="H1293" t="s">
        <v>1796</v>
      </c>
    </row>
    <row r="1294" spans="1:8" x14ac:dyDescent="0.3">
      <c r="A1294" t="s">
        <v>1809</v>
      </c>
      <c r="B1294" t="s">
        <v>1796</v>
      </c>
      <c r="C1294">
        <v>2026</v>
      </c>
      <c r="D1294" t="s">
        <v>1797</v>
      </c>
      <c r="E1294" t="s">
        <v>1</v>
      </c>
      <c r="F1294">
        <v>0</v>
      </c>
      <c r="G1294" t="s">
        <v>30</v>
      </c>
      <c r="H1294" t="s">
        <v>1796</v>
      </c>
    </row>
    <row r="1295" spans="1:8" x14ac:dyDescent="0.3">
      <c r="A1295" t="s">
        <v>1810</v>
      </c>
      <c r="B1295" t="s">
        <v>1796</v>
      </c>
      <c r="C1295">
        <v>2026</v>
      </c>
      <c r="D1295" t="s">
        <v>1797</v>
      </c>
      <c r="E1295" t="s">
        <v>1</v>
      </c>
      <c r="F1295">
        <v>0</v>
      </c>
      <c r="G1295" t="s">
        <v>54</v>
      </c>
      <c r="H1295" t="s">
        <v>1796</v>
      </c>
    </row>
    <row r="1296" spans="1:8" x14ac:dyDescent="0.3">
      <c r="A1296" t="s">
        <v>1811</v>
      </c>
      <c r="B1296" t="s">
        <v>1796</v>
      </c>
      <c r="C1296">
        <v>2026</v>
      </c>
      <c r="D1296" t="s">
        <v>1797</v>
      </c>
      <c r="E1296" t="s">
        <v>1</v>
      </c>
      <c r="F1296">
        <v>0</v>
      </c>
      <c r="G1296" t="s">
        <v>36</v>
      </c>
      <c r="H1296" t="s">
        <v>1796</v>
      </c>
    </row>
    <row r="1297" spans="1:8" x14ac:dyDescent="0.3">
      <c r="A1297" t="s">
        <v>2042</v>
      </c>
      <c r="B1297" t="s">
        <v>1796</v>
      </c>
      <c r="C1297">
        <v>2026</v>
      </c>
      <c r="D1297" t="s">
        <v>1797</v>
      </c>
      <c r="E1297" t="s">
        <v>1885</v>
      </c>
      <c r="F1297">
        <v>0</v>
      </c>
      <c r="G1297" t="s">
        <v>30</v>
      </c>
      <c r="H1297" t="s">
        <v>1796</v>
      </c>
    </row>
    <row r="1298" spans="1:8" x14ac:dyDescent="0.3">
      <c r="A1298" t="s">
        <v>2043</v>
      </c>
      <c r="B1298" t="s">
        <v>1796</v>
      </c>
      <c r="C1298">
        <v>2026</v>
      </c>
      <c r="D1298" t="s">
        <v>1797</v>
      </c>
      <c r="E1298" t="s">
        <v>1885</v>
      </c>
      <c r="F1298">
        <v>0</v>
      </c>
      <c r="G1298" t="s">
        <v>54</v>
      </c>
      <c r="H1298" t="s">
        <v>1796</v>
      </c>
    </row>
    <row r="1299" spans="1:8" x14ac:dyDescent="0.3">
      <c r="A1299" t="s">
        <v>2044</v>
      </c>
      <c r="B1299" t="s">
        <v>1796</v>
      </c>
      <c r="C1299">
        <v>2026</v>
      </c>
      <c r="D1299" t="s">
        <v>1797</v>
      </c>
      <c r="E1299" t="s">
        <v>1885</v>
      </c>
      <c r="F1299">
        <v>0</v>
      </c>
      <c r="G1299" t="s">
        <v>36</v>
      </c>
      <c r="H1299" t="s">
        <v>1796</v>
      </c>
    </row>
    <row r="1300" spans="1:8" x14ac:dyDescent="0.3">
      <c r="A1300" t="s">
        <v>1812</v>
      </c>
      <c r="B1300" t="s">
        <v>1796</v>
      </c>
      <c r="C1300">
        <v>2026</v>
      </c>
      <c r="D1300" t="s">
        <v>1797</v>
      </c>
      <c r="E1300" t="s">
        <v>4</v>
      </c>
      <c r="F1300">
        <v>0</v>
      </c>
      <c r="G1300" t="s">
        <v>30</v>
      </c>
      <c r="H1300" t="s">
        <v>1796</v>
      </c>
    </row>
    <row r="1301" spans="1:8" x14ac:dyDescent="0.3">
      <c r="A1301" t="s">
        <v>1813</v>
      </c>
      <c r="B1301" t="s">
        <v>1796</v>
      </c>
      <c r="C1301">
        <v>2026</v>
      </c>
      <c r="D1301" t="s">
        <v>1797</v>
      </c>
      <c r="E1301" t="s">
        <v>4</v>
      </c>
      <c r="F1301">
        <v>0</v>
      </c>
      <c r="G1301" t="s">
        <v>54</v>
      </c>
      <c r="H1301" t="s">
        <v>1796</v>
      </c>
    </row>
    <row r="1302" spans="1:8" x14ac:dyDescent="0.3">
      <c r="A1302" t="s">
        <v>1814</v>
      </c>
      <c r="B1302" t="s">
        <v>1796</v>
      </c>
      <c r="C1302">
        <v>2026</v>
      </c>
      <c r="D1302" t="s">
        <v>1797</v>
      </c>
      <c r="E1302" t="s">
        <v>4</v>
      </c>
      <c r="F1302">
        <v>0</v>
      </c>
      <c r="G1302" t="s">
        <v>36</v>
      </c>
      <c r="H1302" t="s">
        <v>1796</v>
      </c>
    </row>
    <row r="1303" spans="1:8" x14ac:dyDescent="0.3">
      <c r="A1303" t="s">
        <v>1815</v>
      </c>
      <c r="B1303" t="s">
        <v>1796</v>
      </c>
      <c r="C1303">
        <v>2026</v>
      </c>
      <c r="D1303" t="s">
        <v>1797</v>
      </c>
      <c r="E1303" t="s">
        <v>38</v>
      </c>
      <c r="F1303">
        <v>0</v>
      </c>
      <c r="G1303" t="s">
        <v>30</v>
      </c>
      <c r="H1303" t="s">
        <v>1796</v>
      </c>
    </row>
    <row r="1304" spans="1:8" x14ac:dyDescent="0.3">
      <c r="A1304" t="s">
        <v>1816</v>
      </c>
      <c r="B1304" t="s">
        <v>1796</v>
      </c>
      <c r="C1304">
        <v>2026</v>
      </c>
      <c r="D1304" t="s">
        <v>1797</v>
      </c>
      <c r="E1304" t="s">
        <v>38</v>
      </c>
      <c r="F1304">
        <v>0</v>
      </c>
      <c r="G1304" t="s">
        <v>54</v>
      </c>
      <c r="H1304" t="s">
        <v>1796</v>
      </c>
    </row>
    <row r="1305" spans="1:8" x14ac:dyDescent="0.3">
      <c r="A1305" t="s">
        <v>1817</v>
      </c>
      <c r="B1305" t="s">
        <v>1796</v>
      </c>
      <c r="C1305">
        <v>2026</v>
      </c>
      <c r="D1305" t="s">
        <v>1797</v>
      </c>
      <c r="E1305" t="s">
        <v>38</v>
      </c>
      <c r="F1305">
        <v>0</v>
      </c>
      <c r="G1305" t="s">
        <v>36</v>
      </c>
      <c r="H1305" t="s">
        <v>1796</v>
      </c>
    </row>
    <row r="1306" spans="1:8" x14ac:dyDescent="0.3">
      <c r="A1306" t="s">
        <v>1818</v>
      </c>
      <c r="B1306" t="s">
        <v>101</v>
      </c>
      <c r="C1306">
        <v>2026</v>
      </c>
      <c r="D1306" t="s">
        <v>1819</v>
      </c>
      <c r="E1306" t="s">
        <v>53</v>
      </c>
      <c r="F1306">
        <v>0</v>
      </c>
      <c r="G1306" t="s">
        <v>30</v>
      </c>
      <c r="H1306" t="s">
        <v>101</v>
      </c>
    </row>
    <row r="1307" spans="1:8" x14ac:dyDescent="0.3">
      <c r="A1307" t="s">
        <v>1820</v>
      </c>
      <c r="B1307" t="s">
        <v>101</v>
      </c>
      <c r="C1307">
        <v>2026</v>
      </c>
      <c r="D1307" t="s">
        <v>1819</v>
      </c>
      <c r="E1307" t="s">
        <v>53</v>
      </c>
      <c r="F1307">
        <v>0</v>
      </c>
      <c r="G1307" t="s">
        <v>54</v>
      </c>
      <c r="H1307" t="s">
        <v>101</v>
      </c>
    </row>
    <row r="1308" spans="1:8" x14ac:dyDescent="0.3">
      <c r="A1308" t="s">
        <v>1821</v>
      </c>
      <c r="B1308" t="s">
        <v>101</v>
      </c>
      <c r="C1308">
        <v>2026</v>
      </c>
      <c r="D1308" t="s">
        <v>1819</v>
      </c>
      <c r="E1308" t="s">
        <v>53</v>
      </c>
      <c r="F1308">
        <v>0</v>
      </c>
      <c r="G1308" t="s">
        <v>36</v>
      </c>
      <c r="H1308" t="s">
        <v>101</v>
      </c>
    </row>
    <row r="1309" spans="1:8" x14ac:dyDescent="0.3">
      <c r="A1309" t="s">
        <v>1822</v>
      </c>
      <c r="B1309" t="s">
        <v>101</v>
      </c>
      <c r="C1309">
        <v>2026</v>
      </c>
      <c r="D1309" t="s">
        <v>1819</v>
      </c>
      <c r="E1309" t="s">
        <v>63</v>
      </c>
      <c r="F1309">
        <v>0</v>
      </c>
      <c r="G1309" t="s">
        <v>30</v>
      </c>
      <c r="H1309" t="s">
        <v>101</v>
      </c>
    </row>
    <row r="1310" spans="1:8" x14ac:dyDescent="0.3">
      <c r="A1310" t="s">
        <v>1823</v>
      </c>
      <c r="B1310" t="s">
        <v>101</v>
      </c>
      <c r="C1310">
        <v>2026</v>
      </c>
      <c r="D1310" t="s">
        <v>1819</v>
      </c>
      <c r="E1310" t="s">
        <v>63</v>
      </c>
      <c r="F1310">
        <v>0</v>
      </c>
      <c r="G1310" t="s">
        <v>54</v>
      </c>
      <c r="H1310" t="s">
        <v>101</v>
      </c>
    </row>
    <row r="1311" spans="1:8" x14ac:dyDescent="0.3">
      <c r="A1311" t="s">
        <v>1824</v>
      </c>
      <c r="B1311" t="s">
        <v>101</v>
      </c>
      <c r="C1311">
        <v>2026</v>
      </c>
      <c r="D1311" t="s">
        <v>1819</v>
      </c>
      <c r="E1311" t="s">
        <v>63</v>
      </c>
      <c r="F1311">
        <v>0</v>
      </c>
      <c r="G1311" t="s">
        <v>36</v>
      </c>
      <c r="H1311" t="s">
        <v>101</v>
      </c>
    </row>
    <row r="1312" spans="1:8" x14ac:dyDescent="0.3">
      <c r="A1312" t="s">
        <v>1825</v>
      </c>
      <c r="B1312" t="s">
        <v>101</v>
      </c>
      <c r="C1312">
        <v>2026</v>
      </c>
      <c r="D1312" t="s">
        <v>1819</v>
      </c>
      <c r="E1312" t="s">
        <v>3</v>
      </c>
      <c r="F1312">
        <v>0</v>
      </c>
      <c r="G1312" t="s">
        <v>30</v>
      </c>
      <c r="H1312" t="s">
        <v>101</v>
      </c>
    </row>
    <row r="1313" spans="1:8" x14ac:dyDescent="0.3">
      <c r="A1313" t="s">
        <v>1826</v>
      </c>
      <c r="B1313" t="s">
        <v>101</v>
      </c>
      <c r="C1313">
        <v>2026</v>
      </c>
      <c r="D1313" t="s">
        <v>1819</v>
      </c>
      <c r="E1313" t="s">
        <v>3</v>
      </c>
      <c r="F1313">
        <v>0</v>
      </c>
      <c r="G1313" t="s">
        <v>54</v>
      </c>
      <c r="H1313" t="s">
        <v>101</v>
      </c>
    </row>
    <row r="1314" spans="1:8" x14ac:dyDescent="0.3">
      <c r="A1314" t="s">
        <v>1827</v>
      </c>
      <c r="B1314" t="s">
        <v>101</v>
      </c>
      <c r="C1314">
        <v>2026</v>
      </c>
      <c r="D1314" t="s">
        <v>1819</v>
      </c>
      <c r="E1314" t="s">
        <v>3</v>
      </c>
      <c r="F1314">
        <v>0</v>
      </c>
      <c r="G1314" t="s">
        <v>36</v>
      </c>
      <c r="H1314" t="s">
        <v>101</v>
      </c>
    </row>
    <row r="1315" spans="1:8" x14ac:dyDescent="0.3">
      <c r="A1315" t="s">
        <v>1828</v>
      </c>
      <c r="B1315" t="s">
        <v>101</v>
      </c>
      <c r="C1315">
        <v>2026</v>
      </c>
      <c r="D1315" t="s">
        <v>1819</v>
      </c>
      <c r="E1315" t="s">
        <v>2</v>
      </c>
      <c r="F1315">
        <v>7195.6103836902157</v>
      </c>
      <c r="G1315" t="s">
        <v>30</v>
      </c>
      <c r="H1315" t="s">
        <v>101</v>
      </c>
    </row>
    <row r="1316" spans="1:8" x14ac:dyDescent="0.3">
      <c r="A1316" t="s">
        <v>1829</v>
      </c>
      <c r="B1316" t="s">
        <v>101</v>
      </c>
      <c r="C1316">
        <v>2026</v>
      </c>
      <c r="D1316" t="s">
        <v>1819</v>
      </c>
      <c r="E1316" t="s">
        <v>2</v>
      </c>
      <c r="F1316">
        <v>130</v>
      </c>
      <c r="G1316" t="s">
        <v>54</v>
      </c>
      <c r="H1316" t="s">
        <v>101</v>
      </c>
    </row>
    <row r="1317" spans="1:8" x14ac:dyDescent="0.3">
      <c r="A1317" t="s">
        <v>1830</v>
      </c>
      <c r="B1317" t="s">
        <v>101</v>
      </c>
      <c r="C1317">
        <v>2026</v>
      </c>
      <c r="D1317" t="s">
        <v>1819</v>
      </c>
      <c r="E1317" t="s">
        <v>2</v>
      </c>
      <c r="F1317">
        <v>935429.34987972805</v>
      </c>
      <c r="G1317" t="s">
        <v>36</v>
      </c>
      <c r="H1317" t="s">
        <v>101</v>
      </c>
    </row>
    <row r="1318" spans="1:8" x14ac:dyDescent="0.3">
      <c r="A1318" t="s">
        <v>1831</v>
      </c>
      <c r="B1318" t="s">
        <v>101</v>
      </c>
      <c r="C1318">
        <v>2026</v>
      </c>
      <c r="D1318" t="s">
        <v>1819</v>
      </c>
      <c r="E1318" t="s">
        <v>1</v>
      </c>
      <c r="F1318">
        <v>0</v>
      </c>
      <c r="G1318" t="s">
        <v>30</v>
      </c>
      <c r="H1318" t="s">
        <v>101</v>
      </c>
    </row>
    <row r="1319" spans="1:8" x14ac:dyDescent="0.3">
      <c r="A1319" t="s">
        <v>1832</v>
      </c>
      <c r="B1319" t="s">
        <v>101</v>
      </c>
      <c r="C1319">
        <v>2026</v>
      </c>
      <c r="D1319" t="s">
        <v>1819</v>
      </c>
      <c r="E1319" t="s">
        <v>1</v>
      </c>
      <c r="F1319">
        <v>0</v>
      </c>
      <c r="G1319" t="s">
        <v>54</v>
      </c>
      <c r="H1319" t="s">
        <v>101</v>
      </c>
    </row>
    <row r="1320" spans="1:8" x14ac:dyDescent="0.3">
      <c r="A1320" t="s">
        <v>1833</v>
      </c>
      <c r="B1320" t="s">
        <v>101</v>
      </c>
      <c r="C1320">
        <v>2026</v>
      </c>
      <c r="D1320" t="s">
        <v>1819</v>
      </c>
      <c r="E1320" t="s">
        <v>1</v>
      </c>
      <c r="F1320">
        <v>0</v>
      </c>
      <c r="G1320" t="s">
        <v>36</v>
      </c>
      <c r="H1320" t="s">
        <v>101</v>
      </c>
    </row>
    <row r="1321" spans="1:8" x14ac:dyDescent="0.3">
      <c r="A1321" t="s">
        <v>2045</v>
      </c>
      <c r="B1321" t="s">
        <v>101</v>
      </c>
      <c r="C1321">
        <v>2026</v>
      </c>
      <c r="D1321" t="s">
        <v>1819</v>
      </c>
      <c r="E1321" t="s">
        <v>1885</v>
      </c>
      <c r="F1321">
        <v>8237.8169189384134</v>
      </c>
      <c r="G1321" t="s">
        <v>30</v>
      </c>
      <c r="H1321" t="s">
        <v>101</v>
      </c>
    </row>
    <row r="1322" spans="1:8" x14ac:dyDescent="0.3">
      <c r="A1322" t="s">
        <v>2046</v>
      </c>
      <c r="B1322" t="s">
        <v>101</v>
      </c>
      <c r="C1322">
        <v>2026</v>
      </c>
      <c r="D1322" t="s">
        <v>1819</v>
      </c>
      <c r="E1322" t="s">
        <v>1885</v>
      </c>
      <c r="F1322">
        <v>328</v>
      </c>
      <c r="G1322" t="s">
        <v>54</v>
      </c>
      <c r="H1322" t="s">
        <v>101</v>
      </c>
    </row>
    <row r="1323" spans="1:8" x14ac:dyDescent="0.3">
      <c r="A1323" t="s">
        <v>2047</v>
      </c>
      <c r="B1323" t="s">
        <v>101</v>
      </c>
      <c r="C1323">
        <v>2026</v>
      </c>
      <c r="D1323" t="s">
        <v>1819</v>
      </c>
      <c r="E1323" t="s">
        <v>1885</v>
      </c>
      <c r="F1323">
        <v>2702003.9494117997</v>
      </c>
      <c r="G1323" t="s">
        <v>36</v>
      </c>
      <c r="H1323" t="s">
        <v>101</v>
      </c>
    </row>
    <row r="1324" spans="1:8" x14ac:dyDescent="0.3">
      <c r="A1324" t="s">
        <v>1834</v>
      </c>
      <c r="B1324" t="s">
        <v>101</v>
      </c>
      <c r="C1324">
        <v>2026</v>
      </c>
      <c r="D1324" t="s">
        <v>1819</v>
      </c>
      <c r="E1324" t="s">
        <v>4</v>
      </c>
      <c r="F1324">
        <v>8344.3322952991803</v>
      </c>
      <c r="G1324" t="s">
        <v>30</v>
      </c>
      <c r="H1324" t="s">
        <v>101</v>
      </c>
    </row>
    <row r="1325" spans="1:8" x14ac:dyDescent="0.3">
      <c r="A1325" t="s">
        <v>1835</v>
      </c>
      <c r="B1325" t="s">
        <v>101</v>
      </c>
      <c r="C1325">
        <v>2026</v>
      </c>
      <c r="D1325" t="s">
        <v>1819</v>
      </c>
      <c r="E1325" t="s">
        <v>4</v>
      </c>
      <c r="F1325">
        <v>371</v>
      </c>
      <c r="G1325" t="s">
        <v>54</v>
      </c>
      <c r="H1325" t="s">
        <v>101</v>
      </c>
    </row>
    <row r="1326" spans="1:8" x14ac:dyDescent="0.3">
      <c r="A1326" t="s">
        <v>1836</v>
      </c>
      <c r="B1326" t="s">
        <v>101</v>
      </c>
      <c r="C1326">
        <v>2026</v>
      </c>
      <c r="D1326" t="s">
        <v>1819</v>
      </c>
      <c r="E1326" t="s">
        <v>4</v>
      </c>
      <c r="F1326">
        <v>3095747.2815559958</v>
      </c>
      <c r="G1326" t="s">
        <v>36</v>
      </c>
      <c r="H1326" t="s">
        <v>101</v>
      </c>
    </row>
    <row r="1327" spans="1:8" x14ac:dyDescent="0.3">
      <c r="A1327" t="s">
        <v>1837</v>
      </c>
      <c r="B1327" t="s">
        <v>101</v>
      </c>
      <c r="C1327">
        <v>2026</v>
      </c>
      <c r="D1327" t="s">
        <v>1819</v>
      </c>
      <c r="E1327" t="s">
        <v>38</v>
      </c>
      <c r="F1327">
        <v>8963.9748202334758</v>
      </c>
      <c r="G1327" t="s">
        <v>30</v>
      </c>
      <c r="H1327" t="s">
        <v>101</v>
      </c>
    </row>
    <row r="1328" spans="1:8" x14ac:dyDescent="0.3">
      <c r="A1328" t="s">
        <v>1838</v>
      </c>
      <c r="B1328" t="s">
        <v>101</v>
      </c>
      <c r="C1328">
        <v>2026</v>
      </c>
      <c r="D1328" t="s">
        <v>1819</v>
      </c>
      <c r="E1328" t="s">
        <v>38</v>
      </c>
      <c r="F1328">
        <v>241</v>
      </c>
      <c r="G1328" t="s">
        <v>54</v>
      </c>
      <c r="H1328" t="s">
        <v>101</v>
      </c>
    </row>
    <row r="1329" spans="1:8" x14ac:dyDescent="0.3">
      <c r="A1329" t="s">
        <v>1839</v>
      </c>
      <c r="B1329" t="s">
        <v>101</v>
      </c>
      <c r="C1329">
        <v>2026</v>
      </c>
      <c r="D1329" t="s">
        <v>1819</v>
      </c>
      <c r="E1329" t="s">
        <v>38</v>
      </c>
      <c r="F1329">
        <v>2160317.9316762676</v>
      </c>
      <c r="G1329" t="s">
        <v>36</v>
      </c>
      <c r="H1329" t="s">
        <v>101</v>
      </c>
    </row>
    <row r="1330" spans="1:8" x14ac:dyDescent="0.3">
      <c r="A1330" t="s">
        <v>1840</v>
      </c>
      <c r="B1330" t="s">
        <v>642</v>
      </c>
      <c r="C1330">
        <v>2026</v>
      </c>
      <c r="D1330" t="s">
        <v>1841</v>
      </c>
      <c r="E1330" t="s">
        <v>53</v>
      </c>
      <c r="F1330">
        <v>0</v>
      </c>
      <c r="G1330" t="s">
        <v>30</v>
      </c>
      <c r="H1330" t="s">
        <v>642</v>
      </c>
    </row>
    <row r="1331" spans="1:8" x14ac:dyDescent="0.3">
      <c r="A1331" t="s">
        <v>1842</v>
      </c>
      <c r="B1331" t="s">
        <v>642</v>
      </c>
      <c r="C1331">
        <v>2026</v>
      </c>
      <c r="D1331" t="s">
        <v>1841</v>
      </c>
      <c r="E1331" t="s">
        <v>53</v>
      </c>
      <c r="F1331">
        <v>0</v>
      </c>
      <c r="G1331" t="s">
        <v>54</v>
      </c>
      <c r="H1331" t="s">
        <v>642</v>
      </c>
    </row>
    <row r="1332" spans="1:8" x14ac:dyDescent="0.3">
      <c r="A1332" t="s">
        <v>1843</v>
      </c>
      <c r="B1332" t="s">
        <v>642</v>
      </c>
      <c r="C1332">
        <v>2026</v>
      </c>
      <c r="D1332" t="s">
        <v>1841</v>
      </c>
      <c r="E1332" t="s">
        <v>53</v>
      </c>
      <c r="F1332">
        <v>0</v>
      </c>
      <c r="G1332" t="s">
        <v>36</v>
      </c>
      <c r="H1332" t="s">
        <v>642</v>
      </c>
    </row>
    <row r="1333" spans="1:8" x14ac:dyDescent="0.3">
      <c r="A1333" t="s">
        <v>1844</v>
      </c>
      <c r="B1333" t="s">
        <v>642</v>
      </c>
      <c r="C1333">
        <v>2026</v>
      </c>
      <c r="D1333" t="s">
        <v>1841</v>
      </c>
      <c r="E1333" t="s">
        <v>63</v>
      </c>
      <c r="F1333">
        <v>0</v>
      </c>
      <c r="G1333" t="s">
        <v>30</v>
      </c>
      <c r="H1333" t="s">
        <v>642</v>
      </c>
    </row>
    <row r="1334" spans="1:8" x14ac:dyDescent="0.3">
      <c r="A1334" t="s">
        <v>1845</v>
      </c>
      <c r="B1334" t="s">
        <v>642</v>
      </c>
      <c r="C1334">
        <v>2026</v>
      </c>
      <c r="D1334" t="s">
        <v>1841</v>
      </c>
      <c r="E1334" t="s">
        <v>63</v>
      </c>
      <c r="F1334">
        <v>0</v>
      </c>
      <c r="G1334" t="s">
        <v>54</v>
      </c>
      <c r="H1334" t="s">
        <v>642</v>
      </c>
    </row>
    <row r="1335" spans="1:8" x14ac:dyDescent="0.3">
      <c r="A1335" t="s">
        <v>1846</v>
      </c>
      <c r="B1335" t="s">
        <v>642</v>
      </c>
      <c r="C1335">
        <v>2026</v>
      </c>
      <c r="D1335" t="s">
        <v>1841</v>
      </c>
      <c r="E1335" t="s">
        <v>63</v>
      </c>
      <c r="F1335">
        <v>0</v>
      </c>
      <c r="G1335" t="s">
        <v>36</v>
      </c>
      <c r="H1335" t="s">
        <v>642</v>
      </c>
    </row>
    <row r="1336" spans="1:8" x14ac:dyDescent="0.3">
      <c r="A1336" t="s">
        <v>1847</v>
      </c>
      <c r="B1336" t="s">
        <v>642</v>
      </c>
      <c r="C1336">
        <v>2026</v>
      </c>
      <c r="D1336" t="s">
        <v>1841</v>
      </c>
      <c r="E1336" t="s">
        <v>3</v>
      </c>
      <c r="F1336">
        <v>0</v>
      </c>
      <c r="G1336" t="s">
        <v>30</v>
      </c>
      <c r="H1336" t="s">
        <v>642</v>
      </c>
    </row>
    <row r="1337" spans="1:8" x14ac:dyDescent="0.3">
      <c r="A1337" t="s">
        <v>1848</v>
      </c>
      <c r="B1337" t="s">
        <v>642</v>
      </c>
      <c r="C1337">
        <v>2026</v>
      </c>
      <c r="D1337" t="s">
        <v>1841</v>
      </c>
      <c r="E1337" t="s">
        <v>3</v>
      </c>
      <c r="F1337">
        <v>0</v>
      </c>
      <c r="G1337" t="s">
        <v>54</v>
      </c>
      <c r="H1337" t="s">
        <v>642</v>
      </c>
    </row>
    <row r="1338" spans="1:8" x14ac:dyDescent="0.3">
      <c r="A1338" t="s">
        <v>1849</v>
      </c>
      <c r="B1338" t="s">
        <v>642</v>
      </c>
      <c r="C1338">
        <v>2026</v>
      </c>
      <c r="D1338" t="s">
        <v>1841</v>
      </c>
      <c r="E1338" t="s">
        <v>3</v>
      </c>
      <c r="F1338">
        <v>0</v>
      </c>
      <c r="G1338" t="s">
        <v>36</v>
      </c>
      <c r="H1338" t="s">
        <v>642</v>
      </c>
    </row>
    <row r="1339" spans="1:8" x14ac:dyDescent="0.3">
      <c r="A1339" t="s">
        <v>1850</v>
      </c>
      <c r="B1339" t="s">
        <v>642</v>
      </c>
      <c r="C1339">
        <v>2026</v>
      </c>
      <c r="D1339" t="s">
        <v>1841</v>
      </c>
      <c r="E1339" t="s">
        <v>2</v>
      </c>
      <c r="F1339">
        <v>8844.2282059630925</v>
      </c>
      <c r="G1339" t="s">
        <v>30</v>
      </c>
      <c r="H1339" t="s">
        <v>642</v>
      </c>
    </row>
    <row r="1340" spans="1:8" x14ac:dyDescent="0.3">
      <c r="A1340" t="s">
        <v>1851</v>
      </c>
      <c r="B1340" t="s">
        <v>642</v>
      </c>
      <c r="C1340">
        <v>2026</v>
      </c>
      <c r="D1340" t="s">
        <v>1841</v>
      </c>
      <c r="E1340" t="s">
        <v>2</v>
      </c>
      <c r="F1340">
        <v>327</v>
      </c>
      <c r="G1340" t="s">
        <v>54</v>
      </c>
      <c r="H1340" t="s">
        <v>642</v>
      </c>
    </row>
    <row r="1341" spans="1:8" x14ac:dyDescent="0.3">
      <c r="A1341" t="s">
        <v>1852</v>
      </c>
      <c r="B1341" t="s">
        <v>642</v>
      </c>
      <c r="C1341">
        <v>2026</v>
      </c>
      <c r="D1341" t="s">
        <v>1841</v>
      </c>
      <c r="E1341" t="s">
        <v>2</v>
      </c>
      <c r="F1341">
        <v>2892062.6233499311</v>
      </c>
      <c r="G1341" t="s">
        <v>36</v>
      </c>
      <c r="H1341" t="s">
        <v>642</v>
      </c>
    </row>
    <row r="1342" spans="1:8" x14ac:dyDescent="0.3">
      <c r="A1342" t="s">
        <v>1853</v>
      </c>
      <c r="B1342" t="s">
        <v>642</v>
      </c>
      <c r="C1342">
        <v>2026</v>
      </c>
      <c r="D1342" t="s">
        <v>1841</v>
      </c>
      <c r="E1342" t="s">
        <v>1</v>
      </c>
      <c r="F1342">
        <v>0</v>
      </c>
      <c r="G1342" t="s">
        <v>30</v>
      </c>
      <c r="H1342" t="s">
        <v>642</v>
      </c>
    </row>
    <row r="1343" spans="1:8" x14ac:dyDescent="0.3">
      <c r="A1343" t="s">
        <v>1854</v>
      </c>
      <c r="B1343" t="s">
        <v>642</v>
      </c>
      <c r="C1343">
        <v>2026</v>
      </c>
      <c r="D1343" t="s">
        <v>1841</v>
      </c>
      <c r="E1343" t="s">
        <v>1</v>
      </c>
      <c r="F1343">
        <v>0</v>
      </c>
      <c r="G1343" t="s">
        <v>54</v>
      </c>
      <c r="H1343" t="s">
        <v>642</v>
      </c>
    </row>
    <row r="1344" spans="1:8" x14ac:dyDescent="0.3">
      <c r="A1344" t="s">
        <v>1855</v>
      </c>
      <c r="B1344" t="s">
        <v>642</v>
      </c>
      <c r="C1344">
        <v>2026</v>
      </c>
      <c r="D1344" t="s">
        <v>1841</v>
      </c>
      <c r="E1344" t="s">
        <v>1</v>
      </c>
      <c r="F1344">
        <v>0</v>
      </c>
      <c r="G1344" t="s">
        <v>36</v>
      </c>
      <c r="H1344" t="s">
        <v>642</v>
      </c>
    </row>
    <row r="1345" spans="1:8" x14ac:dyDescent="0.3">
      <c r="A1345" t="s">
        <v>2048</v>
      </c>
      <c r="B1345" t="s">
        <v>642</v>
      </c>
      <c r="C1345">
        <v>2026</v>
      </c>
      <c r="D1345" t="s">
        <v>1841</v>
      </c>
      <c r="E1345" t="s">
        <v>1885</v>
      </c>
      <c r="F1345">
        <v>8844.2282059630925</v>
      </c>
      <c r="G1345" t="s">
        <v>30</v>
      </c>
      <c r="H1345" t="s">
        <v>642</v>
      </c>
    </row>
    <row r="1346" spans="1:8" x14ac:dyDescent="0.3">
      <c r="A1346" t="s">
        <v>2049</v>
      </c>
      <c r="B1346" t="s">
        <v>642</v>
      </c>
      <c r="C1346">
        <v>2026</v>
      </c>
      <c r="D1346" t="s">
        <v>1841</v>
      </c>
      <c r="E1346" t="s">
        <v>1885</v>
      </c>
      <c r="F1346">
        <v>327</v>
      </c>
      <c r="G1346" t="s">
        <v>54</v>
      </c>
      <c r="H1346" t="s">
        <v>642</v>
      </c>
    </row>
    <row r="1347" spans="1:8" x14ac:dyDescent="0.3">
      <c r="A1347" t="s">
        <v>2050</v>
      </c>
      <c r="B1347" t="s">
        <v>642</v>
      </c>
      <c r="C1347">
        <v>2026</v>
      </c>
      <c r="D1347" t="s">
        <v>1841</v>
      </c>
      <c r="E1347" t="s">
        <v>1885</v>
      </c>
      <c r="F1347">
        <v>2892062.6233499311</v>
      </c>
      <c r="G1347" t="s">
        <v>36</v>
      </c>
      <c r="H1347" t="s">
        <v>642</v>
      </c>
    </row>
    <row r="1348" spans="1:8" x14ac:dyDescent="0.3">
      <c r="A1348" t="s">
        <v>1856</v>
      </c>
      <c r="B1348" t="s">
        <v>642</v>
      </c>
      <c r="C1348">
        <v>2026</v>
      </c>
      <c r="D1348" t="s">
        <v>1841</v>
      </c>
      <c r="E1348" t="s">
        <v>4</v>
      </c>
      <c r="F1348">
        <v>8844.2282059630925</v>
      </c>
      <c r="G1348" t="s">
        <v>30</v>
      </c>
      <c r="H1348" t="s">
        <v>642</v>
      </c>
    </row>
    <row r="1349" spans="1:8" x14ac:dyDescent="0.3">
      <c r="A1349" t="s">
        <v>1857</v>
      </c>
      <c r="B1349" t="s">
        <v>642</v>
      </c>
      <c r="C1349">
        <v>2026</v>
      </c>
      <c r="D1349" t="s">
        <v>1841</v>
      </c>
      <c r="E1349" t="s">
        <v>4</v>
      </c>
      <c r="F1349">
        <v>327</v>
      </c>
      <c r="G1349" t="s">
        <v>54</v>
      </c>
      <c r="H1349" t="s">
        <v>642</v>
      </c>
    </row>
    <row r="1350" spans="1:8" x14ac:dyDescent="0.3">
      <c r="A1350" t="s">
        <v>1858</v>
      </c>
      <c r="B1350" t="s">
        <v>642</v>
      </c>
      <c r="C1350">
        <v>2026</v>
      </c>
      <c r="D1350" t="s">
        <v>1841</v>
      </c>
      <c r="E1350" t="s">
        <v>4</v>
      </c>
      <c r="F1350">
        <v>2892062.6233499311</v>
      </c>
      <c r="G1350" t="s">
        <v>36</v>
      </c>
      <c r="H1350" t="s">
        <v>642</v>
      </c>
    </row>
    <row r="1351" spans="1:8" x14ac:dyDescent="0.3">
      <c r="A1351" t="s">
        <v>1859</v>
      </c>
      <c r="B1351" t="s">
        <v>642</v>
      </c>
      <c r="C1351">
        <v>2026</v>
      </c>
      <c r="D1351" t="s">
        <v>1841</v>
      </c>
      <c r="E1351" t="s">
        <v>38</v>
      </c>
      <c r="F1351">
        <v>0</v>
      </c>
      <c r="G1351" t="s">
        <v>30</v>
      </c>
      <c r="H1351" t="s">
        <v>642</v>
      </c>
    </row>
    <row r="1352" spans="1:8" x14ac:dyDescent="0.3">
      <c r="A1352" t="s">
        <v>1860</v>
      </c>
      <c r="B1352" t="s">
        <v>642</v>
      </c>
      <c r="C1352">
        <v>2026</v>
      </c>
      <c r="D1352" t="s">
        <v>1841</v>
      </c>
      <c r="E1352" t="s">
        <v>38</v>
      </c>
      <c r="F1352">
        <v>0</v>
      </c>
      <c r="G1352" t="s">
        <v>54</v>
      </c>
      <c r="H1352" t="s">
        <v>642</v>
      </c>
    </row>
    <row r="1353" spans="1:8" x14ac:dyDescent="0.3">
      <c r="A1353" t="s">
        <v>1861</v>
      </c>
      <c r="B1353" t="s">
        <v>642</v>
      </c>
      <c r="C1353">
        <v>2026</v>
      </c>
      <c r="D1353" t="s">
        <v>1841</v>
      </c>
      <c r="E1353" t="s">
        <v>38</v>
      </c>
      <c r="F1353">
        <v>0</v>
      </c>
      <c r="G1353" t="s">
        <v>36</v>
      </c>
      <c r="H1353" t="s">
        <v>642</v>
      </c>
    </row>
    <row r="1354" spans="1:8" x14ac:dyDescent="0.3">
      <c r="A1354" t="s">
        <v>1862</v>
      </c>
      <c r="B1354" t="s">
        <v>60</v>
      </c>
      <c r="C1354">
        <v>2026</v>
      </c>
      <c r="D1354" t="s">
        <v>60</v>
      </c>
      <c r="E1354" t="s">
        <v>53</v>
      </c>
      <c r="G1354" t="s">
        <v>36</v>
      </c>
      <c r="H1354" t="s">
        <v>60</v>
      </c>
    </row>
    <row r="1355" spans="1:8" x14ac:dyDescent="0.3">
      <c r="A1355" t="s">
        <v>1863</v>
      </c>
      <c r="B1355" t="s">
        <v>60</v>
      </c>
      <c r="C1355">
        <v>2026</v>
      </c>
      <c r="D1355" t="s">
        <v>60</v>
      </c>
      <c r="E1355" t="s">
        <v>53</v>
      </c>
      <c r="F1355">
        <v>0</v>
      </c>
      <c r="G1355" t="s">
        <v>54</v>
      </c>
      <c r="H1355" t="s">
        <v>60</v>
      </c>
    </row>
    <row r="1356" spans="1:8" x14ac:dyDescent="0.3">
      <c r="A1356" t="s">
        <v>1864</v>
      </c>
      <c r="B1356" t="s">
        <v>60</v>
      </c>
      <c r="C1356">
        <v>2026</v>
      </c>
      <c r="D1356" t="s">
        <v>60</v>
      </c>
      <c r="E1356" t="s">
        <v>53</v>
      </c>
      <c r="F1356">
        <v>0</v>
      </c>
      <c r="G1356" t="s">
        <v>36</v>
      </c>
      <c r="H1356" t="s">
        <v>60</v>
      </c>
    </row>
    <row r="1357" spans="1:8" x14ac:dyDescent="0.3">
      <c r="A1357" t="s">
        <v>1865</v>
      </c>
      <c r="B1357" t="s">
        <v>60</v>
      </c>
      <c r="C1357">
        <v>2026</v>
      </c>
      <c r="D1357" t="s">
        <v>60</v>
      </c>
      <c r="E1357" t="s">
        <v>63</v>
      </c>
      <c r="G1357" t="s">
        <v>36</v>
      </c>
      <c r="H1357" t="s">
        <v>60</v>
      </c>
    </row>
    <row r="1358" spans="1:8" x14ac:dyDescent="0.3">
      <c r="A1358" t="s">
        <v>1866</v>
      </c>
      <c r="B1358" t="s">
        <v>60</v>
      </c>
      <c r="C1358">
        <v>2026</v>
      </c>
      <c r="D1358" t="s">
        <v>60</v>
      </c>
      <c r="E1358" t="s">
        <v>63</v>
      </c>
      <c r="F1358">
        <v>0</v>
      </c>
      <c r="G1358" t="s">
        <v>54</v>
      </c>
      <c r="H1358" t="s">
        <v>60</v>
      </c>
    </row>
    <row r="1359" spans="1:8" x14ac:dyDescent="0.3">
      <c r="A1359" t="s">
        <v>1867</v>
      </c>
      <c r="B1359" t="s">
        <v>60</v>
      </c>
      <c r="C1359">
        <v>2026</v>
      </c>
      <c r="D1359" t="s">
        <v>60</v>
      </c>
      <c r="E1359" t="s">
        <v>63</v>
      </c>
      <c r="F1359">
        <v>0</v>
      </c>
      <c r="G1359" t="s">
        <v>36</v>
      </c>
      <c r="H1359" t="s">
        <v>60</v>
      </c>
    </row>
    <row r="1360" spans="1:8" x14ac:dyDescent="0.3">
      <c r="A1360" t="s">
        <v>1868</v>
      </c>
      <c r="B1360" t="s">
        <v>60</v>
      </c>
      <c r="C1360">
        <v>2026</v>
      </c>
      <c r="D1360" t="s">
        <v>60</v>
      </c>
      <c r="E1360" t="s">
        <v>3</v>
      </c>
      <c r="G1360" t="s">
        <v>36</v>
      </c>
      <c r="H1360" t="s">
        <v>60</v>
      </c>
    </row>
    <row r="1361" spans="1:8" x14ac:dyDescent="0.3">
      <c r="A1361" t="s">
        <v>1869</v>
      </c>
      <c r="B1361" t="s">
        <v>60</v>
      </c>
      <c r="C1361">
        <v>2026</v>
      </c>
      <c r="D1361" t="s">
        <v>60</v>
      </c>
      <c r="E1361" t="s">
        <v>3</v>
      </c>
      <c r="F1361">
        <v>0</v>
      </c>
      <c r="G1361" t="s">
        <v>54</v>
      </c>
      <c r="H1361" t="s">
        <v>60</v>
      </c>
    </row>
    <row r="1362" spans="1:8" x14ac:dyDescent="0.3">
      <c r="A1362" t="s">
        <v>1870</v>
      </c>
      <c r="B1362" t="s">
        <v>60</v>
      </c>
      <c r="C1362">
        <v>2026</v>
      </c>
      <c r="D1362" t="s">
        <v>60</v>
      </c>
      <c r="E1362" t="s">
        <v>3</v>
      </c>
      <c r="F1362">
        <v>0</v>
      </c>
      <c r="G1362" t="s">
        <v>36</v>
      </c>
      <c r="H1362" t="s">
        <v>60</v>
      </c>
    </row>
    <row r="1363" spans="1:8" x14ac:dyDescent="0.3">
      <c r="A1363" t="s">
        <v>1871</v>
      </c>
      <c r="B1363" t="s">
        <v>60</v>
      </c>
      <c r="C1363">
        <v>2026</v>
      </c>
      <c r="D1363" t="s">
        <v>60</v>
      </c>
      <c r="E1363" t="s">
        <v>2</v>
      </c>
      <c r="F1363">
        <v>7576.919758672655</v>
      </c>
      <c r="G1363" t="s">
        <v>36</v>
      </c>
      <c r="H1363" t="s">
        <v>60</v>
      </c>
    </row>
    <row r="1364" spans="1:8" x14ac:dyDescent="0.3">
      <c r="A1364" t="s">
        <v>1872</v>
      </c>
      <c r="B1364" t="s">
        <v>60</v>
      </c>
      <c r="C1364">
        <v>2026</v>
      </c>
      <c r="D1364" t="s">
        <v>60</v>
      </c>
      <c r="E1364" t="s">
        <v>2</v>
      </c>
      <c r="F1364">
        <v>3312</v>
      </c>
      <c r="G1364" t="s">
        <v>54</v>
      </c>
      <c r="H1364" t="s">
        <v>60</v>
      </c>
    </row>
    <row r="1365" spans="1:8" x14ac:dyDescent="0.3">
      <c r="A1365" t="s">
        <v>1873</v>
      </c>
      <c r="B1365" t="s">
        <v>60</v>
      </c>
      <c r="C1365">
        <v>2026</v>
      </c>
      <c r="D1365" t="s">
        <v>60</v>
      </c>
      <c r="E1365" t="s">
        <v>2</v>
      </c>
      <c r="F1365">
        <v>25094758.240723833</v>
      </c>
      <c r="G1365" t="s">
        <v>36</v>
      </c>
      <c r="H1365" t="s">
        <v>60</v>
      </c>
    </row>
    <row r="1366" spans="1:8" x14ac:dyDescent="0.3">
      <c r="A1366" t="s">
        <v>1874</v>
      </c>
      <c r="B1366" t="s">
        <v>60</v>
      </c>
      <c r="C1366">
        <v>2026</v>
      </c>
      <c r="D1366" t="s">
        <v>60</v>
      </c>
      <c r="E1366" t="s">
        <v>1</v>
      </c>
      <c r="G1366" t="s">
        <v>36</v>
      </c>
      <c r="H1366" t="s">
        <v>60</v>
      </c>
    </row>
    <row r="1367" spans="1:8" x14ac:dyDescent="0.3">
      <c r="A1367" t="s">
        <v>1875</v>
      </c>
      <c r="B1367" t="s">
        <v>60</v>
      </c>
      <c r="C1367">
        <v>2026</v>
      </c>
      <c r="D1367" t="s">
        <v>60</v>
      </c>
      <c r="E1367" t="s">
        <v>1</v>
      </c>
      <c r="F1367">
        <v>0</v>
      </c>
      <c r="G1367" t="s">
        <v>54</v>
      </c>
      <c r="H1367" t="s">
        <v>60</v>
      </c>
    </row>
    <row r="1368" spans="1:8" x14ac:dyDescent="0.3">
      <c r="A1368" t="s">
        <v>1876</v>
      </c>
      <c r="B1368" t="s">
        <v>60</v>
      </c>
      <c r="C1368">
        <v>2026</v>
      </c>
      <c r="D1368" t="s">
        <v>60</v>
      </c>
      <c r="E1368" t="s">
        <v>1</v>
      </c>
      <c r="F1368">
        <v>0</v>
      </c>
      <c r="G1368" t="s">
        <v>36</v>
      </c>
      <c r="H1368" t="s">
        <v>60</v>
      </c>
    </row>
    <row r="1369" spans="1:8" x14ac:dyDescent="0.3">
      <c r="A1369" t="s">
        <v>2051</v>
      </c>
      <c r="B1369" t="s">
        <v>60</v>
      </c>
      <c r="C1369">
        <v>2026</v>
      </c>
      <c r="D1369" t="s">
        <v>60</v>
      </c>
      <c r="E1369" t="s">
        <v>1885</v>
      </c>
      <c r="F1369">
        <v>8745.0113969843787</v>
      </c>
      <c r="G1369" t="s">
        <v>36</v>
      </c>
      <c r="H1369" t="s">
        <v>60</v>
      </c>
    </row>
    <row r="1370" spans="1:8" x14ac:dyDescent="0.3">
      <c r="A1370" t="s">
        <v>2052</v>
      </c>
      <c r="B1370" t="s">
        <v>60</v>
      </c>
      <c r="C1370">
        <v>2026</v>
      </c>
      <c r="D1370" t="s">
        <v>60</v>
      </c>
      <c r="E1370" t="s">
        <v>1885</v>
      </c>
      <c r="F1370">
        <v>4399</v>
      </c>
      <c r="G1370" t="s">
        <v>54</v>
      </c>
      <c r="H1370" t="s">
        <v>60</v>
      </c>
    </row>
    <row r="1371" spans="1:8" x14ac:dyDescent="0.3">
      <c r="A1371" t="s">
        <v>2053</v>
      </c>
      <c r="B1371" t="s">
        <v>60</v>
      </c>
      <c r="C1371">
        <v>2026</v>
      </c>
      <c r="D1371" t="s">
        <v>60</v>
      </c>
      <c r="E1371" t="s">
        <v>1885</v>
      </c>
      <c r="F1371">
        <v>38469305.135334283</v>
      </c>
      <c r="G1371" t="s">
        <v>36</v>
      </c>
      <c r="H1371" t="s">
        <v>60</v>
      </c>
    </row>
    <row r="1372" spans="1:8" x14ac:dyDescent="0.3">
      <c r="A1372" t="s">
        <v>1877</v>
      </c>
      <c r="B1372" t="s">
        <v>60</v>
      </c>
      <c r="C1372">
        <v>2026</v>
      </c>
      <c r="D1372" t="s">
        <v>60</v>
      </c>
      <c r="E1372" t="s">
        <v>4</v>
      </c>
      <c r="F1372">
        <v>8621.2584594486216</v>
      </c>
      <c r="G1372" t="s">
        <v>36</v>
      </c>
      <c r="H1372" t="s">
        <v>60</v>
      </c>
    </row>
    <row r="1373" spans="1:8" x14ac:dyDescent="0.3">
      <c r="A1373" t="s">
        <v>1878</v>
      </c>
      <c r="B1373" t="s">
        <v>60</v>
      </c>
      <c r="C1373">
        <v>2026</v>
      </c>
      <c r="D1373" t="s">
        <v>60</v>
      </c>
      <c r="E1373" t="s">
        <v>4</v>
      </c>
      <c r="F1373">
        <v>5164</v>
      </c>
      <c r="G1373" t="s">
        <v>54</v>
      </c>
      <c r="H1373" t="s">
        <v>60</v>
      </c>
    </row>
    <row r="1374" spans="1:8" x14ac:dyDescent="0.3">
      <c r="A1374" t="s">
        <v>1879</v>
      </c>
      <c r="B1374" t="s">
        <v>60</v>
      </c>
      <c r="C1374">
        <v>2026</v>
      </c>
      <c r="D1374" t="s">
        <v>60</v>
      </c>
      <c r="E1374" t="s">
        <v>4</v>
      </c>
      <c r="F1374">
        <v>44520178.684592679</v>
      </c>
      <c r="G1374" t="s">
        <v>36</v>
      </c>
      <c r="H1374" t="s">
        <v>60</v>
      </c>
    </row>
    <row r="1375" spans="1:8" x14ac:dyDescent="0.3">
      <c r="A1375" t="s">
        <v>1880</v>
      </c>
      <c r="B1375" t="s">
        <v>60</v>
      </c>
      <c r="C1375">
        <v>2026</v>
      </c>
      <c r="D1375" t="s">
        <v>60</v>
      </c>
      <c r="E1375" t="s">
        <v>38</v>
      </c>
      <c r="F1375">
        <v>10488.88792865488</v>
      </c>
      <c r="G1375" t="s">
        <v>36</v>
      </c>
      <c r="H1375" t="s">
        <v>60</v>
      </c>
    </row>
    <row r="1376" spans="1:8" x14ac:dyDescent="0.3">
      <c r="A1376" t="s">
        <v>1881</v>
      </c>
      <c r="B1376" t="s">
        <v>60</v>
      </c>
      <c r="C1376">
        <v>2026</v>
      </c>
      <c r="D1376" t="s">
        <v>60</v>
      </c>
      <c r="E1376" t="s">
        <v>38</v>
      </c>
      <c r="F1376">
        <v>1852</v>
      </c>
      <c r="G1376" t="s">
        <v>54</v>
      </c>
      <c r="H1376" t="s">
        <v>60</v>
      </c>
    </row>
    <row r="1377" spans="1:8" x14ac:dyDescent="0.3">
      <c r="A1377" t="s">
        <v>1882</v>
      </c>
      <c r="B1377" t="s">
        <v>60</v>
      </c>
      <c r="C1377">
        <v>2026</v>
      </c>
      <c r="D1377" t="s">
        <v>60</v>
      </c>
      <c r="E1377" t="s">
        <v>38</v>
      </c>
      <c r="F1377">
        <v>19425420.443868838</v>
      </c>
      <c r="G1377" t="s">
        <v>36</v>
      </c>
      <c r="H1377" t="s">
        <v>60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754879-98ec-4f16-9bd2-dd56524991be">
      <Terms xmlns="http://schemas.microsoft.com/office/infopath/2007/PartnerControls"/>
    </lcf76f155ced4ddcb4097134ff3c332f>
    <TaxCatchAll xmlns="68313d13-cac2-4434-a64b-720cfba7100b" xsi:nil="true"/>
    <SharedWithUsers xmlns="68313d13-cac2-4434-a64b-720cfba7100b">
      <UserInfo>
        <DisplayName>Mariana Soto</DisplayName>
        <AccountId>11</AccountId>
        <AccountType/>
      </UserInfo>
      <UserInfo>
        <DisplayName>Jose P. Alonso Oviedo</DisplayName>
        <AccountId>64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5B11E81B368A84BBAC52CB3D7C55175" ma:contentTypeVersion="15" ma:contentTypeDescription="Crear nuevo documento." ma:contentTypeScope="" ma:versionID="1476eecdbccd4aaa5d02bc3a04f00024">
  <xsd:schema xmlns:xsd="http://www.w3.org/2001/XMLSchema" xmlns:xs="http://www.w3.org/2001/XMLSchema" xmlns:p="http://schemas.microsoft.com/office/2006/metadata/properties" xmlns:ns2="83754879-98ec-4f16-9bd2-dd56524991be" xmlns:ns3="68313d13-cac2-4434-a64b-720cfba7100b" targetNamespace="http://schemas.microsoft.com/office/2006/metadata/properties" ma:root="true" ma:fieldsID="73cfd1ba712e4a365e7794dd430a65a2" ns2:_="" ns3:_="">
    <xsd:import namespace="83754879-98ec-4f16-9bd2-dd56524991be"/>
    <xsd:import namespace="68313d13-cac2-4434-a64b-720cfba710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754879-98ec-4f16-9bd2-dd56524991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9f7150b0-e02d-47e3-b227-8e23132a99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313d13-cac2-4434-a64b-720cfba7100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8fe6e2c-ba84-4e20-ab02-c483db98f114}" ma:internalName="TaxCatchAll" ma:showField="CatchAllData" ma:web="68313d13-cac2-4434-a64b-720cfba710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D2D5F81D-9CAF-4ED7-8639-C0B6BACB5D2E}">
  <ds:schemaRefs>
    <ds:schemaRef ds:uri="http://schemas.microsoft.com/office/2006/metadata/properties"/>
    <ds:schemaRef ds:uri="http://schemas.microsoft.com/office/infopath/2007/PartnerControls"/>
    <ds:schemaRef ds:uri="83754879-98ec-4f16-9bd2-dd56524991be"/>
    <ds:schemaRef ds:uri="68313d13-cac2-4434-a64b-720cfba7100b"/>
  </ds:schemaRefs>
</ds:datastoreItem>
</file>

<file path=customXml/itemProps2.xml><?xml version="1.0" encoding="utf-8"?>
<ds:datastoreItem xmlns:ds="http://schemas.openxmlformats.org/officeDocument/2006/customXml" ds:itemID="{F95D42E7-B88A-49F3-9821-A340FB4D91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B845A2-7D96-43F1-AADD-0F31DBA986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754879-98ec-4f16-9bd2-dd56524991be"/>
    <ds:schemaRef ds:uri="68313d13-cac2-4434-a64b-720cfba710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2F516A7-07BF-486A-BFA1-B10C1140E0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2</vt:i4>
      </vt:variant>
    </vt:vector>
  </HeadingPairs>
  <TitlesOfParts>
    <vt:vector size="13" baseType="lpstr">
      <vt:lpstr>Parámetros</vt:lpstr>
      <vt:lpstr>Evaluación</vt:lpstr>
      <vt:lpstr>Agrupacion</vt:lpstr>
      <vt:lpstr>Resumen</vt:lpstr>
      <vt:lpstr>5 enero</vt:lpstr>
      <vt:lpstr>TOP 10</vt:lpstr>
      <vt:lpstr>COMPARABLES</vt:lpstr>
      <vt:lpstr>Resultados</vt:lpstr>
      <vt:lpstr>DefAgruapaciones</vt:lpstr>
      <vt:lpstr>DATA_KPI</vt:lpstr>
      <vt:lpstr>DATA_KPI_PRE</vt:lpstr>
      <vt:lpstr>FechaFinal</vt:lpstr>
      <vt:lpstr>FechaInicial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Samantha Sobrado Céspedes</dc:creator>
  <cp:keywords/>
  <dc:description/>
  <cp:lastModifiedBy>Marco Alfaro</cp:lastModifiedBy>
  <cp:revision/>
  <dcterms:created xsi:type="dcterms:W3CDTF">2024-01-05T03:05:31Z</dcterms:created>
  <dcterms:modified xsi:type="dcterms:W3CDTF">2026-02-14T05:29:31Z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0x01010005B11E81B368A84BBAC52CB3D7C55175</vt:lpwstr>
  </property>
  <property fmtid="{D5CDD505-2E9C-101B-9397-08002B2CF9AE}" pid="3" name="MediaServiceImageTags">
    <vt:lpwstr/>
  </property>
</Properties>
</file>